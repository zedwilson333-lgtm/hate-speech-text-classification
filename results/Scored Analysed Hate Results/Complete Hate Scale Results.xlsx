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C:\Users\quinn.schutz\Desktop\"/>
    </mc:Choice>
  </mc:AlternateContent>
  <xr:revisionPtr revIDLastSave="1882" documentId="8_{FC6AAB48-41C1-43A3-8AB3-DF970E73F735}" xr6:coauthVersionLast="47" xr6:coauthVersionMax="47" xr10:uidLastSave="{B184296B-9FBD-4F30-B66E-FC5E9061E8C8}"/>
  <bookViews>
    <workbookView xWindow="-23148" yWindow="-1440" windowWidth="23256" windowHeight="13896" xr2:uid="{8D402CE3-A4A6-41FB-A116-FF164E787053}"/>
  </bookViews>
  <sheets>
    <sheet name="Sheet1" sheetId="1" r:id="rId1"/>
    <sheet name="COPY" sheetId="4" r:id="rId2"/>
    <sheet name="Error" sheetId="6" r:id="rId3"/>
    <sheet name="Sheet2" sheetId="5" r:id="rId4"/>
    <sheet name="graph" sheetId="2" r:id="rId5"/>
    <sheet name="Sheet3" sheetId="7" r:id="rId6"/>
    <sheet name="CANVA" sheetId="8" r:id="rId7"/>
    <sheet name="Sheet5" sheetId="10" r:id="rId8"/>
    <sheet name="Sheet2 (2)" sheetId="14" r:id="rId9"/>
    <sheet name="Sheet1 (3)" sheetId="13" r:id="rId10"/>
  </sheets>
  <externalReferences>
    <externalReference r:id="rId11"/>
  </externalReferences>
  <calcPr calcId="191028"/>
  <pivotCaches>
    <pivotCache cacheId="37" r:id="rId12"/>
    <pivotCache cacheId="38" r:id="rId13"/>
    <pivotCache cacheId="39" r:id="rId14"/>
    <pivotCache cacheId="40" r:id="rId15"/>
    <pivotCache cacheId="4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S24" i="8" l="1"/>
  <c r="S23" i="8"/>
  <c r="S22" i="8"/>
  <c r="S21" i="8"/>
  <c r="S20" i="8"/>
  <c r="S19" i="8"/>
  <c r="S18" i="8"/>
  <c r="S16" i="8"/>
  <c r="S17" i="8"/>
  <c r="S15" i="8"/>
  <c r="M11" i="13"/>
  <c r="I498" i="13"/>
  <c r="H498" i="13"/>
  <c r="G498" i="13"/>
  <c r="F498" i="13"/>
  <c r="E498" i="13"/>
  <c r="D498" i="13"/>
  <c r="C498" i="13"/>
  <c r="B498" i="13"/>
  <c r="AF1" i="4"/>
  <c r="F24" i="2"/>
  <c r="T9" i="2"/>
  <c r="T8" i="2"/>
  <c r="T7" i="2"/>
  <c r="T6" i="2"/>
  <c r="T5" i="2"/>
  <c r="T4" i="2"/>
  <c r="T3" i="2"/>
  <c r="T2" i="2"/>
  <c r="Z2" i="8"/>
  <c r="X2" i="8" s="1"/>
  <c r="Z3" i="8"/>
  <c r="X3" i="8" s="1"/>
  <c r="Z4" i="8"/>
  <c r="X4" i="8" s="1"/>
  <c r="Z5" i="8"/>
  <c r="X5" i="8" s="1"/>
  <c r="Z6" i="8"/>
  <c r="X6" i="8" s="1"/>
  <c r="Z7" i="8"/>
  <c r="X7" i="8" s="1"/>
  <c r="Z8" i="8"/>
  <c r="Z9" i="8"/>
  <c r="Z10" i="8"/>
  <c r="X8" i="8" s="1"/>
  <c r="Z11" i="8"/>
  <c r="X9" i="8" s="1"/>
  <c r="Z12" i="8"/>
  <c r="X10" i="8" s="1"/>
  <c r="Z13" i="8"/>
  <c r="X11" i="8" s="1"/>
  <c r="Z14" i="8"/>
  <c r="X12" i="8" s="1"/>
  <c r="Z15" i="8"/>
  <c r="X13" i="8" s="1"/>
  <c r="Z16" i="8"/>
  <c r="Z17" i="8"/>
  <c r="Z18" i="8"/>
  <c r="Z19" i="8"/>
  <c r="Z20" i="8"/>
  <c r="X16" i="8" s="1"/>
  <c r="Z21" i="8"/>
  <c r="Z22" i="8"/>
  <c r="Z23" i="8"/>
  <c r="Z24" i="8"/>
  <c r="Z25" i="8"/>
  <c r="Z26" i="8"/>
  <c r="X17" i="8" s="1"/>
  <c r="Z27" i="8"/>
  <c r="Z28" i="8"/>
  <c r="Z29" i="8"/>
  <c r="Z30" i="8"/>
  <c r="Z31" i="8"/>
  <c r="Z32" i="8"/>
  <c r="X18" i="8" s="1"/>
  <c r="Z33" i="8"/>
  <c r="Z34" i="8"/>
  <c r="Z35" i="8"/>
  <c r="Z36" i="8"/>
  <c r="X19" i="8" s="1"/>
  <c r="Z37" i="8"/>
  <c r="Z38" i="8"/>
  <c r="Z39" i="8"/>
  <c r="Z40" i="8"/>
  <c r="Z41" i="8"/>
  <c r="Z42" i="8"/>
  <c r="X20" i="8" s="1"/>
  <c r="Z43" i="8"/>
  <c r="Z44" i="8"/>
  <c r="Z45" i="8"/>
  <c r="Z46" i="8"/>
  <c r="Z47" i="8"/>
  <c r="Z48" i="8"/>
  <c r="Z49" i="8"/>
  <c r="Z50" i="8"/>
  <c r="Z51" i="8"/>
  <c r="Z52" i="8"/>
  <c r="Z53" i="8"/>
  <c r="Z54" i="8"/>
  <c r="Z55" i="8"/>
  <c r="Z56" i="8"/>
  <c r="X21" i="8" s="1"/>
  <c r="Z57" i="8"/>
  <c r="Z58" i="8"/>
  <c r="Z59" i="8"/>
  <c r="Z60" i="8"/>
  <c r="Z61" i="8"/>
  <c r="Z62" i="8"/>
  <c r="Z63" i="8"/>
  <c r="Z64" i="8"/>
  <c r="Z65" i="8"/>
  <c r="Z66" i="8"/>
  <c r="Z67" i="8"/>
  <c r="Z68" i="8"/>
  <c r="Z69" i="8"/>
  <c r="Z70" i="8"/>
  <c r="Z71" i="8"/>
  <c r="Z72" i="8"/>
  <c r="Z73" i="8"/>
  <c r="Z74" i="8"/>
  <c r="Z75" i="8"/>
  <c r="X22" i="8" s="1"/>
  <c r="Z76" i="8"/>
  <c r="Z77" i="8"/>
  <c r="Z78" i="8"/>
  <c r="Z79" i="8"/>
  <c r="Z80" i="8"/>
  <c r="X23" i="8" s="1"/>
  <c r="Z81" i="8"/>
  <c r="Z82" i="8"/>
  <c r="Z83" i="8"/>
  <c r="X24" i="8" s="1"/>
  <c r="Z84" i="8"/>
  <c r="Z85" i="8"/>
  <c r="Z86" i="8"/>
  <c r="X25" i="8" s="1"/>
  <c r="Z87" i="8"/>
  <c r="Z88" i="8"/>
  <c r="Z89" i="8"/>
  <c r="Z90" i="8"/>
  <c r="Z91" i="8"/>
  <c r="X26" i="8" s="1"/>
  <c r="Z92" i="8"/>
  <c r="Z93" i="8"/>
  <c r="Z94" i="8"/>
  <c r="Z95" i="8"/>
  <c r="Z96" i="8"/>
  <c r="Z97" i="8"/>
  <c r="Z98" i="8"/>
  <c r="Z99" i="8"/>
  <c r="Z100" i="8"/>
  <c r="Z101" i="8"/>
  <c r="Z102" i="8"/>
  <c r="Z103" i="8"/>
  <c r="Z104" i="8"/>
  <c r="Z105" i="8"/>
  <c r="X27" i="8" s="1"/>
  <c r="Z106" i="8"/>
  <c r="Z107" i="8"/>
  <c r="X107" i="8" s="1"/>
  <c r="Z108" i="8"/>
  <c r="X28" i="8" s="1"/>
  <c r="Z109" i="8"/>
  <c r="Z110" i="8"/>
  <c r="Z111" i="8"/>
  <c r="Z112" i="8"/>
  <c r="Z113" i="8"/>
  <c r="Z114" i="8"/>
  <c r="Z115" i="8"/>
  <c r="X108" i="8" s="1"/>
  <c r="Z116" i="8"/>
  <c r="X29" i="8" s="1"/>
  <c r="Z117" i="8"/>
  <c r="Z118" i="8"/>
  <c r="Z119" i="8"/>
  <c r="Z120" i="8"/>
  <c r="X30" i="8" s="1"/>
  <c r="Z121" i="8"/>
  <c r="Z122" i="8"/>
  <c r="Z123" i="8"/>
  <c r="Z124" i="8"/>
  <c r="Z125" i="8"/>
  <c r="X31" i="8" s="1"/>
  <c r="Z126" i="8"/>
  <c r="Z127" i="8"/>
  <c r="Z128" i="8"/>
  <c r="Z129" i="8"/>
  <c r="Z130" i="8"/>
  <c r="Z131" i="8"/>
  <c r="Z132" i="8"/>
  <c r="Z133" i="8"/>
  <c r="Z134" i="8"/>
  <c r="Z135" i="8"/>
  <c r="X32" i="8" s="1"/>
  <c r="Z136" i="8"/>
  <c r="Z137" i="8"/>
  <c r="Z138" i="8"/>
  <c r="Z139" i="8"/>
  <c r="Z140" i="8"/>
  <c r="Z141" i="8"/>
  <c r="Z142" i="8"/>
  <c r="Z143" i="8"/>
  <c r="Z144" i="8"/>
  <c r="Z145" i="8"/>
  <c r="Z146" i="8"/>
  <c r="Z147" i="8"/>
  <c r="Z148" i="8"/>
  <c r="Z149" i="8"/>
  <c r="Z150" i="8"/>
  <c r="Z151" i="8"/>
  <c r="Z152" i="8"/>
  <c r="Z153" i="8"/>
  <c r="Z154" i="8"/>
  <c r="X33" i="8" s="1"/>
  <c r="Z155" i="8"/>
  <c r="Z156" i="8"/>
  <c r="X109" i="8" s="1"/>
  <c r="Z157" i="8"/>
  <c r="X34" i="8" s="1"/>
  <c r="Z158" i="8"/>
  <c r="Z159" i="8"/>
  <c r="Z160" i="8"/>
  <c r="Z161" i="8"/>
  <c r="Z162" i="8"/>
  <c r="X35" i="8" s="1"/>
  <c r="Z163" i="8"/>
  <c r="Z164" i="8"/>
  <c r="Z165" i="8"/>
  <c r="X36" i="8" s="1"/>
  <c r="Z166" i="8"/>
  <c r="Z167" i="8"/>
  <c r="Z168" i="8"/>
  <c r="X37" i="8" s="1"/>
  <c r="Z169" i="8"/>
  <c r="Z170" i="8"/>
  <c r="X38" i="8" s="1"/>
  <c r="Z171" i="8"/>
  <c r="Z172" i="8"/>
  <c r="X39" i="8" s="1"/>
  <c r="Z173" i="8"/>
  <c r="Z174" i="8"/>
  <c r="X40" i="8" s="1"/>
  <c r="Z175" i="8"/>
  <c r="Z176" i="8"/>
  <c r="X41" i="8" s="1"/>
  <c r="Z177" i="8"/>
  <c r="Z178" i="8"/>
  <c r="Z179" i="8"/>
  <c r="Z180" i="8"/>
  <c r="Z181" i="8"/>
  <c r="Z182" i="8"/>
  <c r="Z183" i="8"/>
  <c r="X42" i="8" s="1"/>
  <c r="Z184" i="8"/>
  <c r="Z185" i="8"/>
  <c r="Z186" i="8"/>
  <c r="X43" i="8" s="1"/>
  <c r="Z187" i="8"/>
  <c r="Z188" i="8"/>
  <c r="Z189" i="8"/>
  <c r="Z190" i="8"/>
  <c r="X44" i="8" s="1"/>
  <c r="Z191" i="8"/>
  <c r="Z192" i="8"/>
  <c r="Z193" i="8"/>
  <c r="Z194" i="8"/>
  <c r="X45" i="8" s="1"/>
  <c r="Z195" i="8"/>
  <c r="Z196" i="8"/>
  <c r="X46" i="8" s="1"/>
  <c r="Z197" i="8"/>
  <c r="Z198" i="8"/>
  <c r="X47" i="8" s="1"/>
  <c r="Z199" i="8"/>
  <c r="Z200" i="8"/>
  <c r="Z201" i="8"/>
  <c r="X48" i="8" s="1"/>
  <c r="Z202" i="8"/>
  <c r="Z203" i="8"/>
  <c r="Z204" i="8"/>
  <c r="Z205" i="8"/>
  <c r="X49" i="8" s="1"/>
  <c r="Z206" i="8"/>
  <c r="Z207" i="8"/>
  <c r="X50" i="8" s="1"/>
  <c r="Z208" i="8"/>
  <c r="Z209" i="8"/>
  <c r="X51" i="8" s="1"/>
  <c r="Z210" i="8"/>
  <c r="Z211" i="8"/>
  <c r="Z212" i="8"/>
  <c r="Z213" i="8"/>
  <c r="Z214" i="8"/>
  <c r="X52" i="8" s="1"/>
  <c r="Z215" i="8"/>
  <c r="Z216" i="8"/>
  <c r="Z217" i="8"/>
  <c r="X53" i="8" s="1"/>
  <c r="Z218" i="8"/>
  <c r="Z219" i="8"/>
  <c r="Z220" i="8"/>
  <c r="Z221" i="8"/>
  <c r="Z222" i="8"/>
  <c r="Z223" i="8"/>
  <c r="Z224" i="8"/>
  <c r="Z225" i="8"/>
  <c r="Z226" i="8"/>
  <c r="Z227" i="8"/>
  <c r="X110" i="8" s="1"/>
  <c r="Z228" i="8"/>
  <c r="X54" i="8" s="1"/>
  <c r="Z229" i="8"/>
  <c r="X55" i="8" s="1"/>
  <c r="Z230" i="8"/>
  <c r="X56" i="8" s="1"/>
  <c r="Z231" i="8"/>
  <c r="X111" i="8" s="1"/>
  <c r="Z232" i="8"/>
  <c r="X57" i="8" s="1"/>
  <c r="Z233" i="8"/>
  <c r="X112" i="8" s="1"/>
  <c r="Z234" i="8"/>
  <c r="X58" i="8" s="1"/>
  <c r="Z235" i="8"/>
  <c r="Z236" i="8"/>
  <c r="X59" i="8" s="1"/>
  <c r="Z237" i="8"/>
  <c r="X60" i="8" s="1"/>
  <c r="Z238" i="8"/>
  <c r="X142" i="8" s="1"/>
  <c r="Z239" i="8"/>
  <c r="X143" i="8" s="1"/>
  <c r="Z240" i="8"/>
  <c r="Z241" i="8"/>
  <c r="X113" i="8" s="1"/>
  <c r="Z242" i="8"/>
  <c r="X61" i="8" s="1"/>
  <c r="Z243" i="8"/>
  <c r="Z244" i="8"/>
  <c r="X62" i="8" s="1"/>
  <c r="Z245" i="8"/>
  <c r="X114" i="8" s="1"/>
  <c r="Z246" i="8"/>
  <c r="X63" i="8" s="1"/>
  <c r="Z247" i="8"/>
  <c r="X64" i="8" s="1"/>
  <c r="Z248" i="8"/>
  <c r="X115" i="8" s="1"/>
  <c r="Z249" i="8"/>
  <c r="X65" i="8" s="1"/>
  <c r="Z250" i="8"/>
  <c r="X116" i="8" s="1"/>
  <c r="Z251" i="8"/>
  <c r="X66" i="8" s="1"/>
  <c r="Z252" i="8"/>
  <c r="X67" i="8" s="1"/>
  <c r="Z253" i="8"/>
  <c r="X68" i="8" s="1"/>
  <c r="Z254" i="8"/>
  <c r="X69" i="8" s="1"/>
  <c r="Z255" i="8"/>
  <c r="X117" i="8" s="1"/>
  <c r="Z256" i="8"/>
  <c r="X70" i="8" s="1"/>
  <c r="Z257" i="8"/>
  <c r="X71" i="8" s="1"/>
  <c r="Z258" i="8"/>
  <c r="X118" i="8" s="1"/>
  <c r="Z259" i="8"/>
  <c r="X72" i="8" s="1"/>
  <c r="Z260" i="8"/>
  <c r="X119" i="8" s="1"/>
  <c r="Z261" i="8"/>
  <c r="X73" i="8" s="1"/>
  <c r="Z262" i="8"/>
  <c r="X120" i="8" s="1"/>
  <c r="Z263" i="8"/>
  <c r="X74" i="8" s="1"/>
  <c r="Z264" i="8"/>
  <c r="Z265" i="8"/>
  <c r="X75" i="8" s="1"/>
  <c r="Z266" i="8"/>
  <c r="Z267" i="8"/>
  <c r="Z268" i="8"/>
  <c r="X121" i="8" s="1"/>
  <c r="Z269" i="8"/>
  <c r="X76" i="8" s="1"/>
  <c r="Z270" i="8"/>
  <c r="X122" i="8" s="1"/>
  <c r="Z271" i="8"/>
  <c r="X77" i="8" s="1"/>
  <c r="Z272" i="8"/>
  <c r="X78" i="8" s="1"/>
  <c r="Z273" i="8"/>
  <c r="X167" i="8" s="1"/>
  <c r="Z274" i="8"/>
  <c r="X79" i="8" s="1"/>
  <c r="Z275" i="8"/>
  <c r="X134" i="8" s="1"/>
  <c r="Z276" i="8"/>
  <c r="X80" i="8" s="1"/>
  <c r="Z277" i="8"/>
  <c r="X123" i="8" s="1"/>
  <c r="Z278" i="8"/>
  <c r="X81" i="8" s="1"/>
  <c r="Z279" i="8"/>
  <c r="X124" i="8" s="1"/>
  <c r="Z280" i="8"/>
  <c r="X82" i="8" s="1"/>
  <c r="Z281" i="8"/>
  <c r="X83" i="8" s="1"/>
  <c r="Z282" i="8"/>
  <c r="X84" i="8" s="1"/>
  <c r="Z283" i="8"/>
  <c r="X85" i="8" s="1"/>
  <c r="Z284" i="8"/>
  <c r="X86" i="8" s="1"/>
  <c r="Z285" i="8"/>
  <c r="X125" i="8" s="1"/>
  <c r="Z286" i="8"/>
  <c r="Z287" i="8"/>
  <c r="X87" i="8" s="1"/>
  <c r="Z288" i="8"/>
  <c r="X88" i="8" s="1"/>
  <c r="Z289" i="8"/>
  <c r="X89" i="8" s="1"/>
  <c r="Z290" i="8"/>
  <c r="X135" i="8" s="1"/>
  <c r="Z291" i="8"/>
  <c r="X126" i="8" s="1"/>
  <c r="Z292" i="8"/>
  <c r="Z293" i="8"/>
  <c r="X90" i="8" s="1"/>
  <c r="Z294" i="8"/>
  <c r="X136" i="8" s="1"/>
  <c r="Z295" i="8"/>
  <c r="X137" i="8" s="1"/>
  <c r="Z296" i="8"/>
  <c r="X138" i="8" s="1"/>
  <c r="Z297" i="8"/>
  <c r="X127" i="8" s="1"/>
  <c r="Z298" i="8"/>
  <c r="Z299" i="8"/>
  <c r="X91" i="8" s="1"/>
  <c r="Z300" i="8"/>
  <c r="Z301" i="8"/>
  <c r="Z302" i="8"/>
  <c r="X139" i="8" s="1"/>
  <c r="Z303" i="8"/>
  <c r="X128" i="8" s="1"/>
  <c r="Z304" i="8"/>
  <c r="X92" i="8" s="1"/>
  <c r="Z305" i="8"/>
  <c r="Z306" i="8"/>
  <c r="X144" i="8" s="1"/>
  <c r="Z307" i="8"/>
  <c r="Z308" i="8"/>
  <c r="X145" i="8" s="1"/>
  <c r="Z309" i="8"/>
  <c r="Z310" i="8"/>
  <c r="Z311" i="8"/>
  <c r="Z312" i="8"/>
  <c r="X140" i="8" s="1"/>
  <c r="Z313" i="8"/>
  <c r="X93" i="8" s="1"/>
  <c r="Z314" i="8"/>
  <c r="Z315" i="8"/>
  <c r="Z316" i="8"/>
  <c r="X129" i="8" s="1"/>
  <c r="Z317" i="8"/>
  <c r="X146" i="8" s="1"/>
  <c r="Z318" i="8"/>
  <c r="Z319" i="8"/>
  <c r="X154" i="8" s="1"/>
  <c r="Z320" i="8"/>
  <c r="X94" i="8" s="1"/>
  <c r="Z321" i="8"/>
  <c r="X147" i="8" s="1"/>
  <c r="Z322" i="8"/>
  <c r="X155" i="8" s="1"/>
  <c r="Z323" i="8"/>
  <c r="Z324" i="8"/>
  <c r="X141" i="8" s="1"/>
  <c r="Z325" i="8"/>
  <c r="Z326" i="8"/>
  <c r="X130" i="8" s="1"/>
  <c r="Z327" i="8"/>
  <c r="X95" i="8" s="1"/>
  <c r="Z328" i="8"/>
  <c r="Z329" i="8"/>
  <c r="X96" i="8" s="1"/>
  <c r="Z330" i="8"/>
  <c r="Z331" i="8"/>
  <c r="X148" i="8" s="1"/>
  <c r="Z332" i="8"/>
  <c r="Z333" i="8"/>
  <c r="X149" i="8" s="1"/>
  <c r="Z334" i="8"/>
  <c r="Z335" i="8"/>
  <c r="Z336" i="8"/>
  <c r="Z337" i="8"/>
  <c r="Z338" i="8"/>
  <c r="Z339" i="8"/>
  <c r="Z340" i="8"/>
  <c r="Z341" i="8"/>
  <c r="Z342" i="8"/>
  <c r="Z343" i="8"/>
  <c r="Z344" i="8"/>
  <c r="Z345" i="8"/>
  <c r="Z346" i="8"/>
  <c r="X345" i="8" s="1"/>
  <c r="Z347" i="8"/>
  <c r="Z348" i="8"/>
  <c r="Z349" i="8"/>
  <c r="Z350" i="8"/>
  <c r="Z351" i="8"/>
  <c r="X346" i="8" s="1"/>
  <c r="Z352" i="8"/>
  <c r="X347" i="8" s="1"/>
  <c r="Z353" i="8"/>
  <c r="Z354" i="8"/>
  <c r="Z355" i="8"/>
  <c r="Z356" i="8"/>
  <c r="Z357" i="8"/>
  <c r="Z358" i="8"/>
  <c r="Z359" i="8"/>
  <c r="Z360" i="8"/>
  <c r="Z361" i="8"/>
  <c r="Z362" i="8"/>
  <c r="Z363" i="8"/>
  <c r="Z364" i="8"/>
  <c r="X363" i="8" s="1"/>
  <c r="Z365" i="8"/>
  <c r="X364" i="8" s="1"/>
  <c r="Z366" i="8"/>
  <c r="X365" i="8" s="1"/>
  <c r="Z367" i="8"/>
  <c r="X366" i="8" s="1"/>
  <c r="Z368" i="8"/>
  <c r="Z369" i="8"/>
  <c r="X367" i="8" s="1"/>
  <c r="Z370" i="8"/>
  <c r="X368" i="8" s="1"/>
  <c r="Z371" i="8"/>
  <c r="Z372" i="8"/>
  <c r="Z373" i="8"/>
  <c r="X369" i="8" s="1"/>
  <c r="Z374" i="8"/>
  <c r="X370" i="8" s="1"/>
  <c r="Z375" i="8"/>
  <c r="X371" i="8" s="1"/>
  <c r="Z376" i="8"/>
  <c r="X348" i="8" s="1"/>
  <c r="Z377" i="8"/>
  <c r="X372" i="8" s="1"/>
  <c r="Z378" i="8"/>
  <c r="X349" i="8" s="1"/>
  <c r="Z379" i="8"/>
  <c r="Z380" i="8"/>
  <c r="Z381" i="8"/>
  <c r="Z382" i="8"/>
  <c r="Z383" i="8"/>
  <c r="Z384" i="8"/>
  <c r="X383" i="8" s="1"/>
  <c r="Z385" i="8"/>
  <c r="Z386" i="8"/>
  <c r="Z387" i="8"/>
  <c r="Z388" i="8"/>
  <c r="Z389" i="8"/>
  <c r="X384" i="8" s="1"/>
  <c r="Z390" i="8"/>
  <c r="X387" i="8" s="1"/>
  <c r="Z391" i="8"/>
  <c r="Z392" i="8"/>
  <c r="X388" i="8" s="1"/>
  <c r="Z393" i="8"/>
  <c r="Z394" i="8"/>
  <c r="Z395" i="8"/>
  <c r="Z396" i="8"/>
  <c r="Z397" i="8"/>
  <c r="Z398" i="8"/>
  <c r="X389" i="8" s="1"/>
  <c r="Z399" i="8"/>
  <c r="Z400" i="8"/>
  <c r="Z401" i="8"/>
  <c r="X390" i="8" s="1"/>
  <c r="Z402" i="8"/>
  <c r="Z403" i="8"/>
  <c r="X391" i="8" s="1"/>
  <c r="Z404" i="8"/>
  <c r="Z405" i="8"/>
  <c r="Z406" i="8"/>
  <c r="X392" i="8" s="1"/>
  <c r="Z407" i="8"/>
  <c r="Z408" i="8"/>
  <c r="Z409" i="8"/>
  <c r="Z410" i="8"/>
  <c r="X393" i="8" s="1"/>
  <c r="Z411" i="8"/>
  <c r="Z412" i="8"/>
  <c r="X394" i="8" s="1"/>
  <c r="Z413" i="8"/>
  <c r="Z414" i="8"/>
  <c r="Z415" i="8"/>
  <c r="Z416" i="8"/>
  <c r="X397" i="8" s="1"/>
  <c r="Z417" i="8"/>
  <c r="Z418" i="8"/>
  <c r="Z419" i="8"/>
  <c r="X395" i="8" s="1"/>
  <c r="Z420" i="8"/>
  <c r="Z421" i="8"/>
  <c r="Z422" i="8"/>
  <c r="Z423" i="8"/>
  <c r="Z424" i="8"/>
  <c r="Z425" i="8"/>
  <c r="Z426" i="8"/>
  <c r="Z427" i="8"/>
  <c r="Z428" i="8"/>
  <c r="X398" i="8" s="1"/>
  <c r="Z429" i="8"/>
  <c r="Z430" i="8"/>
  <c r="Z431" i="8"/>
  <c r="X399" i="8" s="1"/>
  <c r="Z432" i="8"/>
  <c r="X400" i="8" s="1"/>
  <c r="Z433" i="8"/>
  <c r="X401" i="8" s="1"/>
  <c r="Z434" i="8"/>
  <c r="X402" i="8" s="1"/>
  <c r="Z435" i="8"/>
  <c r="X403" i="8" s="1"/>
  <c r="Z436" i="8"/>
  <c r="X404" i="8" s="1"/>
  <c r="Z437" i="8"/>
  <c r="X405" i="8" s="1"/>
  <c r="Z438" i="8"/>
  <c r="X406" i="8" s="1"/>
  <c r="Z439" i="8"/>
  <c r="Z440" i="8"/>
  <c r="Z441" i="8"/>
  <c r="Z442" i="8"/>
  <c r="Z443" i="8"/>
  <c r="X411" i="8" s="1"/>
  <c r="Z444" i="8"/>
  <c r="X443" i="8" s="1"/>
  <c r="Z445" i="8"/>
  <c r="X396" i="8" s="1"/>
  <c r="Z446" i="8"/>
  <c r="X427" i="8" s="1"/>
  <c r="Z447" i="8"/>
  <c r="Z448" i="8"/>
  <c r="Z449" i="8"/>
  <c r="X444" i="8" s="1"/>
  <c r="Z450" i="8"/>
  <c r="X445" i="8" s="1"/>
  <c r="Z451" i="8"/>
  <c r="X407" i="8" s="1"/>
  <c r="Z452" i="8"/>
  <c r="Z453" i="8"/>
  <c r="Z454" i="8"/>
  <c r="X408" i="8" s="1"/>
  <c r="Z455" i="8"/>
  <c r="X446" i="8" s="1"/>
  <c r="Z456" i="8"/>
  <c r="X447" i="8" s="1"/>
  <c r="Z457" i="8"/>
  <c r="X385" i="8" s="1"/>
  <c r="Z458" i="8"/>
  <c r="Z459" i="8"/>
  <c r="X448" i="8" s="1"/>
  <c r="Z460" i="8"/>
  <c r="X449" i="8" s="1"/>
  <c r="Z461" i="8"/>
  <c r="Z462" i="8"/>
  <c r="Z463" i="8"/>
  <c r="X450" i="8" s="1"/>
  <c r="Z464" i="8"/>
  <c r="X451" i="8" s="1"/>
  <c r="Z465" i="8"/>
  <c r="X433" i="8" s="1"/>
  <c r="Z466" i="8"/>
  <c r="X452" i="8" s="1"/>
  <c r="Z467" i="8"/>
  <c r="Z468" i="8"/>
  <c r="Z469" i="8"/>
  <c r="Z470" i="8"/>
  <c r="Z471" i="8"/>
  <c r="X459" i="8" s="1"/>
  <c r="Z472" i="8"/>
  <c r="Z473" i="8"/>
  <c r="X409" i="8" s="1"/>
  <c r="Z474" i="8"/>
  <c r="X453" i="8" s="1"/>
  <c r="Z475" i="8"/>
  <c r="X410" i="8" s="1"/>
  <c r="Z476" i="8"/>
  <c r="X428" i="8" s="1"/>
  <c r="Z477" i="8"/>
  <c r="Z478" i="8"/>
  <c r="Z479" i="8"/>
  <c r="Z480" i="8"/>
  <c r="Z481" i="8"/>
  <c r="Z482" i="8"/>
  <c r="Z483" i="8"/>
  <c r="Z484" i="8"/>
  <c r="Z485" i="8"/>
  <c r="Z486" i="8"/>
  <c r="Z487" i="8"/>
  <c r="Z488" i="8"/>
  <c r="Z489" i="8"/>
  <c r="Z490" i="8"/>
  <c r="Z491" i="8"/>
  <c r="Z492" i="8"/>
  <c r="Z493" i="8"/>
  <c r="Z494" i="8"/>
  <c r="Z495" i="8"/>
  <c r="Z496" i="8"/>
  <c r="X492" i="8" s="1"/>
  <c r="Z497" i="8"/>
  <c r="Z498" i="8"/>
  <c r="Z499" i="8"/>
  <c r="Z500" i="8"/>
  <c r="Z501" i="8"/>
  <c r="Z502" i="8"/>
  <c r="Z503" i="8"/>
  <c r="Z504" i="8"/>
  <c r="Z505" i="8"/>
  <c r="Z506" i="8"/>
  <c r="Z507" i="8"/>
  <c r="Z508" i="8"/>
  <c r="Z509" i="8"/>
  <c r="Z510" i="8"/>
  <c r="Z511" i="8"/>
  <c r="Z512" i="8"/>
  <c r="Z513" i="8"/>
  <c r="Z514" i="8"/>
  <c r="Z515" i="8"/>
  <c r="Z516" i="8"/>
  <c r="Z517" i="8"/>
  <c r="Z518" i="8"/>
  <c r="Z519" i="8"/>
  <c r="Z520" i="8"/>
  <c r="Z521" i="8"/>
  <c r="Z522" i="8"/>
  <c r="Z523" i="8"/>
  <c r="Z524" i="8"/>
  <c r="Z525" i="8"/>
  <c r="Z526" i="8"/>
  <c r="Z527" i="8"/>
  <c r="Z528" i="8"/>
  <c r="Z529" i="8"/>
  <c r="Z530" i="8"/>
  <c r="Z531" i="8"/>
  <c r="Z532" i="8"/>
  <c r="Z533" i="8"/>
  <c r="Z534" i="8"/>
  <c r="Z535" i="8"/>
  <c r="Z536" i="8"/>
  <c r="Z537" i="8"/>
  <c r="Z538" i="8"/>
  <c r="Z539" i="8"/>
  <c r="Z540" i="8"/>
  <c r="Z541" i="8"/>
  <c r="Z542" i="8"/>
  <c r="Z543" i="8"/>
  <c r="Z544" i="8"/>
  <c r="Z545" i="8"/>
  <c r="Z546" i="8"/>
  <c r="Z547" i="8"/>
  <c r="Z548" i="8"/>
  <c r="Z549" i="8"/>
  <c r="Z550" i="8"/>
  <c r="Z551" i="8"/>
  <c r="Z552" i="8"/>
  <c r="Z553" i="8"/>
  <c r="Z554" i="8"/>
  <c r="Z555" i="8"/>
  <c r="Z556" i="8"/>
  <c r="Z557" i="8"/>
  <c r="Z558" i="8"/>
  <c r="Z559" i="8"/>
  <c r="Z560" i="8"/>
  <c r="Z561" i="8"/>
  <c r="Z562" i="8"/>
  <c r="Z563" i="8"/>
  <c r="Z564" i="8"/>
  <c r="Z565" i="8"/>
  <c r="Z566" i="8"/>
  <c r="Z567" i="8"/>
  <c r="Z568" i="8"/>
  <c r="Z569" i="8"/>
  <c r="Z570" i="8"/>
  <c r="Z571" i="8"/>
  <c r="Z572" i="8"/>
  <c r="Z573" i="8"/>
  <c r="Z574" i="8"/>
  <c r="Z575" i="8"/>
  <c r="Z576" i="8"/>
  <c r="Z577" i="8"/>
  <c r="Z578" i="8"/>
  <c r="Z579" i="8"/>
  <c r="Z580" i="8"/>
  <c r="Z581" i="8"/>
  <c r="Z582" i="8"/>
  <c r="Z583" i="8"/>
  <c r="X493" i="8" s="1"/>
  <c r="Z584" i="8"/>
  <c r="Z585" i="8"/>
  <c r="Z586" i="8"/>
  <c r="Z587" i="8"/>
  <c r="Z588" i="8"/>
  <c r="Z589" i="8"/>
  <c r="Z590" i="8"/>
  <c r="Z591" i="8"/>
  <c r="Z592" i="8"/>
  <c r="Z593" i="8"/>
  <c r="Z594" i="8"/>
  <c r="Z595" i="8"/>
  <c r="Z596" i="8"/>
  <c r="Z597" i="8"/>
  <c r="Z598" i="8"/>
  <c r="Z599" i="8"/>
  <c r="Z600" i="8"/>
  <c r="Z601" i="8"/>
  <c r="Z602" i="8"/>
  <c r="Z603" i="8"/>
  <c r="Z604" i="8"/>
  <c r="Z605" i="8"/>
  <c r="Z606" i="8"/>
  <c r="Z607" i="8"/>
  <c r="Z608" i="8"/>
  <c r="Z609" i="8"/>
  <c r="Z610" i="8"/>
  <c r="Z611" i="8"/>
  <c r="Z612" i="8"/>
  <c r="Z613" i="8"/>
  <c r="Z614" i="8"/>
  <c r="Z615" i="8"/>
  <c r="Z616" i="8"/>
  <c r="Z617" i="8"/>
  <c r="Z618" i="8"/>
  <c r="Z619" i="8"/>
  <c r="Z620" i="8"/>
  <c r="Z621" i="8"/>
  <c r="Z622" i="8"/>
  <c r="Z623" i="8"/>
  <c r="Z624" i="8"/>
  <c r="Z625" i="8"/>
  <c r="Z626" i="8"/>
  <c r="Z627" i="8"/>
  <c r="Z628" i="8"/>
  <c r="Z629" i="8"/>
  <c r="Z630" i="8"/>
  <c r="Z631" i="8"/>
  <c r="Z632" i="8"/>
  <c r="Z633" i="8"/>
  <c r="Z634" i="8"/>
  <c r="Z635" i="8"/>
  <c r="Z636" i="8"/>
  <c r="Z637" i="8"/>
  <c r="Z638" i="8"/>
  <c r="Z639" i="8"/>
  <c r="Z640" i="8"/>
  <c r="Z641" i="8"/>
  <c r="Z642" i="8"/>
  <c r="Z643" i="8"/>
  <c r="Z644" i="8"/>
  <c r="Z645" i="8"/>
  <c r="Z646" i="8"/>
  <c r="Z647" i="8"/>
  <c r="Z648" i="8"/>
  <c r="Z649" i="8"/>
  <c r="Z650" i="8"/>
  <c r="Z651" i="8"/>
  <c r="Z652" i="8"/>
  <c r="Z653" i="8"/>
  <c r="Z654" i="8"/>
  <c r="Z655" i="8"/>
  <c r="Z656" i="8"/>
  <c r="Z657" i="8"/>
  <c r="Z658" i="8"/>
  <c r="X494" i="8" s="1"/>
  <c r="Z659" i="8"/>
  <c r="Z660" i="8"/>
  <c r="Z661" i="8"/>
  <c r="Z662" i="8"/>
  <c r="Z663" i="8"/>
  <c r="Z664" i="8"/>
  <c r="Z665" i="8"/>
  <c r="X660" i="8" s="1"/>
  <c r="Z666" i="8"/>
  <c r="Z667" i="8"/>
  <c r="Z668" i="8"/>
  <c r="Z669" i="8"/>
  <c r="Z670" i="8"/>
  <c r="Z671" i="8"/>
  <c r="Z672" i="8"/>
  <c r="X495" i="8" s="1"/>
  <c r="Z673" i="8"/>
  <c r="Z674" i="8"/>
  <c r="X496" i="8" s="1"/>
  <c r="Z675" i="8"/>
  <c r="X661" i="8" s="1"/>
  <c r="Z676" i="8"/>
  <c r="Z677" i="8"/>
  <c r="Z678" i="8"/>
  <c r="X497" i="8" s="1"/>
  <c r="Z679" i="8"/>
  <c r="Z680" i="8"/>
  <c r="X662" i="8" s="1"/>
  <c r="Z681" i="8"/>
  <c r="X498" i="8" s="1"/>
  <c r="Z682" i="8"/>
  <c r="Z683" i="8"/>
  <c r="X499" i="8" s="1"/>
  <c r="Z684" i="8"/>
  <c r="Z685" i="8"/>
  <c r="Z686" i="8"/>
  <c r="X663" i="8" s="1"/>
  <c r="Z687" i="8"/>
  <c r="Z688" i="8"/>
  <c r="Z689" i="8"/>
  <c r="X500" i="8" s="1"/>
  <c r="Z690" i="8"/>
  <c r="Z691" i="8"/>
  <c r="X501" i="8" s="1"/>
  <c r="Z692" i="8"/>
  <c r="X686" i="8" s="1"/>
  <c r="Z693" i="8"/>
  <c r="Z694" i="8"/>
  <c r="X664" i="8" s="1"/>
  <c r="Z695" i="8"/>
  <c r="Z696" i="8"/>
  <c r="Z697" i="8"/>
  <c r="Z698" i="8"/>
  <c r="X665" i="8" s="1"/>
  <c r="Z699" i="8"/>
  <c r="X666" i="8" s="1"/>
  <c r="Z700" i="8"/>
  <c r="X667" i="8" s="1"/>
  <c r="Z701" i="8"/>
  <c r="X502" i="8" s="1"/>
  <c r="Z702" i="8"/>
  <c r="X668" i="8" s="1"/>
  <c r="Z703" i="8"/>
  <c r="X669" i="8" s="1"/>
  <c r="Z704" i="8"/>
  <c r="X670" i="8" s="1"/>
  <c r="Z705" i="8"/>
  <c r="Z706" i="8"/>
  <c r="Z707" i="8"/>
  <c r="X671" i="8" s="1"/>
  <c r="Z708" i="8"/>
  <c r="X672" i="8" s="1"/>
  <c r="Z709" i="8"/>
  <c r="X673" i="8" s="1"/>
  <c r="Z710" i="8"/>
  <c r="X674" i="8" s="1"/>
  <c r="Z711" i="8"/>
  <c r="Z712" i="8"/>
  <c r="X675" i="8" s="1"/>
  <c r="Z713" i="8"/>
  <c r="X676" i="8" s="1"/>
  <c r="Z714" i="8"/>
  <c r="X503" i="8" s="1"/>
  <c r="Z715" i="8"/>
  <c r="X677" i="8" s="1"/>
  <c r="Z716" i="8"/>
  <c r="X678" i="8" s="1"/>
  <c r="Z717" i="8"/>
  <c r="X679" i="8" s="1"/>
  <c r="Z718" i="8"/>
  <c r="X680" i="8" s="1"/>
  <c r="Z719" i="8"/>
  <c r="X681" i="8" s="1"/>
  <c r="Z720" i="8"/>
  <c r="X682" i="8" s="1"/>
  <c r="Z721" i="8"/>
  <c r="X504" i="8" s="1"/>
  <c r="Z722" i="8"/>
  <c r="X683" i="8" s="1"/>
  <c r="Z723" i="8"/>
  <c r="X723" i="8" s="1"/>
  <c r="Z724" i="8"/>
  <c r="X724" i="8" s="1"/>
  <c r="Z725" i="8"/>
  <c r="Z726" i="8"/>
  <c r="X725" i="8" s="1"/>
  <c r="Z727" i="8"/>
  <c r="X726" i="8" s="1"/>
  <c r="Z728" i="8"/>
  <c r="X727" i="8" s="1"/>
  <c r="Z729" i="8"/>
  <c r="X728" i="8" s="1"/>
  <c r="Z730" i="8"/>
  <c r="X729" i="8" s="1"/>
  <c r="Z731" i="8"/>
  <c r="X730" i="8" s="1"/>
  <c r="Z732" i="8"/>
  <c r="X731" i="8" s="1"/>
  <c r="Z733" i="8"/>
  <c r="X732" i="8" s="1"/>
  <c r="Z734" i="8"/>
  <c r="X733" i="8" s="1"/>
  <c r="Z735" i="8"/>
  <c r="X734" i="8" s="1"/>
  <c r="Z736" i="8"/>
  <c r="X735" i="8" s="1"/>
  <c r="Z737" i="8"/>
  <c r="X736" i="8" s="1"/>
  <c r="Z738" i="8"/>
  <c r="X737" i="8" s="1"/>
  <c r="Z739" i="8"/>
  <c r="X738" i="8" s="1"/>
  <c r="Z740" i="8"/>
  <c r="X739" i="8" s="1"/>
  <c r="Z741" i="8"/>
  <c r="X740" i="8" s="1"/>
  <c r="Z742" i="8"/>
  <c r="X741" i="8" s="1"/>
  <c r="Z743" i="8"/>
  <c r="X742" i="8" s="1"/>
  <c r="Z744" i="8"/>
  <c r="Z745" i="8"/>
  <c r="Z746" i="8"/>
  <c r="Z747" i="8"/>
  <c r="Z748" i="8"/>
  <c r="X743" i="8" s="1"/>
  <c r="Z749" i="8"/>
  <c r="X744" i="8" s="1"/>
  <c r="Z750" i="8"/>
  <c r="X745" i="8" s="1"/>
  <c r="Z751" i="8"/>
  <c r="X746" i="8" s="1"/>
  <c r="Z752" i="8"/>
  <c r="X747" i="8" s="1"/>
  <c r="Z753" i="8"/>
  <c r="X748" i="8" s="1"/>
  <c r="Z754" i="8"/>
  <c r="Z755" i="8"/>
  <c r="X749" i="8" s="1"/>
  <c r="Z756" i="8"/>
  <c r="X750" i="8" s="1"/>
  <c r="Z757" i="8"/>
  <c r="X751" i="8" s="1"/>
  <c r="Z758" i="8"/>
  <c r="X752" i="8" s="1"/>
  <c r="Z759" i="8"/>
  <c r="X753" i="8" s="1"/>
  <c r="Z760" i="8"/>
  <c r="X754" i="8" s="1"/>
  <c r="Z761" i="8"/>
  <c r="Z762" i="8"/>
  <c r="Z763" i="8"/>
  <c r="Z764" i="8"/>
  <c r="X755" i="8" s="1"/>
  <c r="Z765" i="8"/>
  <c r="X756" i="8" s="1"/>
  <c r="Z766" i="8"/>
  <c r="X757" i="8" s="1"/>
  <c r="Z767" i="8"/>
  <c r="Z768" i="8"/>
  <c r="Z769" i="8"/>
  <c r="Z770" i="8"/>
  <c r="X758" i="8" s="1"/>
  <c r="Z771" i="8"/>
  <c r="X759" i="8" s="1"/>
  <c r="Z772" i="8"/>
  <c r="X760" i="8" s="1"/>
  <c r="Z773" i="8"/>
  <c r="Z774" i="8"/>
  <c r="Z775" i="8"/>
  <c r="Z776" i="8"/>
  <c r="Z777" i="8"/>
  <c r="Z778" i="8"/>
  <c r="Z779" i="8"/>
  <c r="X761" i="8" s="1"/>
  <c r="Z780" i="8"/>
  <c r="X762" i="8" s="1"/>
  <c r="Z781" i="8"/>
  <c r="X763" i="8" s="1"/>
  <c r="Z782" i="8"/>
  <c r="X764" i="8" s="1"/>
  <c r="Z783" i="8"/>
  <c r="X765" i="8" s="1"/>
  <c r="Z784" i="8"/>
  <c r="X766" i="8" s="1"/>
  <c r="Z785" i="8"/>
  <c r="X767" i="8" s="1"/>
  <c r="Z786" i="8"/>
  <c r="X786" i="8" s="1"/>
  <c r="Z787" i="8"/>
  <c r="X768" i="8" s="1"/>
  <c r="Z788" i="8"/>
  <c r="X769" i="8" s="1"/>
  <c r="Z789" i="8"/>
  <c r="X787" i="8" s="1"/>
  <c r="Z790" i="8"/>
  <c r="X770" i="8" s="1"/>
  <c r="Z791" i="8"/>
  <c r="Z792" i="8"/>
  <c r="Z793" i="8"/>
  <c r="X771" i="8" s="1"/>
  <c r="Z794" i="8"/>
  <c r="X772" i="8" s="1"/>
  <c r="Z795" i="8"/>
  <c r="X773" i="8" s="1"/>
  <c r="Z796" i="8"/>
  <c r="X788" i="8" s="1"/>
  <c r="Z797" i="8"/>
  <c r="X774" i="8" s="1"/>
  <c r="Z798" i="8"/>
  <c r="X775" i="8" s="1"/>
  <c r="Z799" i="8"/>
  <c r="X776" i="8" s="1"/>
  <c r="Z800" i="8"/>
  <c r="X777" i="8" s="1"/>
  <c r="Z801" i="8"/>
  <c r="X778" i="8" s="1"/>
  <c r="Z802" i="8"/>
  <c r="X779" i="8" s="1"/>
  <c r="Z803" i="8"/>
  <c r="X780" i="8" s="1"/>
  <c r="Z804" i="8"/>
  <c r="Z805" i="8"/>
  <c r="Z806" i="8"/>
  <c r="Z807" i="8"/>
  <c r="Z808" i="8"/>
  <c r="Z809" i="8"/>
  <c r="Z810" i="8"/>
  <c r="Z811" i="8"/>
  <c r="Z812" i="8"/>
  <c r="Z813" i="8"/>
  <c r="Z814" i="8"/>
  <c r="Z815" i="8"/>
  <c r="Z816" i="8"/>
  <c r="Z817" i="8"/>
  <c r="Z818" i="8"/>
  <c r="X817" i="8" s="1"/>
  <c r="Z819" i="8"/>
  <c r="X818" i="8" s="1"/>
  <c r="Z820" i="8"/>
  <c r="X819" i="8" s="1"/>
  <c r="Z821" i="8"/>
  <c r="X820" i="8" s="1"/>
  <c r="Z822" i="8"/>
  <c r="Z823" i="8"/>
  <c r="X821" i="8" s="1"/>
  <c r="Z824" i="8"/>
  <c r="X822" i="8" s="1"/>
  <c r="Z825" i="8"/>
  <c r="Z826" i="8"/>
  <c r="Z827" i="8"/>
  <c r="Z828" i="8"/>
  <c r="Z829" i="8"/>
  <c r="X804" i="8" s="1"/>
  <c r="Z830" i="8"/>
  <c r="Z831" i="8"/>
  <c r="Z832" i="8"/>
  <c r="Z833" i="8"/>
  <c r="Z834" i="8"/>
  <c r="X805" i="8" s="1"/>
  <c r="Z835" i="8"/>
  <c r="X823" i="8" s="1"/>
  <c r="Z836" i="8"/>
  <c r="Z837" i="8"/>
  <c r="Z838" i="8"/>
  <c r="Z839" i="8"/>
  <c r="Z840" i="8"/>
  <c r="X840" i="8" s="1"/>
  <c r="Z841" i="8"/>
  <c r="Z842" i="8"/>
  <c r="X841" i="8" s="1"/>
  <c r="Z843" i="8"/>
  <c r="Z844" i="8"/>
  <c r="Z845" i="8"/>
  <c r="X842" i="8" s="1"/>
  <c r="Z846" i="8"/>
  <c r="Z847" i="8"/>
  <c r="X832" i="8" s="1"/>
  <c r="Z848" i="8"/>
  <c r="X843" i="8" s="1"/>
  <c r="Z849" i="8"/>
  <c r="X844" i="8" s="1"/>
  <c r="Z850" i="8"/>
  <c r="X845" i="8" s="1"/>
  <c r="Z851" i="8"/>
  <c r="X846" i="8" s="1"/>
  <c r="Z852" i="8"/>
  <c r="X847" i="8" s="1"/>
  <c r="Z853" i="8"/>
  <c r="X811" i="8" s="1"/>
  <c r="Z854" i="8"/>
  <c r="X848" i="8" s="1"/>
  <c r="Z855" i="8"/>
  <c r="Z856" i="8"/>
  <c r="X849" i="8" s="1"/>
  <c r="Z857" i="8"/>
  <c r="Z858" i="8"/>
  <c r="Z859" i="8"/>
  <c r="Z860" i="8"/>
  <c r="X833" i="8" s="1"/>
  <c r="Z861" i="8"/>
  <c r="X850" i="8" s="1"/>
  <c r="Z862" i="8"/>
  <c r="Z863" i="8"/>
  <c r="Z864" i="8"/>
  <c r="X812" i="8" s="1"/>
  <c r="Z865" i="8"/>
  <c r="X851" i="8" s="1"/>
  <c r="Z866" i="8"/>
  <c r="X852" i="8" s="1"/>
  <c r="Z867" i="8"/>
  <c r="Z868" i="8"/>
  <c r="X824" i="8" s="1"/>
  <c r="Z869" i="8"/>
  <c r="Z870" i="8"/>
  <c r="X806" i="8" s="1"/>
  <c r="Z871" i="8"/>
  <c r="X865" i="8" s="1"/>
  <c r="Z872" i="8"/>
  <c r="X853" i="8" s="1"/>
  <c r="Z873" i="8"/>
  <c r="X866" i="8" s="1"/>
  <c r="Z874" i="8"/>
  <c r="Z875" i="8"/>
  <c r="X825" i="8" s="1"/>
  <c r="Z876" i="8"/>
  <c r="Z877" i="8"/>
  <c r="X807" i="8" s="1"/>
  <c r="Z878" i="8"/>
  <c r="Z879" i="8"/>
  <c r="Z880" i="8"/>
  <c r="Z881" i="8"/>
  <c r="Z882" i="8"/>
  <c r="X854" i="8" s="1"/>
  <c r="Z883" i="8"/>
  <c r="X855" i="8" s="1"/>
  <c r="Z884" i="8"/>
  <c r="X856" i="8" s="1"/>
  <c r="Z885" i="8"/>
  <c r="X857" i="8" s="1"/>
  <c r="Z886" i="8"/>
  <c r="X808" i="8" s="1"/>
  <c r="Z887" i="8"/>
  <c r="Z888" i="8"/>
  <c r="X826" i="8" s="1"/>
  <c r="Z889" i="8"/>
  <c r="Z890" i="8"/>
  <c r="X827" i="8" s="1"/>
  <c r="Z891" i="8"/>
  <c r="X809" i="8" s="1"/>
  <c r="Z892" i="8"/>
  <c r="X858" i="8" s="1"/>
  <c r="Z893" i="8"/>
  <c r="X867" i="8" s="1"/>
  <c r="Z894" i="8"/>
  <c r="Z895" i="8"/>
  <c r="X828" i="8" s="1"/>
  <c r="Z896" i="8"/>
  <c r="X868" i="8" s="1"/>
  <c r="Z897" i="8"/>
  <c r="X810" i="8" s="1"/>
  <c r="Z898" i="8"/>
  <c r="Z899" i="8"/>
  <c r="X829" i="8" s="1"/>
  <c r="Z900" i="8"/>
  <c r="X830" i="8" s="1"/>
  <c r="Z901" i="8"/>
  <c r="X869" i="8" s="1"/>
  <c r="Z902" i="8"/>
  <c r="X831" i="8" s="1"/>
  <c r="Z903" i="8"/>
  <c r="Z904" i="8"/>
  <c r="Z905" i="8"/>
  <c r="Z906" i="8"/>
  <c r="Z907" i="8"/>
  <c r="Z908" i="8"/>
  <c r="Z909" i="8"/>
  <c r="Z910" i="8"/>
  <c r="Z911" i="8"/>
  <c r="Z912" i="8"/>
  <c r="Z913" i="8"/>
  <c r="Z914" i="8"/>
  <c r="Z915" i="8"/>
  <c r="Z916" i="8"/>
  <c r="X916" i="8" s="1"/>
  <c r="Z917" i="8"/>
  <c r="Z918" i="8"/>
  <c r="X917" i="8" s="1"/>
  <c r="Z919" i="8"/>
  <c r="X918" i="8" s="1"/>
  <c r="K3" i="8"/>
  <c r="S2" i="5"/>
  <c r="S4" i="5"/>
  <c r="S3" i="5"/>
  <c r="S5" i="5"/>
  <c r="S6" i="5"/>
  <c r="S9" i="5"/>
  <c r="S8" i="5"/>
  <c r="S7" i="5"/>
  <c r="B25" i="10"/>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J3" i="8" a="1"/>
  <c r="J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3" i="8"/>
  <c r="T10" i="7" a="1"/>
  <c r="T10" i="7"/>
  <c r="T11" i="7" a="1"/>
  <c r="T11" i="7"/>
  <c r="T5" i="7" a="1"/>
  <c r="T5" i="7"/>
  <c r="S5" i="7" a="1"/>
  <c r="S5" i="7"/>
  <c r="T16" i="7"/>
  <c r="C6" i="8"/>
  <c r="C7" i="8"/>
  <c r="C8" i="8"/>
  <c r="C9" i="8"/>
  <c r="C10" i="8"/>
  <c r="C11" i="8"/>
  <c r="C12" i="8"/>
  <c r="C5" i="8"/>
  <c r="C14" i="8" s="1"/>
  <c r="C15" i="8" s="1"/>
  <c r="R41" i="7" a="1"/>
  <c r="R41" i="7"/>
  <c r="S12" i="7" a="1"/>
  <c r="S12" i="7"/>
  <c r="T12" i="7" a="1"/>
  <c r="T12" i="7"/>
  <c r="T6" i="7" a="1"/>
  <c r="T6" i="7"/>
  <c r="S6" i="7" a="1"/>
  <c r="S6" i="7"/>
  <c r="T7" i="7" a="1"/>
  <c r="T7" i="7"/>
  <c r="S7" i="7" a="1"/>
  <c r="S7" i="7"/>
  <c r="T8" i="7" a="1"/>
  <c r="T8" i="7"/>
  <c r="S8" i="7" a="1"/>
  <c r="S8" i="7"/>
  <c r="T9" i="7" a="1"/>
  <c r="T9" i="7"/>
  <c r="S9" i="7" a="1"/>
  <c r="S9" i="7"/>
  <c r="S11" i="7" a="1"/>
  <c r="S11"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2" i="7"/>
  <c r="S1" i="7"/>
  <c r="W2" i="4"/>
  <c r="W3" i="4"/>
  <c r="S3" i="7"/>
  <c r="O2" i="4" a="1"/>
  <c r="O2" i="4"/>
  <c r="B228" i="7" a="1"/>
  <c r="B228" i="7"/>
  <c r="B229" i="7" a="1"/>
  <c r="B229" i="7"/>
  <c r="B230" i="7" a="1"/>
  <c r="B230" i="7"/>
  <c r="B231" i="7" a="1"/>
  <c r="B231" i="7"/>
  <c r="B232" i="7" a="1"/>
  <c r="B232" i="7"/>
  <c r="B233" i="7" a="1"/>
  <c r="B233" i="7"/>
  <c r="B234" i="7" a="1"/>
  <c r="B234" i="7"/>
  <c r="B235" i="7" a="1"/>
  <c r="B235" i="7"/>
  <c r="B236" i="7" a="1"/>
  <c r="B236" i="7"/>
  <c r="B237" i="7" a="1"/>
  <c r="B237" i="7"/>
  <c r="B238" i="7" a="1"/>
  <c r="B238" i="7"/>
  <c r="B239" i="7" a="1"/>
  <c r="B239" i="7"/>
  <c r="B240" i="7" a="1"/>
  <c r="B240" i="7"/>
  <c r="B241" i="7" a="1"/>
  <c r="B241" i="7"/>
  <c r="B242" i="7" a="1"/>
  <c r="B242" i="7"/>
  <c r="B243" i="7" a="1"/>
  <c r="B243" i="7"/>
  <c r="B244" i="7" a="1"/>
  <c r="B244" i="7"/>
  <c r="B245" i="7" a="1"/>
  <c r="B245" i="7"/>
  <c r="B246" i="7" a="1"/>
  <c r="B246" i="7"/>
  <c r="B247" i="7" a="1"/>
  <c r="B247" i="7"/>
  <c r="B248" i="7" a="1"/>
  <c r="B248" i="7"/>
  <c r="B249" i="7" a="1"/>
  <c r="B249" i="7"/>
  <c r="B250" i="7" a="1"/>
  <c r="B250" i="7"/>
  <c r="B251" i="7" a="1"/>
  <c r="B251" i="7"/>
  <c r="B252" i="7" a="1"/>
  <c r="B252" i="7"/>
  <c r="B253" i="7" a="1"/>
  <c r="B253" i="7"/>
  <c r="B254" i="7" a="1"/>
  <c r="B254" i="7"/>
  <c r="B255" i="7" a="1"/>
  <c r="B255" i="7"/>
  <c r="B256" i="7" a="1"/>
  <c r="B256" i="7"/>
  <c r="B257" i="7" a="1"/>
  <c r="B257" i="7"/>
  <c r="B258" i="7" a="1"/>
  <c r="B258" i="7"/>
  <c r="B259" i="7" a="1"/>
  <c r="B259" i="7"/>
  <c r="B260" i="7" a="1"/>
  <c r="B260" i="7"/>
  <c r="B261" i="7" a="1"/>
  <c r="B261" i="7"/>
  <c r="B262" i="7" a="1"/>
  <c r="B262" i="7"/>
  <c r="B263" i="7" a="1"/>
  <c r="B263" i="7"/>
  <c r="B264" i="7" a="1"/>
  <c r="B264" i="7"/>
  <c r="B265" i="7" a="1"/>
  <c r="B265" i="7"/>
  <c r="B266" i="7" a="1"/>
  <c r="B266" i="7"/>
  <c r="B267" i="7" a="1"/>
  <c r="B267" i="7"/>
  <c r="B268" i="7" a="1"/>
  <c r="B268" i="7"/>
  <c r="B269" i="7" a="1"/>
  <c r="B269" i="7"/>
  <c r="B270" i="7" a="1"/>
  <c r="B270" i="7"/>
  <c r="B271" i="7" a="1"/>
  <c r="B271" i="7"/>
  <c r="B272" i="7" a="1"/>
  <c r="B272" i="7"/>
  <c r="B273" i="7" a="1"/>
  <c r="B273" i="7"/>
  <c r="B274" i="7" a="1"/>
  <c r="B274" i="7"/>
  <c r="B275" i="7" a="1"/>
  <c r="B275" i="7"/>
  <c r="B276" i="7" a="1"/>
  <c r="B276" i="7"/>
  <c r="B277" i="7" a="1"/>
  <c r="B277" i="7"/>
  <c r="B278" i="7" a="1"/>
  <c r="B278" i="7"/>
  <c r="B279" i="7" a="1"/>
  <c r="B279" i="7"/>
  <c r="B280" i="7" a="1"/>
  <c r="B280" i="7"/>
  <c r="B281" i="7" a="1"/>
  <c r="B281" i="7"/>
  <c r="B282" i="7" a="1"/>
  <c r="B282" i="7"/>
  <c r="B283" i="7" a="1"/>
  <c r="B283" i="7"/>
  <c r="B284" i="7" a="1"/>
  <c r="B284" i="7"/>
  <c r="B285" i="7" a="1"/>
  <c r="B285" i="7"/>
  <c r="B286" i="7" a="1"/>
  <c r="B286" i="7"/>
  <c r="B287" i="7" a="1"/>
  <c r="B287" i="7"/>
  <c r="B288" i="7" a="1"/>
  <c r="B288" i="7"/>
  <c r="B289" i="7" a="1"/>
  <c r="B289" i="7"/>
  <c r="B290" i="7" a="1"/>
  <c r="B290" i="7"/>
  <c r="B291" i="7" a="1"/>
  <c r="B291" i="7"/>
  <c r="B292" i="7" a="1"/>
  <c r="B292" i="7"/>
  <c r="B293" i="7" a="1"/>
  <c r="B293" i="7"/>
  <c r="B294" i="7" a="1"/>
  <c r="B294" i="7"/>
  <c r="B295" i="7" a="1"/>
  <c r="B295" i="7"/>
  <c r="B296" i="7" a="1"/>
  <c r="B296" i="7"/>
  <c r="B297" i="7" a="1"/>
  <c r="B297" i="7"/>
  <c r="B298" i="7" a="1"/>
  <c r="B298" i="7"/>
  <c r="B299" i="7" a="1"/>
  <c r="B299" i="7"/>
  <c r="B300" i="7" a="1"/>
  <c r="B300" i="7"/>
  <c r="B301" i="7" a="1"/>
  <c r="B301" i="7"/>
  <c r="B302" i="7" a="1"/>
  <c r="B302" i="7"/>
  <c r="B303" i="7" a="1"/>
  <c r="B303" i="7"/>
  <c r="B304" i="7" a="1"/>
  <c r="B304" i="7"/>
  <c r="B305" i="7" a="1"/>
  <c r="B305" i="7"/>
  <c r="B306" i="7" a="1"/>
  <c r="B306" i="7"/>
  <c r="B307" i="7" a="1"/>
  <c r="B307" i="7"/>
  <c r="B308" i="7" a="1"/>
  <c r="B308" i="7"/>
  <c r="B309" i="7" a="1"/>
  <c r="B309" i="7"/>
  <c r="B310" i="7" a="1"/>
  <c r="B310" i="7"/>
  <c r="B311" i="7" a="1"/>
  <c r="B311" i="7"/>
  <c r="B312" i="7" a="1"/>
  <c r="B312" i="7"/>
  <c r="B313" i="7" a="1"/>
  <c r="B313" i="7"/>
  <c r="B314" i="7" a="1"/>
  <c r="B314" i="7"/>
  <c r="B315" i="7" a="1"/>
  <c r="B315" i="7"/>
  <c r="B316" i="7" a="1"/>
  <c r="B316" i="7"/>
  <c r="B317" i="7" a="1"/>
  <c r="B317" i="7"/>
  <c r="B318" i="7" a="1"/>
  <c r="B318" i="7"/>
  <c r="B319" i="7" a="1"/>
  <c r="B319" i="7"/>
  <c r="B320" i="7" a="1"/>
  <c r="B320" i="7"/>
  <c r="B3" i="7" a="1"/>
  <c r="B3" i="7"/>
  <c r="B4" i="7" a="1"/>
  <c r="B4" i="7"/>
  <c r="B5" i="7" a="1"/>
  <c r="B5" i="7"/>
  <c r="B6" i="7" a="1"/>
  <c r="B6" i="7"/>
  <c r="B7" i="7" a="1"/>
  <c r="B7" i="7"/>
  <c r="B8" i="7" a="1"/>
  <c r="B8" i="7"/>
  <c r="B9" i="7" a="1"/>
  <c r="B9" i="7"/>
  <c r="B10" i="7" a="1"/>
  <c r="B10" i="7"/>
  <c r="B11" i="7" a="1"/>
  <c r="B11" i="7"/>
  <c r="B12" i="7" a="1"/>
  <c r="B12" i="7"/>
  <c r="B13" i="7" a="1"/>
  <c r="B13" i="7"/>
  <c r="B14" i="7" a="1"/>
  <c r="B14" i="7"/>
  <c r="B15" i="7" a="1"/>
  <c r="B15" i="7"/>
  <c r="B16" i="7" a="1"/>
  <c r="B16" i="7"/>
  <c r="B17" i="7" a="1"/>
  <c r="B17" i="7"/>
  <c r="B18" i="7" a="1"/>
  <c r="B18" i="7"/>
  <c r="B19" i="7" a="1"/>
  <c r="B19" i="7"/>
  <c r="B20" i="7" a="1"/>
  <c r="B20" i="7"/>
  <c r="B21" i="7" a="1"/>
  <c r="B21" i="7"/>
  <c r="B22" i="7" a="1"/>
  <c r="B22" i="7"/>
  <c r="B23" i="7" a="1"/>
  <c r="B23" i="7"/>
  <c r="B24" i="7" a="1"/>
  <c r="B24" i="7"/>
  <c r="B25" i="7" a="1"/>
  <c r="B25" i="7"/>
  <c r="B26" i="7" a="1"/>
  <c r="B26" i="7"/>
  <c r="B27" i="7" a="1"/>
  <c r="B27" i="7"/>
  <c r="B28" i="7" a="1"/>
  <c r="B28" i="7"/>
  <c r="B29" i="7" a="1"/>
  <c r="B29" i="7"/>
  <c r="B30" i="7" a="1"/>
  <c r="B30" i="7"/>
  <c r="B31" i="7" a="1"/>
  <c r="B31" i="7"/>
  <c r="B32" i="7" a="1"/>
  <c r="B32" i="7"/>
  <c r="B33" i="7" a="1"/>
  <c r="B33" i="7"/>
  <c r="B34" i="7" a="1"/>
  <c r="B34" i="7"/>
  <c r="B35" i="7" a="1"/>
  <c r="B35" i="7"/>
  <c r="B36" i="7" a="1"/>
  <c r="B36" i="7"/>
  <c r="B37" i="7" a="1"/>
  <c r="B37" i="7"/>
  <c r="B38" i="7" a="1"/>
  <c r="B38" i="7"/>
  <c r="B39" i="7" a="1"/>
  <c r="B39" i="7"/>
  <c r="B40" i="7" a="1"/>
  <c r="B40" i="7"/>
  <c r="B41" i="7" a="1"/>
  <c r="B41" i="7"/>
  <c r="B42" i="7" a="1"/>
  <c r="B42" i="7"/>
  <c r="B43" i="7" a="1"/>
  <c r="B43" i="7"/>
  <c r="B44" i="7" a="1"/>
  <c r="B44" i="7"/>
  <c r="B45" i="7" a="1"/>
  <c r="B45" i="7"/>
  <c r="B46" i="7" a="1"/>
  <c r="B46" i="7"/>
  <c r="B47" i="7" a="1"/>
  <c r="B47" i="7"/>
  <c r="B48" i="7" a="1"/>
  <c r="B48" i="7"/>
  <c r="B49" i="7" a="1"/>
  <c r="B49" i="7"/>
  <c r="B50" i="7" a="1"/>
  <c r="B50" i="7"/>
  <c r="B51" i="7" a="1"/>
  <c r="B51" i="7"/>
  <c r="B52" i="7" a="1"/>
  <c r="B52" i="7"/>
  <c r="B53" i="7" a="1"/>
  <c r="B53" i="7"/>
  <c r="B54" i="7" a="1"/>
  <c r="B54" i="7"/>
  <c r="B55" i="7" a="1"/>
  <c r="B55" i="7"/>
  <c r="B56" i="7" a="1"/>
  <c r="B56" i="7"/>
  <c r="B57" i="7" a="1"/>
  <c r="B57" i="7"/>
  <c r="B58" i="7" a="1"/>
  <c r="B58" i="7"/>
  <c r="B59" i="7" a="1"/>
  <c r="B59" i="7"/>
  <c r="B60" i="7" a="1"/>
  <c r="B60" i="7"/>
  <c r="B61" i="7" a="1"/>
  <c r="B61" i="7"/>
  <c r="B62" i="7" a="1"/>
  <c r="B62" i="7"/>
  <c r="B63" i="7" a="1"/>
  <c r="B63" i="7"/>
  <c r="B64" i="7" a="1"/>
  <c r="B64" i="7"/>
  <c r="B65" i="7" a="1"/>
  <c r="B65" i="7"/>
  <c r="B66" i="7" a="1"/>
  <c r="B66" i="7"/>
  <c r="B67" i="7" a="1"/>
  <c r="B67" i="7"/>
  <c r="B68" i="7" a="1"/>
  <c r="B68" i="7"/>
  <c r="B69" i="7" a="1"/>
  <c r="B69" i="7"/>
  <c r="B70" i="7" a="1"/>
  <c r="B70" i="7"/>
  <c r="B71" i="7" a="1"/>
  <c r="B71" i="7"/>
  <c r="B72" i="7" a="1"/>
  <c r="B72" i="7"/>
  <c r="B73" i="7" a="1"/>
  <c r="B73" i="7"/>
  <c r="B74" i="7" a="1"/>
  <c r="B74" i="7"/>
  <c r="B75" i="7" a="1"/>
  <c r="B75" i="7"/>
  <c r="B76" i="7" a="1"/>
  <c r="B76" i="7"/>
  <c r="B77" i="7" a="1"/>
  <c r="B77" i="7"/>
  <c r="B78" i="7" a="1"/>
  <c r="B78" i="7"/>
  <c r="B79" i="7" a="1"/>
  <c r="B79" i="7"/>
  <c r="B80" i="7" a="1"/>
  <c r="B80" i="7"/>
  <c r="B81" i="7" a="1"/>
  <c r="B81" i="7"/>
  <c r="B82" i="7" a="1"/>
  <c r="B82" i="7"/>
  <c r="B83" i="7" a="1"/>
  <c r="B83" i="7"/>
  <c r="B84" i="7" a="1"/>
  <c r="B84" i="7"/>
  <c r="B85" i="7" a="1"/>
  <c r="B85" i="7"/>
  <c r="B86" i="7" a="1"/>
  <c r="B86" i="7"/>
  <c r="B87" i="7" a="1"/>
  <c r="B87" i="7"/>
  <c r="B88" i="7" a="1"/>
  <c r="B88" i="7"/>
  <c r="B89" i="7" a="1"/>
  <c r="B89" i="7"/>
  <c r="B90" i="7" a="1"/>
  <c r="B90" i="7"/>
  <c r="B91" i="7" a="1"/>
  <c r="B91" i="7"/>
  <c r="B92" i="7" a="1"/>
  <c r="B92" i="7"/>
  <c r="B93" i="7" a="1"/>
  <c r="B93" i="7"/>
  <c r="B94" i="7" a="1"/>
  <c r="B94" i="7"/>
  <c r="B95" i="7" a="1"/>
  <c r="B95" i="7"/>
  <c r="B96" i="7" a="1"/>
  <c r="B96" i="7"/>
  <c r="B97" i="7" a="1"/>
  <c r="B97" i="7"/>
  <c r="B98" i="7" a="1"/>
  <c r="B98" i="7"/>
  <c r="B99" i="7" a="1"/>
  <c r="B99" i="7"/>
  <c r="B100" i="7" a="1"/>
  <c r="B100" i="7"/>
  <c r="B101" i="7" a="1"/>
  <c r="B101" i="7"/>
  <c r="B102" i="7" a="1"/>
  <c r="B102" i="7"/>
  <c r="B103" i="7" a="1"/>
  <c r="B103" i="7"/>
  <c r="B104" i="7" a="1"/>
  <c r="B104" i="7"/>
  <c r="B105" i="7" a="1"/>
  <c r="B105" i="7"/>
  <c r="B106" i="7" a="1"/>
  <c r="B106" i="7"/>
  <c r="B107" i="7" a="1"/>
  <c r="B107" i="7"/>
  <c r="B108" i="7" a="1"/>
  <c r="B108" i="7"/>
  <c r="B109" i="7" a="1"/>
  <c r="B109" i="7"/>
  <c r="B110" i="7" a="1"/>
  <c r="B110" i="7"/>
  <c r="B111" i="7" a="1"/>
  <c r="B111" i="7"/>
  <c r="B112" i="7" a="1"/>
  <c r="B112" i="7"/>
  <c r="B113" i="7" a="1"/>
  <c r="B113" i="7"/>
  <c r="B114" i="7" a="1"/>
  <c r="B114" i="7"/>
  <c r="B115" i="7" a="1"/>
  <c r="B115" i="7"/>
  <c r="B116" i="7" a="1"/>
  <c r="B116" i="7"/>
  <c r="B117" i="7" a="1"/>
  <c r="B117" i="7"/>
  <c r="B118" i="7" a="1"/>
  <c r="B118" i="7"/>
  <c r="B119" i="7" a="1"/>
  <c r="B119" i="7"/>
  <c r="B120" i="7" a="1"/>
  <c r="B120" i="7"/>
  <c r="B121" i="7" a="1"/>
  <c r="B121" i="7"/>
  <c r="B122" i="7" a="1"/>
  <c r="B122" i="7"/>
  <c r="B123" i="7" a="1"/>
  <c r="B123" i="7"/>
  <c r="B124" i="7" a="1"/>
  <c r="B124" i="7"/>
  <c r="B125" i="7" a="1"/>
  <c r="B125" i="7"/>
  <c r="B126" i="7" a="1"/>
  <c r="B126" i="7"/>
  <c r="B127" i="7" a="1"/>
  <c r="B127" i="7"/>
  <c r="B128" i="7" a="1"/>
  <c r="B128" i="7"/>
  <c r="B129" i="7" a="1"/>
  <c r="B129" i="7"/>
  <c r="B130" i="7" a="1"/>
  <c r="B130" i="7"/>
  <c r="B131" i="7" a="1"/>
  <c r="B131" i="7"/>
  <c r="B132" i="7" a="1"/>
  <c r="B132" i="7"/>
  <c r="B133" i="7" a="1"/>
  <c r="B133" i="7"/>
  <c r="B134" i="7" a="1"/>
  <c r="B134" i="7"/>
  <c r="B135" i="7" a="1"/>
  <c r="B135" i="7"/>
  <c r="B136" i="7" a="1"/>
  <c r="B136" i="7"/>
  <c r="B137" i="7" a="1"/>
  <c r="B137" i="7"/>
  <c r="B138" i="7" a="1"/>
  <c r="B138" i="7"/>
  <c r="B139" i="7" a="1"/>
  <c r="B139" i="7"/>
  <c r="B140" i="7" a="1"/>
  <c r="B140" i="7"/>
  <c r="B141" i="7" a="1"/>
  <c r="B141" i="7"/>
  <c r="B142" i="7" a="1"/>
  <c r="B142" i="7"/>
  <c r="B143" i="7" a="1"/>
  <c r="B143" i="7"/>
  <c r="B144" i="7" a="1"/>
  <c r="B144" i="7"/>
  <c r="B145" i="7" a="1"/>
  <c r="B145" i="7"/>
  <c r="B146" i="7" a="1"/>
  <c r="B146" i="7"/>
  <c r="B147" i="7" a="1"/>
  <c r="B147" i="7"/>
  <c r="B148" i="7" a="1"/>
  <c r="B148" i="7"/>
  <c r="B149" i="7" a="1"/>
  <c r="B149" i="7"/>
  <c r="B150" i="7" a="1"/>
  <c r="B150" i="7"/>
  <c r="B151" i="7" a="1"/>
  <c r="B151" i="7"/>
  <c r="B152" i="7" a="1"/>
  <c r="B152" i="7"/>
  <c r="B153" i="7" a="1"/>
  <c r="B153" i="7"/>
  <c r="B154" i="7" a="1"/>
  <c r="B154" i="7"/>
  <c r="B155" i="7" a="1"/>
  <c r="B155" i="7"/>
  <c r="B156" i="7" a="1"/>
  <c r="B156" i="7"/>
  <c r="B157" i="7" a="1"/>
  <c r="B157" i="7"/>
  <c r="B158" i="7" a="1"/>
  <c r="B158" i="7"/>
  <c r="B159" i="7" a="1"/>
  <c r="B159" i="7"/>
  <c r="B160" i="7" a="1"/>
  <c r="B160" i="7"/>
  <c r="B161" i="7" a="1"/>
  <c r="B161" i="7"/>
  <c r="B162" i="7" a="1"/>
  <c r="B162" i="7"/>
  <c r="B163" i="7" a="1"/>
  <c r="B163" i="7"/>
  <c r="B164" i="7" a="1"/>
  <c r="B164" i="7"/>
  <c r="B165" i="7" a="1"/>
  <c r="B165" i="7"/>
  <c r="B166" i="7" a="1"/>
  <c r="B166" i="7"/>
  <c r="B167" i="7" a="1"/>
  <c r="B167" i="7"/>
  <c r="B168" i="7" a="1"/>
  <c r="B168" i="7"/>
  <c r="B169" i="7" a="1"/>
  <c r="B169" i="7"/>
  <c r="B170" i="7" a="1"/>
  <c r="B170" i="7"/>
  <c r="B171" i="7" a="1"/>
  <c r="B171" i="7"/>
  <c r="B172" i="7" a="1"/>
  <c r="B172" i="7"/>
  <c r="B173" i="7" a="1"/>
  <c r="B173" i="7"/>
  <c r="B174" i="7" a="1"/>
  <c r="B174" i="7"/>
  <c r="B175" i="7" a="1"/>
  <c r="B175" i="7"/>
  <c r="B176" i="7" a="1"/>
  <c r="B176" i="7"/>
  <c r="B177" i="7" a="1"/>
  <c r="B177" i="7"/>
  <c r="B178" i="7" a="1"/>
  <c r="B178" i="7"/>
  <c r="B179" i="7" a="1"/>
  <c r="B179" i="7"/>
  <c r="B180" i="7" a="1"/>
  <c r="B180" i="7"/>
  <c r="B181" i="7" a="1"/>
  <c r="B181" i="7"/>
  <c r="B182" i="7" a="1"/>
  <c r="B182" i="7"/>
  <c r="B183" i="7" a="1"/>
  <c r="B183" i="7"/>
  <c r="B184" i="7" a="1"/>
  <c r="B184" i="7"/>
  <c r="B185" i="7" a="1"/>
  <c r="B185" i="7"/>
  <c r="B186" i="7" a="1"/>
  <c r="B186" i="7"/>
  <c r="B187" i="7" a="1"/>
  <c r="B187" i="7"/>
  <c r="B188" i="7" a="1"/>
  <c r="B188" i="7"/>
  <c r="B189" i="7" a="1"/>
  <c r="B189" i="7"/>
  <c r="B190" i="7" a="1"/>
  <c r="B190" i="7"/>
  <c r="B191" i="7" a="1"/>
  <c r="B191" i="7"/>
  <c r="B192" i="7" a="1"/>
  <c r="B192" i="7"/>
  <c r="B193" i="7" a="1"/>
  <c r="B193" i="7"/>
  <c r="B194" i="7" a="1"/>
  <c r="B194" i="7"/>
  <c r="B195" i="7" a="1"/>
  <c r="B195" i="7"/>
  <c r="B196" i="7" a="1"/>
  <c r="B196" i="7"/>
  <c r="B197" i="7" a="1"/>
  <c r="B197" i="7"/>
  <c r="B198" i="7" a="1"/>
  <c r="B198" i="7"/>
  <c r="B199" i="7" a="1"/>
  <c r="B199" i="7"/>
  <c r="B200" i="7" a="1"/>
  <c r="B200" i="7"/>
  <c r="B201" i="7" a="1"/>
  <c r="B201" i="7"/>
  <c r="B202" i="7" a="1"/>
  <c r="B202" i="7"/>
  <c r="B203" i="7" a="1"/>
  <c r="B203" i="7"/>
  <c r="B204" i="7" a="1"/>
  <c r="B204" i="7"/>
  <c r="B205" i="7" a="1"/>
  <c r="B205" i="7"/>
  <c r="B206" i="7" a="1"/>
  <c r="B206" i="7"/>
  <c r="B207" i="7" a="1"/>
  <c r="B207" i="7"/>
  <c r="B208" i="7" a="1"/>
  <c r="B208" i="7"/>
  <c r="B209" i="7" a="1"/>
  <c r="B209" i="7"/>
  <c r="B210" i="7" a="1"/>
  <c r="B210" i="7"/>
  <c r="B211" i="7" a="1"/>
  <c r="B211" i="7"/>
  <c r="B212" i="7" a="1"/>
  <c r="B212" i="7"/>
  <c r="B213" i="7" a="1"/>
  <c r="B213" i="7"/>
  <c r="B214" i="7" a="1"/>
  <c r="B214" i="7"/>
  <c r="B215" i="7" a="1"/>
  <c r="B215" i="7"/>
  <c r="B216" i="7" a="1"/>
  <c r="B216" i="7"/>
  <c r="B217" i="7" a="1"/>
  <c r="B217" i="7"/>
  <c r="B218" i="7" a="1"/>
  <c r="B218" i="7"/>
  <c r="B219" i="7" a="1"/>
  <c r="B219" i="7"/>
  <c r="B220" i="7" a="1"/>
  <c r="B220" i="7"/>
  <c r="B221" i="7" a="1"/>
  <c r="B221" i="7"/>
  <c r="B222" i="7" a="1"/>
  <c r="B222" i="7"/>
  <c r="B223" i="7" a="1"/>
  <c r="B223" i="7"/>
  <c r="B224" i="7" a="1"/>
  <c r="B224" i="7"/>
  <c r="B225" i="7" a="1"/>
  <c r="B225" i="7"/>
  <c r="B226" i="7" a="1"/>
  <c r="B226" i="7"/>
  <c r="B227" i="7" a="1"/>
  <c r="B227" i="7"/>
  <c r="B2" i="7" a="1"/>
  <c r="B2" i="7"/>
  <c r="N3" i="4"/>
  <c r="M205" i="4" a="1"/>
  <c r="M205" i="4"/>
  <c r="N21" i="4"/>
  <c r="M2" i="4" a="1"/>
  <c r="M2" i="4"/>
  <c r="M3" i="4" a="1"/>
  <c r="M3" i="4"/>
  <c r="M4" i="4" a="1"/>
  <c r="M4" i="4"/>
  <c r="M5" i="4" a="1"/>
  <c r="M5" i="4"/>
  <c r="M6" i="4" a="1"/>
  <c r="M6" i="4"/>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3" i="4" a="1"/>
  <c r="M163" i="4"/>
  <c r="M164" i="4" a="1"/>
  <c r="M164" i="4"/>
  <c r="M166" i="4" a="1"/>
  <c r="M166" i="4"/>
  <c r="M168" i="4" a="1"/>
  <c r="M168" i="4"/>
  <c r="M170" i="4" a="1"/>
  <c r="M170" i="4"/>
  <c r="M172" i="4" a="1"/>
  <c r="M172" i="4"/>
  <c r="M178" i="4" a="1"/>
  <c r="M178" i="4"/>
  <c r="M179" i="4" a="1"/>
  <c r="M179" i="4"/>
  <c r="M182" i="4" a="1"/>
  <c r="M182" i="4"/>
  <c r="M184" i="4" a="1"/>
  <c r="M184" i="4"/>
  <c r="M187" i="4" a="1"/>
  <c r="M187" i="4"/>
  <c r="M188" i="4" a="1"/>
  <c r="M188" i="4"/>
  <c r="M191" i="4" a="1"/>
  <c r="M191" i="4"/>
  <c r="M192" i="4" a="1"/>
  <c r="M192" i="4"/>
  <c r="M195" i="4" a="1"/>
  <c r="M195" i="4"/>
  <c r="M196" i="4" a="1"/>
  <c r="M196" i="4"/>
  <c r="M198" i="4" a="1"/>
  <c r="M198" i="4"/>
  <c r="M199" i="4" a="1"/>
  <c r="M199" i="4"/>
  <c r="M200" i="4" a="1"/>
  <c r="M200" i="4"/>
  <c r="M201" i="4" a="1"/>
  <c r="M201" i="4"/>
  <c r="M202" i="4" a="1"/>
  <c r="M202" i="4"/>
  <c r="M203" i="4" a="1"/>
  <c r="M203" i="4"/>
  <c r="M207" i="4" a="1"/>
  <c r="M207" i="4"/>
  <c r="M208" i="4" a="1"/>
  <c r="M208" i="4"/>
  <c r="M210" i="4" a="1"/>
  <c r="M210" i="4"/>
  <c r="M211" i="4" a="1"/>
  <c r="M211" i="4"/>
  <c r="M212" i="4" a="1"/>
  <c r="M212" i="4"/>
  <c r="M213" i="4" a="1"/>
  <c r="M213" i="4" s="1"/>
  <c r="M214" i="4" a="1"/>
  <c r="M214" i="4"/>
  <c r="M215" i="4" a="1"/>
  <c r="M215" i="4"/>
  <c r="M217" i="4" a="1"/>
  <c r="M217" i="4"/>
  <c r="M218" i="4" a="1"/>
  <c r="M218" i="4"/>
  <c r="M219" i="4" a="1"/>
  <c r="M219" i="4" s="1"/>
  <c r="M220" i="4" a="1"/>
  <c r="M220" i="4"/>
  <c r="M221" i="4" a="1"/>
  <c r="M221" i="4"/>
  <c r="M227" i="4" a="1"/>
  <c r="M227" i="4"/>
  <c r="M228" i="4" a="1"/>
  <c r="M228" i="4" s="1"/>
  <c r="M230" i="4" a="1"/>
  <c r="M230" i="4" s="1"/>
  <c r="M235" i="4" a="1"/>
  <c r="M235" i="4"/>
  <c r="M236" i="4" a="1"/>
  <c r="M236" i="4"/>
  <c r="M242" i="4" a="1"/>
  <c r="M242" i="4"/>
  <c r="M243" i="4" a="1"/>
  <c r="M243" i="4" s="1"/>
  <c r="M244" i="4" a="1"/>
  <c r="M244" i="4"/>
  <c r="M246" i="4" a="1"/>
  <c r="M246" i="4" s="1"/>
  <c r="M247" i="4" a="1"/>
  <c r="M247" i="4"/>
  <c r="M248" i="4" a="1"/>
  <c r="M248" i="4"/>
  <c r="M251" i="4" a="1"/>
  <c r="M251" i="4"/>
  <c r="M252" i="4" a="1"/>
  <c r="M252" i="4" s="1"/>
  <c r="M253" i="4" a="1"/>
  <c r="M253" i="4"/>
  <c r="M257" i="4" a="1"/>
  <c r="M257" i="4"/>
  <c r="M260" i="4" a="1"/>
  <c r="M260" i="4"/>
  <c r="M263" i="4" a="1"/>
  <c r="M263" i="4"/>
  <c r="M266" i="4" a="1"/>
  <c r="M266" i="4"/>
  <c r="M268" i="4" a="1"/>
  <c r="M268" i="4"/>
  <c r="M269" i="4" a="1"/>
  <c r="M269" i="4"/>
  <c r="M270" i="4" a="1"/>
  <c r="M270" i="4" s="1"/>
  <c r="M271" i="4" a="1"/>
  <c r="M271" i="4"/>
  <c r="M272" i="4" a="1"/>
  <c r="M272" i="4"/>
  <c r="M274" i="4" a="1"/>
  <c r="M274" i="4"/>
  <c r="M282" i="4" a="1"/>
  <c r="M282" i="4" s="1"/>
  <c r="M283" i="4" a="1"/>
  <c r="M283" i="4"/>
  <c r="M284" i="4" a="1"/>
  <c r="M284" i="4"/>
  <c r="M289" i="4" a="1"/>
  <c r="M289" i="4"/>
  <c r="M290" i="4" a="1"/>
  <c r="M290" i="4"/>
  <c r="M292" i="4" a="1"/>
  <c r="M292" i="4"/>
  <c r="M293" i="4" a="1"/>
  <c r="M293" i="4"/>
  <c r="M294" i="4" a="1"/>
  <c r="M294" i="4" s="1"/>
  <c r="M295" i="4" a="1"/>
  <c r="M295" i="4"/>
  <c r="M296" i="4" a="1"/>
  <c r="M296" i="4"/>
  <c r="M297" i="4" a="1"/>
  <c r="M297" i="4" s="1"/>
  <c r="M298" i="4" a="1"/>
  <c r="M298" i="4"/>
  <c r="M300" i="4" a="1"/>
  <c r="M300" i="4" s="1"/>
  <c r="M301" i="4" a="1"/>
  <c r="M301" i="4"/>
  <c r="M304" i="4" a="1"/>
  <c r="M304" i="4"/>
  <c r="M306" i="4" a="1"/>
  <c r="M306" i="4" s="1"/>
  <c r="M307" i="4" a="1"/>
  <c r="M307" i="4"/>
  <c r="M308" i="4" a="1"/>
  <c r="M308" i="4"/>
  <c r="M310" i="4" a="1"/>
  <c r="M310" i="4"/>
  <c r="M311" i="4" a="1"/>
  <c r="M311" i="4"/>
  <c r="M312" i="4" a="1"/>
  <c r="M312" i="4" s="1"/>
  <c r="M321" i="4" a="1"/>
  <c r="M321" i="4" s="1"/>
  <c r="M326" i="4" a="1"/>
  <c r="M326" i="4"/>
  <c r="M328" i="4" a="1"/>
  <c r="M328" i="4"/>
  <c r="M330" i="4" a="1"/>
  <c r="M330" i="4" s="1"/>
  <c r="M331" i="4" a="1"/>
  <c r="M331" i="4"/>
  <c r="M332" i="4" a="1"/>
  <c r="M332" i="4"/>
  <c r="M333" i="4" a="1"/>
  <c r="M333" i="4" s="1"/>
  <c r="M335" i="4" a="1"/>
  <c r="M335" i="4"/>
  <c r="M336" i="4" a="1"/>
  <c r="M336" i="4" s="1"/>
  <c r="M337" i="4" a="1"/>
  <c r="M337" i="4"/>
  <c r="M338" i="4" a="1"/>
  <c r="M338" i="4"/>
  <c r="M339" i="4" a="1"/>
  <c r="M339" i="4" s="1"/>
  <c r="M340" i="4" a="1"/>
  <c r="M340" i="4"/>
  <c r="M341" i="4" a="1"/>
  <c r="M341" i="4"/>
  <c r="M342" i="4" a="1"/>
  <c r="M342" i="4" s="1"/>
  <c r="M343" i="4" a="1"/>
  <c r="M343" i="4"/>
  <c r="M344" i="4" a="1"/>
  <c r="M344" i="4"/>
  <c r="M345" i="4" a="1"/>
  <c r="M345" i="4" s="1"/>
  <c r="M346" i="4" a="1"/>
  <c r="M346" i="4"/>
  <c r="M348" i="4" a="1"/>
  <c r="M348" i="4" s="1"/>
  <c r="M349" i="4" a="1"/>
  <c r="M349" i="4"/>
  <c r="M351" i="4" a="1"/>
  <c r="M351" i="4" s="1"/>
  <c r="M353" i="4" a="1"/>
  <c r="M353" i="4"/>
  <c r="M358" i="4" a="1"/>
  <c r="M358" i="4"/>
  <c r="M361" i="4" a="1"/>
  <c r="M361" i="4" s="1"/>
  <c r="M362" i="4" a="1"/>
  <c r="M362" i="4"/>
  <c r="M367" i="4" a="1"/>
  <c r="M367" i="4" s="1"/>
  <c r="M372" i="4" a="1"/>
  <c r="M372" i="4" s="1"/>
  <c r="M373" i="4" a="1"/>
  <c r="M373" i="4" s="1"/>
  <c r="M376" i="4" a="1"/>
  <c r="M376" i="4" s="1"/>
  <c r="M377" i="4" a="1"/>
  <c r="M377" i="4"/>
  <c r="M378" i="4" a="1"/>
  <c r="M378" i="4" s="1"/>
  <c r="M381" i="4" a="1"/>
  <c r="M381" i="4" s="1"/>
  <c r="M387" i="4" a="1"/>
  <c r="M387" i="4" s="1"/>
  <c r="M395" i="4" a="1"/>
  <c r="M395" i="4"/>
  <c r="M396" i="4" a="1"/>
  <c r="M396" i="4" s="1"/>
  <c r="M397" i="4" a="1"/>
  <c r="M397" i="4"/>
  <c r="M398" i="4" a="1"/>
  <c r="M398" i="4"/>
  <c r="M399" i="4" a="1"/>
  <c r="M399" i="4" s="1"/>
  <c r="M400" i="4" a="1"/>
  <c r="M400" i="4"/>
  <c r="M401" i="4" a="1"/>
  <c r="M401" i="4"/>
  <c r="M403" i="4" a="1"/>
  <c r="M403" i="4"/>
  <c r="M409" i="4" a="1"/>
  <c r="M409" i="4"/>
  <c r="M414" i="4" a="1"/>
  <c r="M414" i="4" s="1"/>
  <c r="M415" i="4" a="1"/>
  <c r="M415" i="4"/>
  <c r="M420" i="4" a="1"/>
  <c r="M420" i="4" s="1"/>
  <c r="M423" i="4" a="1"/>
  <c r="M423" i="4" s="1"/>
  <c r="M425" i="4" a="1"/>
  <c r="M425" i="4"/>
  <c r="M432" i="4" a="1"/>
  <c r="M432" i="4" s="1"/>
  <c r="M433" i="4" a="1"/>
  <c r="M433" i="4" s="1"/>
  <c r="M435" i="4" a="1"/>
  <c r="M435" i="4" s="1"/>
  <c r="M436" i="4" a="1"/>
  <c r="M436" i="4" s="1"/>
  <c r="M438" i="4" a="1"/>
  <c r="M438" i="4" s="1"/>
  <c r="M443" i="4" a="1"/>
  <c r="M443" i="4"/>
  <c r="M447" i="4" a="1"/>
  <c r="M447" i="4" s="1"/>
  <c r="M448" i="4" a="1"/>
  <c r="M448" i="4"/>
  <c r="M449" i="4" a="1"/>
  <c r="M449" i="4" s="1"/>
  <c r="M454" i="4" a="1"/>
  <c r="M454" i="4" s="1"/>
  <c r="M455" i="4" a="1"/>
  <c r="M455" i="4" s="1"/>
  <c r="M456" i="4" a="1"/>
  <c r="M456" i="4" s="1"/>
  <c r="M460" i="4" a="1"/>
  <c r="M460" i="4" s="1"/>
  <c r="M461" i="4" a="1"/>
  <c r="M461" i="4"/>
  <c r="M462" i="4" a="1"/>
  <c r="M462" i="4" s="1"/>
  <c r="M464" i="4" a="1"/>
  <c r="M464" i="4"/>
  <c r="M465" i="4" a="1"/>
  <c r="M465" i="4" s="1"/>
  <c r="M469" i="4" a="1"/>
  <c r="M469" i="4"/>
  <c r="M479" i="4" a="1"/>
  <c r="M479" i="4" s="1"/>
  <c r="M480" i="4" a="1"/>
  <c r="M480" i="4"/>
  <c r="M485" i="4" a="1"/>
  <c r="M485" i="4" s="1"/>
  <c r="M486" i="4" a="1"/>
  <c r="M486" i="4" s="1"/>
  <c r="N486" i="4" s="1"/>
  <c r="M487" i="4" a="1"/>
  <c r="M487" i="4" s="1"/>
  <c r="N487" i="4" s="1"/>
  <c r="M488" i="4" a="1"/>
  <c r="M488" i="4" s="1"/>
  <c r="M489" i="4" a="1"/>
  <c r="M489" i="4" s="1"/>
  <c r="N489" i="4" s="1"/>
  <c r="M490" i="4" a="1"/>
  <c r="M490" i="4" s="1"/>
  <c r="N490" i="4" s="1"/>
  <c r="M492" i="4" a="1"/>
  <c r="M492" i="4"/>
  <c r="M493" i="4" a="1"/>
  <c r="M493" i="4" s="1"/>
  <c r="N493" i="4" s="1"/>
  <c r="M494" i="4" a="1"/>
  <c r="M494" i="4" s="1"/>
  <c r="M495" i="4" a="1"/>
  <c r="M495" i="4" s="1"/>
  <c r="M496" i="4" a="1"/>
  <c r="M496" i="4"/>
  <c r="M497" i="4" a="1"/>
  <c r="M497" i="4" s="1"/>
  <c r="E498" i="1"/>
  <c r="AB9" i="4"/>
  <c r="AB8" i="4"/>
  <c r="AB7" i="4"/>
  <c r="AB6" i="4"/>
  <c r="AB5" i="4"/>
  <c r="AB4" i="4"/>
  <c r="AB3" i="4"/>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50" i="4" a="1"/>
  <c r="O50" i="4" s="1"/>
  <c r="O51" i="4" a="1"/>
  <c r="O51" i="4" s="1"/>
  <c r="O52" i="4" a="1"/>
  <c r="O52" i="4" s="1"/>
  <c r="O53" i="4" a="1"/>
  <c r="O53" i="4" s="1"/>
  <c r="O54" i="4" a="1"/>
  <c r="O54" i="4" s="1"/>
  <c r="O55" i="4" a="1"/>
  <c r="O55" i="4" s="1"/>
  <c r="O56" i="4" a="1"/>
  <c r="O56" i="4" s="1"/>
  <c r="O57" i="4" a="1"/>
  <c r="O57" i="4" s="1"/>
  <c r="O58" i="4" a="1"/>
  <c r="O58" i="4" s="1"/>
  <c r="O59" i="4" a="1"/>
  <c r="O59" i="4" s="1"/>
  <c r="O60" i="4" a="1"/>
  <c r="O60" i="4" s="1"/>
  <c r="O61" i="4" a="1"/>
  <c r="O61" i="4" s="1"/>
  <c r="O62" i="4" a="1"/>
  <c r="O62" i="4" s="1"/>
  <c r="O63" i="4" a="1"/>
  <c r="O63" i="4" s="1"/>
  <c r="O64" i="4" a="1"/>
  <c r="O64" i="4" s="1"/>
  <c r="O65" i="4" a="1"/>
  <c r="O65" i="4" s="1"/>
  <c r="O66" i="4" a="1"/>
  <c r="O66" i="4" s="1"/>
  <c r="O67" i="4" a="1"/>
  <c r="O67" i="4" s="1"/>
  <c r="O68" i="4" a="1"/>
  <c r="O68" i="4" s="1"/>
  <c r="O69" i="4" a="1"/>
  <c r="O69" i="4" s="1"/>
  <c r="O70" i="4" a="1"/>
  <c r="O70" i="4" s="1"/>
  <c r="O71" i="4" a="1"/>
  <c r="O71" i="4" s="1"/>
  <c r="O72" i="4" a="1"/>
  <c r="O72" i="4" s="1"/>
  <c r="O73" i="4" a="1"/>
  <c r="O73" i="4" s="1"/>
  <c r="O74" i="4" a="1"/>
  <c r="O74" i="4" s="1"/>
  <c r="O75" i="4" a="1"/>
  <c r="O75" i="4" s="1"/>
  <c r="O76" i="4" a="1"/>
  <c r="O76" i="4" s="1"/>
  <c r="O77" i="4" a="1"/>
  <c r="O77" i="4" s="1"/>
  <c r="O78" i="4" a="1"/>
  <c r="O78" i="4" s="1"/>
  <c r="O79" i="4" a="1"/>
  <c r="O79" i="4" s="1"/>
  <c r="O80" i="4" a="1"/>
  <c r="O80" i="4" s="1"/>
  <c r="O81" i="4" a="1"/>
  <c r="O81" i="4" s="1"/>
  <c r="O82" i="4" a="1"/>
  <c r="O82" i="4" s="1"/>
  <c r="O83" i="4" a="1"/>
  <c r="O83" i="4" s="1"/>
  <c r="O84" i="4" a="1"/>
  <c r="O84" i="4" s="1"/>
  <c r="O85" i="4" a="1"/>
  <c r="O85" i="4" s="1"/>
  <c r="O86" i="4" a="1"/>
  <c r="O86" i="4" s="1"/>
  <c r="O87" i="4" a="1"/>
  <c r="O87" i="4" s="1"/>
  <c r="O88" i="4" a="1"/>
  <c r="O88" i="4" s="1"/>
  <c r="O89" i="4" a="1"/>
  <c r="O89" i="4" s="1"/>
  <c r="O90" i="4" a="1"/>
  <c r="O90" i="4" s="1"/>
  <c r="O91" i="4" a="1"/>
  <c r="O91" i="4" s="1"/>
  <c r="O92" i="4" a="1"/>
  <c r="O92" i="4" s="1"/>
  <c r="O93" i="4" a="1"/>
  <c r="O93" i="4" s="1"/>
  <c r="O94" i="4" a="1"/>
  <c r="O94" i="4" s="1"/>
  <c r="O95" i="4" a="1"/>
  <c r="O95" i="4" s="1"/>
  <c r="O96" i="4" a="1"/>
  <c r="O96" i="4" s="1"/>
  <c r="O97" i="4" a="1"/>
  <c r="O97" i="4" s="1"/>
  <c r="O98" i="4" a="1"/>
  <c r="O98" i="4" s="1"/>
  <c r="O99" i="4" a="1"/>
  <c r="O99" i="4" s="1"/>
  <c r="O100" i="4" a="1"/>
  <c r="O100" i="4" s="1"/>
  <c r="O101" i="4" a="1"/>
  <c r="O101" i="4" s="1"/>
  <c r="O102" i="4" a="1"/>
  <c r="O102" i="4" s="1"/>
  <c r="O103" i="4" a="1"/>
  <c r="O103" i="4" s="1"/>
  <c r="O104" i="4" a="1"/>
  <c r="O104" i="4" s="1"/>
  <c r="O105" i="4" a="1"/>
  <c r="O105" i="4" s="1"/>
  <c r="O106" i="4" a="1"/>
  <c r="O106" i="4" s="1"/>
  <c r="O107" i="4" a="1"/>
  <c r="O107" i="4" s="1"/>
  <c r="O108" i="4" a="1"/>
  <c r="O108" i="4" s="1"/>
  <c r="O109" i="4" a="1"/>
  <c r="O109" i="4" s="1"/>
  <c r="O110" i="4" a="1"/>
  <c r="O110" i="4" s="1"/>
  <c r="O111" i="4" a="1"/>
  <c r="O111" i="4" s="1"/>
  <c r="O112" i="4" a="1"/>
  <c r="O112" i="4" s="1"/>
  <c r="O113" i="4" a="1"/>
  <c r="O113" i="4" s="1"/>
  <c r="O114" i="4" a="1"/>
  <c r="O114" i="4" s="1"/>
  <c r="O115" i="4" a="1"/>
  <c r="O115" i="4" s="1"/>
  <c r="O116" i="4" a="1"/>
  <c r="O116" i="4" s="1"/>
  <c r="O117" i="4" a="1"/>
  <c r="O117" i="4" s="1"/>
  <c r="O118" i="4" a="1"/>
  <c r="O118" i="4" s="1"/>
  <c r="O119" i="4" a="1"/>
  <c r="O119" i="4" s="1"/>
  <c r="O120" i="4" a="1"/>
  <c r="O120" i="4" s="1"/>
  <c r="O121" i="4" a="1"/>
  <c r="O121" i="4" s="1"/>
  <c r="O122" i="4" a="1"/>
  <c r="O122" i="4" s="1"/>
  <c r="O123" i="4" a="1"/>
  <c r="O123" i="4" s="1"/>
  <c r="O124" i="4" a="1"/>
  <c r="O124" i="4" s="1"/>
  <c r="O125" i="4" a="1"/>
  <c r="O125" i="4" s="1"/>
  <c r="O126" i="4" a="1"/>
  <c r="O126" i="4" s="1"/>
  <c r="O127" i="4" a="1"/>
  <c r="O127" i="4" s="1"/>
  <c r="O128" i="4" a="1"/>
  <c r="O128" i="4" s="1"/>
  <c r="O129" i="4" a="1"/>
  <c r="O129" i="4" s="1"/>
  <c r="O130" i="4" a="1"/>
  <c r="O130" i="4" s="1"/>
  <c r="O131" i="4" a="1"/>
  <c r="O131" i="4" s="1"/>
  <c r="O132" i="4" a="1"/>
  <c r="O132" i="4" s="1"/>
  <c r="O133" i="4" a="1"/>
  <c r="O133" i="4" s="1"/>
  <c r="O134" i="4" a="1"/>
  <c r="O134" i="4" s="1"/>
  <c r="O135" i="4" a="1"/>
  <c r="O135" i="4" s="1"/>
  <c r="O136" i="4" a="1"/>
  <c r="O136" i="4" s="1"/>
  <c r="O137" i="4" a="1"/>
  <c r="O137" i="4" s="1"/>
  <c r="O138" i="4" a="1"/>
  <c r="O138" i="4" s="1"/>
  <c r="O139" i="4" a="1"/>
  <c r="O139" i="4" s="1"/>
  <c r="O140" i="4" a="1"/>
  <c r="O140" i="4" s="1"/>
  <c r="O141" i="4" a="1"/>
  <c r="O141" i="4" s="1"/>
  <c r="O142" i="4" a="1"/>
  <c r="O142" i="4" s="1"/>
  <c r="O143" i="4" a="1"/>
  <c r="O143" i="4" s="1"/>
  <c r="O144" i="4" a="1"/>
  <c r="O144" i="4" s="1"/>
  <c r="O145" i="4" a="1"/>
  <c r="O145" i="4" s="1"/>
  <c r="O146" i="4" a="1"/>
  <c r="O146" i="4" s="1"/>
  <c r="O147" i="4" a="1"/>
  <c r="O147" i="4" s="1"/>
  <c r="O148" i="4" a="1"/>
  <c r="O148" i="4" s="1"/>
  <c r="O149" i="4" a="1"/>
  <c r="O149" i="4" s="1"/>
  <c r="O150" i="4" a="1"/>
  <c r="O150" i="4" s="1"/>
  <c r="O151" i="4" a="1"/>
  <c r="O151" i="4" s="1"/>
  <c r="O152" i="4" a="1"/>
  <c r="O152" i="4" s="1"/>
  <c r="O153" i="4" a="1"/>
  <c r="O153" i="4" s="1"/>
  <c r="O154" i="4" a="1"/>
  <c r="O154" i="4" s="1"/>
  <c r="O155" i="4" a="1"/>
  <c r="O155" i="4" s="1"/>
  <c r="O156" i="4" a="1"/>
  <c r="O156" i="4" s="1"/>
  <c r="O157" i="4" a="1"/>
  <c r="O157" i="4" s="1"/>
  <c r="O158" i="4" a="1"/>
  <c r="O158" i="4" s="1"/>
  <c r="O159" i="4" a="1"/>
  <c r="O159" i="4" s="1"/>
  <c r="O160" i="4" a="1"/>
  <c r="O160" i="4" s="1"/>
  <c r="O161" i="4" a="1"/>
  <c r="O161" i="4" s="1"/>
  <c r="O162" i="4" a="1"/>
  <c r="O162" i="4" s="1"/>
  <c r="O163" i="4" a="1"/>
  <c r="O163" i="4" s="1"/>
  <c r="O164" i="4" a="1"/>
  <c r="O164" i="4" s="1"/>
  <c r="O165" i="4" a="1"/>
  <c r="O165" i="4" s="1"/>
  <c r="O166" i="4" a="1"/>
  <c r="O166" i="4" s="1"/>
  <c r="O167" i="4" a="1"/>
  <c r="O167" i="4" s="1"/>
  <c r="O168" i="4" a="1"/>
  <c r="O168" i="4" s="1"/>
  <c r="O169" i="4" a="1"/>
  <c r="O169" i="4" s="1"/>
  <c r="O170" i="4" a="1"/>
  <c r="O170" i="4" s="1"/>
  <c r="O171" i="4" a="1"/>
  <c r="O171" i="4" s="1"/>
  <c r="O172" i="4" a="1"/>
  <c r="O172" i="4" s="1"/>
  <c r="O173" i="4" a="1"/>
  <c r="O173" i="4" s="1"/>
  <c r="O174" i="4" a="1"/>
  <c r="O174" i="4" s="1"/>
  <c r="O175" i="4" a="1"/>
  <c r="O175" i="4" s="1"/>
  <c r="O176" i="4" a="1"/>
  <c r="O176" i="4" s="1"/>
  <c r="O177" i="4" a="1"/>
  <c r="O177" i="4" s="1"/>
  <c r="O178" i="4" a="1"/>
  <c r="O178" i="4" s="1"/>
  <c r="O179" i="4" a="1"/>
  <c r="O179" i="4" s="1"/>
  <c r="O180" i="4" a="1"/>
  <c r="O180" i="4" s="1"/>
  <c r="O181" i="4" a="1"/>
  <c r="O181" i="4" s="1"/>
  <c r="O182" i="4" a="1"/>
  <c r="O182" i="4" s="1"/>
  <c r="O183" i="4" a="1"/>
  <c r="O183" i="4" s="1"/>
  <c r="O184" i="4" a="1"/>
  <c r="O184" i="4" s="1"/>
  <c r="O185" i="4" a="1"/>
  <c r="O185" i="4" s="1"/>
  <c r="O186" i="4" a="1"/>
  <c r="O186" i="4" s="1"/>
  <c r="O187" i="4" a="1"/>
  <c r="O187" i="4" s="1"/>
  <c r="O188" i="4" a="1"/>
  <c r="O188" i="4" s="1"/>
  <c r="O189" i="4" a="1"/>
  <c r="O189" i="4" s="1"/>
  <c r="O190" i="4" a="1"/>
  <c r="O190" i="4" s="1"/>
  <c r="O191" i="4" a="1"/>
  <c r="O191" i="4" s="1"/>
  <c r="O192" i="4" a="1"/>
  <c r="O192" i="4" s="1"/>
  <c r="O193" i="4" a="1"/>
  <c r="O193" i="4" s="1"/>
  <c r="O194" i="4" a="1"/>
  <c r="O194" i="4" s="1"/>
  <c r="O195" i="4" a="1"/>
  <c r="O195" i="4" s="1"/>
  <c r="O196" i="4" a="1"/>
  <c r="O196" i="4" s="1"/>
  <c r="O197" i="4" a="1"/>
  <c r="O197" i="4" s="1"/>
  <c r="O198" i="4" a="1"/>
  <c r="O198" i="4" s="1"/>
  <c r="O199" i="4" a="1"/>
  <c r="O199" i="4" s="1"/>
  <c r="O200" i="4" a="1"/>
  <c r="O200" i="4" s="1"/>
  <c r="O201" i="4" a="1"/>
  <c r="O201" i="4" s="1"/>
  <c r="O202" i="4" a="1"/>
  <c r="O202" i="4" s="1"/>
  <c r="O203" i="4" a="1"/>
  <c r="O203" i="4" s="1"/>
  <c r="O204" i="4" a="1"/>
  <c r="O204" i="4" s="1"/>
  <c r="O205" i="4" a="1"/>
  <c r="O205" i="4" s="1"/>
  <c r="O206" i="4" a="1"/>
  <c r="O206" i="4" s="1"/>
  <c r="O207" i="4" a="1"/>
  <c r="O207" i="4" s="1"/>
  <c r="O208" i="4" a="1"/>
  <c r="O208" i="4" s="1"/>
  <c r="O209" i="4" a="1"/>
  <c r="O209" i="4" s="1"/>
  <c r="O210" i="4" a="1"/>
  <c r="O210" i="4" s="1"/>
  <c r="O211" i="4" a="1"/>
  <c r="O211" i="4" s="1"/>
  <c r="O212" i="4" a="1"/>
  <c r="O212" i="4" s="1"/>
  <c r="O213" i="4" a="1"/>
  <c r="O213" i="4" s="1"/>
  <c r="O214" i="4" a="1"/>
  <c r="O214" i="4" s="1"/>
  <c r="O215" i="4" a="1"/>
  <c r="O215" i="4" s="1"/>
  <c r="O216" i="4" a="1"/>
  <c r="O216" i="4" s="1"/>
  <c r="O217" i="4" a="1"/>
  <c r="O217" i="4" s="1"/>
  <c r="O218" i="4" a="1"/>
  <c r="O218" i="4" s="1"/>
  <c r="O219" i="4" a="1"/>
  <c r="O219" i="4" s="1"/>
  <c r="O220" i="4" a="1"/>
  <c r="O220" i="4" s="1"/>
  <c r="O221" i="4" a="1"/>
  <c r="O221" i="4" s="1"/>
  <c r="O222" i="4" a="1"/>
  <c r="O222" i="4" s="1"/>
  <c r="O223" i="4" a="1"/>
  <c r="O223" i="4" s="1"/>
  <c r="O224" i="4" a="1"/>
  <c r="O224" i="4" s="1"/>
  <c r="O225" i="4" a="1"/>
  <c r="O225" i="4" s="1"/>
  <c r="O226" i="4" a="1"/>
  <c r="O226" i="4" s="1"/>
  <c r="O227" i="4" a="1"/>
  <c r="O227" i="4" s="1"/>
  <c r="O228" i="4" a="1"/>
  <c r="O228" i="4" s="1"/>
  <c r="O229" i="4" a="1"/>
  <c r="O229" i="4" s="1"/>
  <c r="O230" i="4" a="1"/>
  <c r="O230" i="4" s="1"/>
  <c r="O231" i="4" a="1"/>
  <c r="O231" i="4" s="1"/>
  <c r="O232" i="4" a="1"/>
  <c r="O232" i="4" s="1"/>
  <c r="O233" i="4" a="1"/>
  <c r="O233" i="4" s="1"/>
  <c r="O234" i="4" a="1"/>
  <c r="O234" i="4" s="1"/>
  <c r="O235" i="4" a="1"/>
  <c r="O235" i="4" s="1"/>
  <c r="O236" i="4" a="1"/>
  <c r="O236" i="4" s="1"/>
  <c r="O237" i="4" a="1"/>
  <c r="O237" i="4" s="1"/>
  <c r="O238" i="4" a="1"/>
  <c r="O238" i="4" s="1"/>
  <c r="O239" i="4" a="1"/>
  <c r="O239" i="4" s="1"/>
  <c r="O240" i="4" a="1"/>
  <c r="O240" i="4" s="1"/>
  <c r="O241" i="4" a="1"/>
  <c r="O241" i="4" s="1"/>
  <c r="O242" i="4" a="1"/>
  <c r="O242" i="4" s="1"/>
  <c r="O243" i="4" a="1"/>
  <c r="O243" i="4" s="1"/>
  <c r="O244" i="4" a="1"/>
  <c r="O244" i="4" s="1"/>
  <c r="O245" i="4" a="1"/>
  <c r="O245" i="4" s="1"/>
  <c r="O246" i="4" a="1"/>
  <c r="O246" i="4" s="1"/>
  <c r="O247" i="4" a="1"/>
  <c r="O247" i="4" s="1"/>
  <c r="O248" i="4" a="1"/>
  <c r="O248" i="4" s="1"/>
  <c r="O249" i="4" a="1"/>
  <c r="O249" i="4" s="1"/>
  <c r="O250" i="4" a="1"/>
  <c r="O250" i="4" s="1"/>
  <c r="O251" i="4" a="1"/>
  <c r="O251" i="4" s="1"/>
  <c r="O252" i="4" a="1"/>
  <c r="O252" i="4" s="1"/>
  <c r="O253" i="4" a="1"/>
  <c r="O253" i="4" s="1"/>
  <c r="O254" i="4" a="1"/>
  <c r="O254" i="4" s="1"/>
  <c r="O255" i="4" a="1"/>
  <c r="O255" i="4" s="1"/>
  <c r="O256" i="4" a="1"/>
  <c r="O256" i="4" s="1"/>
  <c r="O257" i="4" a="1"/>
  <c r="O257" i="4" s="1"/>
  <c r="O258" i="4" a="1"/>
  <c r="O258" i="4" s="1"/>
  <c r="O259" i="4" a="1"/>
  <c r="O259" i="4" s="1"/>
  <c r="O260" i="4" a="1"/>
  <c r="O260" i="4" s="1"/>
  <c r="O261" i="4" a="1"/>
  <c r="O261" i="4" s="1"/>
  <c r="O262" i="4" a="1"/>
  <c r="O262" i="4" s="1"/>
  <c r="O263" i="4" a="1"/>
  <c r="O263" i="4" s="1"/>
  <c r="O264" i="4" a="1"/>
  <c r="O264" i="4" s="1"/>
  <c r="O265" i="4" a="1"/>
  <c r="O265" i="4" s="1"/>
  <c r="O266" i="4" a="1"/>
  <c r="O266" i="4" s="1"/>
  <c r="O267" i="4" a="1"/>
  <c r="O267" i="4" s="1"/>
  <c r="O268" i="4" a="1"/>
  <c r="O268" i="4" s="1"/>
  <c r="O269" i="4" a="1"/>
  <c r="O269" i="4" s="1"/>
  <c r="O270" i="4" a="1"/>
  <c r="O270" i="4" s="1"/>
  <c r="O271" i="4" a="1"/>
  <c r="O271" i="4" s="1"/>
  <c r="O272" i="4" a="1"/>
  <c r="O272" i="4" s="1"/>
  <c r="O273" i="4" a="1"/>
  <c r="O273" i="4" s="1"/>
  <c r="O274" i="4" a="1"/>
  <c r="O274" i="4" s="1"/>
  <c r="O275" i="4" a="1"/>
  <c r="O275" i="4" s="1"/>
  <c r="O276" i="4" a="1"/>
  <c r="O276" i="4" s="1"/>
  <c r="O277" i="4" a="1"/>
  <c r="O277" i="4" s="1"/>
  <c r="O278" i="4" a="1"/>
  <c r="O278" i="4" s="1"/>
  <c r="O279" i="4" a="1"/>
  <c r="O279" i="4" s="1"/>
  <c r="O280" i="4" a="1"/>
  <c r="O280" i="4" s="1"/>
  <c r="O281" i="4" a="1"/>
  <c r="O281" i="4" s="1"/>
  <c r="O282" i="4" a="1"/>
  <c r="O282" i="4" s="1"/>
  <c r="O283" i="4" a="1"/>
  <c r="O283" i="4" s="1"/>
  <c r="O284" i="4" a="1"/>
  <c r="O284" i="4" s="1"/>
  <c r="O285" i="4" a="1"/>
  <c r="O285" i="4" s="1"/>
  <c r="O286" i="4" a="1"/>
  <c r="O286" i="4" s="1"/>
  <c r="O287" i="4" a="1"/>
  <c r="O287" i="4" s="1"/>
  <c r="O288" i="4" a="1"/>
  <c r="O288" i="4" s="1"/>
  <c r="O289" i="4" a="1"/>
  <c r="O289" i="4" s="1"/>
  <c r="O290" i="4" a="1"/>
  <c r="O290" i="4" s="1"/>
  <c r="O291" i="4" a="1"/>
  <c r="O291" i="4" s="1"/>
  <c r="O292" i="4" a="1"/>
  <c r="O292" i="4" s="1"/>
  <c r="O293" i="4" a="1"/>
  <c r="O293" i="4" s="1"/>
  <c r="O294" i="4" a="1"/>
  <c r="O294" i="4" s="1"/>
  <c r="O295" i="4" a="1"/>
  <c r="O295" i="4" s="1"/>
  <c r="O296" i="4" a="1"/>
  <c r="O296" i="4" s="1"/>
  <c r="O297" i="4" a="1"/>
  <c r="O297" i="4" s="1"/>
  <c r="O298" i="4" a="1"/>
  <c r="O298" i="4" s="1"/>
  <c r="O299" i="4" a="1"/>
  <c r="O299" i="4" s="1"/>
  <c r="O300" i="4" a="1"/>
  <c r="O300" i="4" s="1"/>
  <c r="O301" i="4" a="1"/>
  <c r="O301" i="4" s="1"/>
  <c r="O302" i="4" a="1"/>
  <c r="O302" i="4" s="1"/>
  <c r="O303" i="4" a="1"/>
  <c r="O303" i="4" s="1"/>
  <c r="O304" i="4" a="1"/>
  <c r="O304" i="4" s="1"/>
  <c r="O305" i="4" a="1"/>
  <c r="O305" i="4" s="1"/>
  <c r="O306" i="4" a="1"/>
  <c r="O306" i="4" s="1"/>
  <c r="O307" i="4" a="1"/>
  <c r="O307" i="4" s="1"/>
  <c r="O308" i="4" a="1"/>
  <c r="O308" i="4" s="1"/>
  <c r="O309" i="4" a="1"/>
  <c r="O309" i="4" s="1"/>
  <c r="O310" i="4" a="1"/>
  <c r="O310" i="4" s="1"/>
  <c r="O311" i="4" a="1"/>
  <c r="O311" i="4" s="1"/>
  <c r="O312" i="4" a="1"/>
  <c r="O312" i="4" s="1"/>
  <c r="O313" i="4" a="1"/>
  <c r="O313" i="4" s="1"/>
  <c r="O314" i="4" a="1"/>
  <c r="O314" i="4" s="1"/>
  <c r="O315" i="4" a="1"/>
  <c r="O315" i="4" s="1"/>
  <c r="O316" i="4" a="1"/>
  <c r="O316" i="4" s="1"/>
  <c r="O317" i="4" a="1"/>
  <c r="O317" i="4" s="1"/>
  <c r="O318" i="4" a="1"/>
  <c r="O318" i="4" s="1"/>
  <c r="O319" i="4" a="1"/>
  <c r="O319" i="4" s="1"/>
  <c r="O320" i="4" a="1"/>
  <c r="O320" i="4" s="1"/>
  <c r="O321" i="4" a="1"/>
  <c r="O321" i="4" s="1"/>
  <c r="O322" i="4" a="1"/>
  <c r="O322" i="4" s="1"/>
  <c r="O323" i="4" a="1"/>
  <c r="O323" i="4" s="1"/>
  <c r="O324" i="4" a="1"/>
  <c r="O324" i="4" s="1"/>
  <c r="O325" i="4" a="1"/>
  <c r="O325" i="4" s="1"/>
  <c r="O326" i="4" a="1"/>
  <c r="O326" i="4" s="1"/>
  <c r="O327" i="4" a="1"/>
  <c r="O327" i="4" s="1"/>
  <c r="O328" i="4" a="1"/>
  <c r="O328" i="4" s="1"/>
  <c r="O329" i="4" a="1"/>
  <c r="O329" i="4" s="1"/>
  <c r="O330" i="4" a="1"/>
  <c r="O330" i="4" s="1"/>
  <c r="O331" i="4" a="1"/>
  <c r="O331" i="4" s="1"/>
  <c r="O332" i="4" a="1"/>
  <c r="O332" i="4" s="1"/>
  <c r="O333" i="4" a="1"/>
  <c r="O333" i="4" s="1"/>
  <c r="O334" i="4" a="1"/>
  <c r="O334" i="4" s="1"/>
  <c r="O335" i="4" a="1"/>
  <c r="O335" i="4" s="1"/>
  <c r="O336" i="4" a="1"/>
  <c r="O336" i="4" s="1"/>
  <c r="O337" i="4" a="1"/>
  <c r="O337" i="4" s="1"/>
  <c r="O338" i="4" a="1"/>
  <c r="O338" i="4" s="1"/>
  <c r="O339" i="4" a="1"/>
  <c r="O339" i="4" s="1"/>
  <c r="O340" i="4" a="1"/>
  <c r="O340" i="4" s="1"/>
  <c r="O341" i="4" a="1"/>
  <c r="O341" i="4" s="1"/>
  <c r="O342" i="4" a="1"/>
  <c r="O342" i="4" s="1"/>
  <c r="O343" i="4" a="1"/>
  <c r="O343" i="4" s="1"/>
  <c r="O344" i="4" a="1"/>
  <c r="O344" i="4" s="1"/>
  <c r="O345" i="4" a="1"/>
  <c r="O345" i="4" s="1"/>
  <c r="O346" i="4" a="1"/>
  <c r="O346" i="4" s="1"/>
  <c r="O347" i="4" a="1"/>
  <c r="O347" i="4" s="1"/>
  <c r="O348" i="4" a="1"/>
  <c r="O348" i="4" s="1"/>
  <c r="O349" i="4" a="1"/>
  <c r="O349" i="4" s="1"/>
  <c r="O350" i="4" a="1"/>
  <c r="O350" i="4" s="1"/>
  <c r="O351" i="4" a="1"/>
  <c r="O351" i="4" s="1"/>
  <c r="O352" i="4" a="1"/>
  <c r="O352" i="4" s="1"/>
  <c r="O353" i="4" a="1"/>
  <c r="O353" i="4" s="1"/>
  <c r="O354" i="4" a="1"/>
  <c r="O354" i="4" s="1"/>
  <c r="O355" i="4" a="1"/>
  <c r="O355" i="4" s="1"/>
  <c r="O356" i="4" a="1"/>
  <c r="O356" i="4" s="1"/>
  <c r="O357" i="4" a="1"/>
  <c r="O357" i="4" s="1"/>
  <c r="O358" i="4" a="1"/>
  <c r="O358" i="4" s="1"/>
  <c r="O359" i="4" a="1"/>
  <c r="O359" i="4" s="1"/>
  <c r="O360" i="4" a="1"/>
  <c r="O360" i="4" s="1"/>
  <c r="O361" i="4" a="1"/>
  <c r="O361" i="4" s="1"/>
  <c r="O362" i="4" a="1"/>
  <c r="O362" i="4" s="1"/>
  <c r="O363" i="4" a="1"/>
  <c r="O363" i="4" s="1"/>
  <c r="O364" i="4" a="1"/>
  <c r="O364" i="4" s="1"/>
  <c r="O365" i="4" a="1"/>
  <c r="O365" i="4" s="1"/>
  <c r="O366" i="4" a="1"/>
  <c r="O366" i="4" s="1"/>
  <c r="O367" i="4" a="1"/>
  <c r="O367" i="4" s="1"/>
  <c r="O368" i="4" a="1"/>
  <c r="O368" i="4" s="1"/>
  <c r="O369" i="4" a="1"/>
  <c r="O369" i="4" s="1"/>
  <c r="O370" i="4" a="1"/>
  <c r="O370" i="4" s="1"/>
  <c r="O371" i="4" a="1"/>
  <c r="O371" i="4" s="1"/>
  <c r="O372" i="4" a="1"/>
  <c r="O372" i="4" s="1"/>
  <c r="O373" i="4" a="1"/>
  <c r="O373" i="4" s="1"/>
  <c r="O374" i="4" a="1"/>
  <c r="O374" i="4" s="1"/>
  <c r="O375" i="4" a="1"/>
  <c r="O375" i="4" s="1"/>
  <c r="O376" i="4" a="1"/>
  <c r="O376" i="4" s="1"/>
  <c r="O377" i="4" a="1"/>
  <c r="O377" i="4" s="1"/>
  <c r="O378" i="4" a="1"/>
  <c r="O378" i="4" s="1"/>
  <c r="O379" i="4" a="1"/>
  <c r="O379" i="4" s="1"/>
  <c r="O380" i="4" a="1"/>
  <c r="O380" i="4" s="1"/>
  <c r="O381" i="4" a="1"/>
  <c r="O381" i="4" s="1"/>
  <c r="O382" i="4" a="1"/>
  <c r="O382" i="4" s="1"/>
  <c r="O383" i="4" a="1"/>
  <c r="O383" i="4" s="1"/>
  <c r="O384" i="4" a="1"/>
  <c r="O384" i="4" s="1"/>
  <c r="O385" i="4" a="1"/>
  <c r="O385" i="4" s="1"/>
  <c r="O386" i="4" a="1"/>
  <c r="O386" i="4" s="1"/>
  <c r="O387" i="4" a="1"/>
  <c r="O387" i="4" s="1"/>
  <c r="O388" i="4" a="1"/>
  <c r="O388" i="4" s="1"/>
  <c r="O389" i="4" a="1"/>
  <c r="O389" i="4" s="1"/>
  <c r="O390" i="4" a="1"/>
  <c r="O390" i="4" s="1"/>
  <c r="O391" i="4" a="1"/>
  <c r="O391" i="4" s="1"/>
  <c r="O392" i="4" a="1"/>
  <c r="O392" i="4" s="1"/>
  <c r="O393" i="4" a="1"/>
  <c r="O393" i="4" s="1"/>
  <c r="O394" i="4" a="1"/>
  <c r="O394" i="4" s="1"/>
  <c r="O395" i="4" a="1"/>
  <c r="O395" i="4" s="1"/>
  <c r="O396" i="4" a="1"/>
  <c r="O396" i="4" s="1"/>
  <c r="O397" i="4" a="1"/>
  <c r="O397" i="4" s="1"/>
  <c r="O398" i="4" a="1"/>
  <c r="O398" i="4" s="1"/>
  <c r="O399" i="4" a="1"/>
  <c r="O399" i="4" s="1"/>
  <c r="O400" i="4" a="1"/>
  <c r="O400" i="4" s="1"/>
  <c r="O401" i="4" a="1"/>
  <c r="O401" i="4" s="1"/>
  <c r="O402" i="4" a="1"/>
  <c r="O402" i="4" s="1"/>
  <c r="O403" i="4" a="1"/>
  <c r="O403" i="4" s="1"/>
  <c r="O404" i="4" a="1"/>
  <c r="O404" i="4" s="1"/>
  <c r="O405" i="4" a="1"/>
  <c r="O405" i="4" s="1"/>
  <c r="O406" i="4" a="1"/>
  <c r="O406" i="4" s="1"/>
  <c r="O407" i="4" a="1"/>
  <c r="O407" i="4" s="1"/>
  <c r="O408" i="4" a="1"/>
  <c r="O408" i="4" s="1"/>
  <c r="O409" i="4" a="1"/>
  <c r="O409" i="4" s="1"/>
  <c r="O410" i="4" a="1"/>
  <c r="O410" i="4" s="1"/>
  <c r="O411" i="4" a="1"/>
  <c r="O411" i="4" s="1"/>
  <c r="O412" i="4" a="1"/>
  <c r="O412" i="4" s="1"/>
  <c r="O413" i="4" a="1"/>
  <c r="O413" i="4" s="1"/>
  <c r="O414" i="4" a="1"/>
  <c r="O414" i="4" s="1"/>
  <c r="O415" i="4" a="1"/>
  <c r="O415" i="4" s="1"/>
  <c r="O416" i="4" a="1"/>
  <c r="O416" i="4" s="1"/>
  <c r="O417" i="4" a="1"/>
  <c r="O417" i="4" s="1"/>
  <c r="O418" i="4" a="1"/>
  <c r="O418" i="4" s="1"/>
  <c r="O419" i="4" a="1"/>
  <c r="O419" i="4" s="1"/>
  <c r="O420" i="4" a="1"/>
  <c r="O420" i="4" s="1"/>
  <c r="O421" i="4" a="1"/>
  <c r="O421" i="4" s="1"/>
  <c r="O422" i="4" a="1"/>
  <c r="O422" i="4" s="1"/>
  <c r="O423" i="4" a="1"/>
  <c r="O423" i="4" s="1"/>
  <c r="O424" i="4" a="1"/>
  <c r="O424" i="4" s="1"/>
  <c r="O425" i="4" a="1"/>
  <c r="O425" i="4" s="1"/>
  <c r="O426" i="4" a="1"/>
  <c r="O426" i="4" s="1"/>
  <c r="O427" i="4" a="1"/>
  <c r="O427" i="4" s="1"/>
  <c r="O428" i="4" a="1"/>
  <c r="O428" i="4" s="1"/>
  <c r="O429" i="4" a="1"/>
  <c r="O429" i="4" s="1"/>
  <c r="O430" i="4" a="1"/>
  <c r="O430" i="4" s="1"/>
  <c r="O431" i="4" a="1"/>
  <c r="O431" i="4" s="1"/>
  <c r="O432" i="4" a="1"/>
  <c r="O432" i="4" s="1"/>
  <c r="O433" i="4" a="1"/>
  <c r="O433" i="4" s="1"/>
  <c r="O434" i="4" a="1"/>
  <c r="O434" i="4" s="1"/>
  <c r="O435" i="4" a="1"/>
  <c r="O435" i="4" s="1"/>
  <c r="O436" i="4" a="1"/>
  <c r="O436" i="4" s="1"/>
  <c r="O437" i="4" a="1"/>
  <c r="O437" i="4" s="1"/>
  <c r="O438" i="4" a="1"/>
  <c r="O438" i="4" s="1"/>
  <c r="O439" i="4" a="1"/>
  <c r="O439" i="4" s="1"/>
  <c r="O440" i="4" a="1"/>
  <c r="O440" i="4" s="1"/>
  <c r="O441" i="4" a="1"/>
  <c r="O441" i="4" s="1"/>
  <c r="O442" i="4" a="1"/>
  <c r="O442" i="4" s="1"/>
  <c r="O443" i="4" a="1"/>
  <c r="O443" i="4" s="1"/>
  <c r="O444" i="4" a="1"/>
  <c r="O444" i="4" s="1"/>
  <c r="O445" i="4" a="1"/>
  <c r="O445" i="4" s="1"/>
  <c r="O446" i="4" a="1"/>
  <c r="O446" i="4" s="1"/>
  <c r="O447" i="4" a="1"/>
  <c r="O447" i="4" s="1"/>
  <c r="O448" i="4" a="1"/>
  <c r="O448" i="4" s="1"/>
  <c r="O449" i="4" a="1"/>
  <c r="O449" i="4" s="1"/>
  <c r="O450" i="4" a="1"/>
  <c r="O450" i="4" s="1"/>
  <c r="O451" i="4" a="1"/>
  <c r="O451" i="4" s="1"/>
  <c r="O452" i="4" a="1"/>
  <c r="O452" i="4" s="1"/>
  <c r="O453" i="4" a="1"/>
  <c r="O453" i="4" s="1"/>
  <c r="O454" i="4" a="1"/>
  <c r="O454" i="4" s="1"/>
  <c r="O455" i="4" a="1"/>
  <c r="O455" i="4" s="1"/>
  <c r="O456" i="4" a="1"/>
  <c r="O456" i="4" s="1"/>
  <c r="O457" i="4" a="1"/>
  <c r="O457" i="4" s="1"/>
  <c r="O458" i="4" a="1"/>
  <c r="O458" i="4" s="1"/>
  <c r="O459" i="4" a="1"/>
  <c r="O459" i="4" s="1"/>
  <c r="O460" i="4" a="1"/>
  <c r="O460" i="4" s="1"/>
  <c r="O461" i="4" a="1"/>
  <c r="O461" i="4" s="1"/>
  <c r="O462" i="4" a="1"/>
  <c r="O462" i="4" s="1"/>
  <c r="O463" i="4" a="1"/>
  <c r="O463" i="4" s="1"/>
  <c r="O464" i="4" a="1"/>
  <c r="O464" i="4" s="1"/>
  <c r="O465" i="4" a="1"/>
  <c r="O465" i="4" s="1"/>
  <c r="O466" i="4" a="1"/>
  <c r="O466" i="4" s="1"/>
  <c r="O467" i="4" a="1"/>
  <c r="O467" i="4" s="1"/>
  <c r="O468" i="4" a="1"/>
  <c r="O468" i="4" s="1"/>
  <c r="O469" i="4" a="1"/>
  <c r="O469" i="4" s="1"/>
  <c r="O470" i="4" a="1"/>
  <c r="O470" i="4" s="1"/>
  <c r="O471" i="4" a="1"/>
  <c r="O471" i="4" s="1"/>
  <c r="O472" i="4" a="1"/>
  <c r="O472" i="4" s="1"/>
  <c r="O473" i="4" a="1"/>
  <c r="O473" i="4" s="1"/>
  <c r="O474" i="4" a="1"/>
  <c r="O474" i="4" s="1"/>
  <c r="O475" i="4" a="1"/>
  <c r="O475" i="4" s="1"/>
  <c r="O476" i="4" a="1"/>
  <c r="O476" i="4" s="1"/>
  <c r="O477" i="4" a="1"/>
  <c r="O477" i="4" s="1"/>
  <c r="O478" i="4" a="1"/>
  <c r="O478" i="4" s="1"/>
  <c r="O479" i="4" a="1"/>
  <c r="O479" i="4" s="1"/>
  <c r="O480" i="4" a="1"/>
  <c r="O480" i="4" s="1"/>
  <c r="O481" i="4" a="1"/>
  <c r="O481" i="4" s="1"/>
  <c r="O482" i="4" a="1"/>
  <c r="O482" i="4" s="1"/>
  <c r="O483" i="4" a="1"/>
  <c r="O483" i="4" s="1"/>
  <c r="O484" i="4" a="1"/>
  <c r="O484" i="4" s="1"/>
  <c r="O485" i="4" a="1"/>
  <c r="O485" i="4" s="1"/>
  <c r="O486" i="4" a="1"/>
  <c r="O486" i="4" s="1"/>
  <c r="O487" i="4" a="1"/>
  <c r="O487" i="4" s="1"/>
  <c r="O488" i="4" a="1"/>
  <c r="O488" i="4" s="1"/>
  <c r="O489" i="4" a="1"/>
  <c r="O489" i="4" s="1"/>
  <c r="O490" i="4" a="1"/>
  <c r="O490" i="4" s="1"/>
  <c r="O491" i="4" a="1"/>
  <c r="O491" i="4" s="1"/>
  <c r="O492" i="4" a="1"/>
  <c r="O492" i="4" s="1"/>
  <c r="O493" i="4" a="1"/>
  <c r="O493" i="4" s="1"/>
  <c r="O494" i="4" a="1"/>
  <c r="O494" i="4" s="1"/>
  <c r="O495" i="4" a="1"/>
  <c r="O495" i="4" s="1"/>
  <c r="O496" i="4" a="1"/>
  <c r="O496" i="4" s="1"/>
  <c r="O497" i="4" a="1"/>
  <c r="O497" i="4" s="1"/>
  <c r="N485" i="4"/>
  <c r="N488" i="4"/>
  <c r="N492" i="4"/>
  <c r="N494" i="4"/>
  <c r="N495" i="4"/>
  <c r="N496" i="4"/>
  <c r="N497" i="4"/>
  <c r="F25" i="2"/>
  <c r="F28" i="2"/>
  <c r="F27" i="2"/>
  <c r="F29" i="2"/>
  <c r="F31" i="2"/>
  <c r="F30" i="2"/>
  <c r="F26" i="2"/>
  <c r="F34" i="2"/>
  <c r="P493" i="4" a="1"/>
  <c r="P494" i="4" a="1"/>
  <c r="P490" i="4" a="1"/>
  <c r="P488" i="4" a="1"/>
  <c r="P3" i="4" a="1"/>
  <c r="P486" i="4" a="1"/>
  <c r="P497" i="4" a="1"/>
  <c r="P495" i="4" a="1"/>
  <c r="P492" i="4" a="1"/>
  <c r="P21" i="4" a="1"/>
  <c r="P489" i="4" a="1"/>
  <c r="P487" i="4" a="1"/>
  <c r="P485" i="4" a="1"/>
  <c r="P496" i="4" a="1"/>
  <c r="X919" i="8" l="1"/>
  <c r="X909" i="8"/>
  <c r="X897" i="8"/>
  <c r="X908" i="8"/>
  <c r="X896" i="8"/>
  <c r="X895" i="8"/>
  <c r="X881" i="8"/>
  <c r="X894" i="8"/>
  <c r="X893" i="8"/>
  <c r="X907" i="8"/>
  <c r="X892" i="8"/>
  <c r="X915" i="8"/>
  <c r="X891" i="8"/>
  <c r="X914" i="8"/>
  <c r="X913" i="8"/>
  <c r="X864" i="8"/>
  <c r="X870" i="8"/>
  <c r="X912" i="8"/>
  <c r="X880" i="8"/>
  <c r="X863" i="8"/>
  <c r="X911" i="8"/>
  <c r="X859" i="8"/>
  <c r="X879" i="8"/>
  <c r="X862" i="8"/>
  <c r="X910" i="8"/>
  <c r="X839" i="8"/>
  <c r="X878" i="8"/>
  <c r="X838" i="8"/>
  <c r="X877" i="8"/>
  <c r="X837" i="8"/>
  <c r="X836" i="8"/>
  <c r="X835" i="8"/>
  <c r="X834" i="8"/>
  <c r="X906" i="8"/>
  <c r="X876" i="8"/>
  <c r="X875" i="8"/>
  <c r="X890" i="8"/>
  <c r="X874" i="8"/>
  <c r="X816" i="8"/>
  <c r="X815" i="8"/>
  <c r="X889" i="8"/>
  <c r="X861" i="8"/>
  <c r="X899" i="8"/>
  <c r="X873" i="8"/>
  <c r="X898" i="8"/>
  <c r="X872" i="8"/>
  <c r="X871" i="8"/>
  <c r="X814" i="8"/>
  <c r="X860" i="8"/>
  <c r="X813" i="8"/>
  <c r="X803" i="8"/>
  <c r="X795" i="8"/>
  <c r="X802" i="8"/>
  <c r="X785" i="8"/>
  <c r="X797" i="8"/>
  <c r="X794" i="8"/>
  <c r="X793" i="8"/>
  <c r="X801" i="8"/>
  <c r="X796" i="8"/>
  <c r="X792" i="8"/>
  <c r="X791" i="8"/>
  <c r="X784" i="8"/>
  <c r="X800" i="8"/>
  <c r="X798" i="8"/>
  <c r="X783" i="8"/>
  <c r="X790" i="8"/>
  <c r="X789" i="8"/>
  <c r="X799" i="8"/>
  <c r="X782" i="8"/>
  <c r="X781" i="8"/>
  <c r="X717" i="8"/>
  <c r="X719" i="8"/>
  <c r="X716" i="8"/>
  <c r="X702" i="8"/>
  <c r="X706" i="8"/>
  <c r="X701" i="8"/>
  <c r="X715" i="8"/>
  <c r="X722" i="8"/>
  <c r="X721" i="8"/>
  <c r="X714" i="8"/>
  <c r="X700" i="8"/>
  <c r="X705" i="8"/>
  <c r="X720" i="8"/>
  <c r="X713" i="8"/>
  <c r="X712" i="8"/>
  <c r="X699" i="8"/>
  <c r="X711" i="8"/>
  <c r="X698" i="8"/>
  <c r="X697" i="8"/>
  <c r="X696" i="8"/>
  <c r="X695" i="8"/>
  <c r="X694" i="8"/>
  <c r="X693" i="8"/>
  <c r="X692" i="8"/>
  <c r="X704" i="8"/>
  <c r="X691" i="8"/>
  <c r="X710" i="8"/>
  <c r="X690" i="8"/>
  <c r="X709" i="8"/>
  <c r="X659" i="8"/>
  <c r="X685" i="8"/>
  <c r="X684" i="8"/>
  <c r="X658" i="8"/>
  <c r="X657" i="8"/>
  <c r="X656" i="8"/>
  <c r="X655" i="8"/>
  <c r="X654" i="8"/>
  <c r="X653" i="8"/>
  <c r="X652" i="8"/>
  <c r="X651" i="8"/>
  <c r="X689" i="8"/>
  <c r="X650" i="8"/>
  <c r="X649" i="8"/>
  <c r="X648" i="8"/>
  <c r="X647" i="8"/>
  <c r="X646" i="8"/>
  <c r="X645" i="8"/>
  <c r="X644" i="8"/>
  <c r="X643" i="8"/>
  <c r="X642" i="8"/>
  <c r="X641" i="8"/>
  <c r="X640" i="8"/>
  <c r="X639" i="8"/>
  <c r="X638" i="8"/>
  <c r="X637" i="8"/>
  <c r="X636" i="8"/>
  <c r="X635" i="8"/>
  <c r="X634" i="8"/>
  <c r="X633" i="8"/>
  <c r="X632" i="8"/>
  <c r="X631" i="8"/>
  <c r="X630" i="8"/>
  <c r="X629" i="8"/>
  <c r="X628" i="8"/>
  <c r="X627" i="8"/>
  <c r="X626" i="8"/>
  <c r="X625" i="8"/>
  <c r="X624" i="8"/>
  <c r="X623" i="8"/>
  <c r="X622" i="8"/>
  <c r="X621" i="8"/>
  <c r="X620" i="8"/>
  <c r="X619" i="8"/>
  <c r="X618" i="8"/>
  <c r="X617" i="8"/>
  <c r="X616" i="8"/>
  <c r="X615" i="8"/>
  <c r="X614" i="8"/>
  <c r="X613" i="8"/>
  <c r="X612" i="8"/>
  <c r="X611" i="8"/>
  <c r="X610" i="8"/>
  <c r="X609" i="8"/>
  <c r="X608" i="8"/>
  <c r="X607" i="8"/>
  <c r="X606" i="8"/>
  <c r="X605" i="8"/>
  <c r="X604" i="8"/>
  <c r="X603" i="8"/>
  <c r="X602" i="8"/>
  <c r="X601" i="8"/>
  <c r="X600" i="8"/>
  <c r="X599" i="8"/>
  <c r="X598" i="8"/>
  <c r="X597" i="8"/>
  <c r="X596" i="8"/>
  <c r="X595" i="8"/>
  <c r="X594" i="8"/>
  <c r="X593" i="8"/>
  <c r="X592" i="8"/>
  <c r="X591" i="8"/>
  <c r="X590" i="8"/>
  <c r="X589" i="8"/>
  <c r="X588" i="8"/>
  <c r="X587" i="8"/>
  <c r="X586" i="8"/>
  <c r="X585" i="8"/>
  <c r="X584" i="8"/>
  <c r="X583" i="8"/>
  <c r="X688" i="8"/>
  <c r="X703" i="8"/>
  <c r="X582" i="8"/>
  <c r="X581" i="8"/>
  <c r="X580" i="8"/>
  <c r="X579" i="8"/>
  <c r="X578" i="8"/>
  <c r="X577" i="8"/>
  <c r="X576" i="8"/>
  <c r="X575" i="8"/>
  <c r="X574" i="8"/>
  <c r="X573" i="8"/>
  <c r="X572" i="8"/>
  <c r="X571" i="8"/>
  <c r="X570" i="8"/>
  <c r="X569" i="8"/>
  <c r="X568" i="8"/>
  <c r="X567" i="8"/>
  <c r="X566" i="8"/>
  <c r="X565" i="8"/>
  <c r="X564" i="8"/>
  <c r="X563" i="8"/>
  <c r="X562" i="8"/>
  <c r="X561" i="8"/>
  <c r="X560" i="8"/>
  <c r="X559" i="8"/>
  <c r="X558" i="8"/>
  <c r="X557" i="8"/>
  <c r="X556" i="8"/>
  <c r="X555" i="8"/>
  <c r="X554" i="8"/>
  <c r="X553" i="8"/>
  <c r="X552" i="8"/>
  <c r="X551" i="8"/>
  <c r="X550" i="8"/>
  <c r="X549" i="8"/>
  <c r="X548" i="8"/>
  <c r="X547" i="8"/>
  <c r="X546" i="8"/>
  <c r="X545" i="8"/>
  <c r="X544" i="8"/>
  <c r="X543" i="8"/>
  <c r="X542" i="8"/>
  <c r="X541" i="8"/>
  <c r="X540" i="8"/>
  <c r="X539" i="8"/>
  <c r="X538" i="8"/>
  <c r="X537" i="8"/>
  <c r="X536" i="8"/>
  <c r="X535" i="8"/>
  <c r="X534" i="8"/>
  <c r="X533" i="8"/>
  <c r="X532" i="8"/>
  <c r="X531" i="8"/>
  <c r="X530" i="8"/>
  <c r="X529" i="8"/>
  <c r="X528" i="8"/>
  <c r="X527" i="8"/>
  <c r="X526" i="8"/>
  <c r="X525" i="8"/>
  <c r="X524" i="8"/>
  <c r="X523" i="8"/>
  <c r="X522" i="8"/>
  <c r="X521" i="8"/>
  <c r="X520" i="8"/>
  <c r="X687" i="8"/>
  <c r="X708" i="8"/>
  <c r="X519" i="8"/>
  <c r="X518" i="8"/>
  <c r="X517" i="8"/>
  <c r="X516" i="8"/>
  <c r="X515" i="8"/>
  <c r="X514" i="8"/>
  <c r="X513" i="8"/>
  <c r="X512" i="8"/>
  <c r="X511" i="8"/>
  <c r="X510" i="8"/>
  <c r="X509" i="8"/>
  <c r="X508" i="8"/>
  <c r="X507" i="8"/>
  <c r="X506" i="8"/>
  <c r="X718" i="8"/>
  <c r="X707" i="8"/>
  <c r="X505" i="8"/>
  <c r="X481" i="8"/>
  <c r="X480" i="8"/>
  <c r="X485" i="8"/>
  <c r="X476" i="8"/>
  <c r="X479" i="8"/>
  <c r="X478" i="8"/>
  <c r="X491" i="8"/>
  <c r="X490" i="8"/>
  <c r="X489" i="8"/>
  <c r="X484" i="8"/>
  <c r="X477" i="8"/>
  <c r="X488" i="8"/>
  <c r="X482" i="8"/>
  <c r="X487" i="8"/>
  <c r="X483" i="8"/>
  <c r="X474" i="8"/>
  <c r="X475" i="8"/>
  <c r="X442" i="8"/>
  <c r="X441" i="8"/>
  <c r="X486" i="8"/>
  <c r="X440" i="8"/>
  <c r="X473" i="8"/>
  <c r="X439" i="8"/>
  <c r="X472" i="8"/>
  <c r="X438" i="8"/>
  <c r="X458" i="8"/>
  <c r="X426" i="8"/>
  <c r="X437" i="8"/>
  <c r="X425" i="8"/>
  <c r="X457" i="8"/>
  <c r="X456" i="8"/>
  <c r="X424" i="8"/>
  <c r="X423" i="8"/>
  <c r="X422" i="8"/>
  <c r="X436" i="8"/>
  <c r="X421" i="8"/>
  <c r="X420" i="8"/>
  <c r="X419" i="8"/>
  <c r="X418" i="8"/>
  <c r="X455" i="8"/>
  <c r="X417" i="8"/>
  <c r="X432" i="8"/>
  <c r="X416" i="8"/>
  <c r="X431" i="8"/>
  <c r="X454" i="8"/>
  <c r="X415" i="8"/>
  <c r="X414" i="8"/>
  <c r="X430" i="8"/>
  <c r="X435" i="8"/>
  <c r="X429" i="8"/>
  <c r="X434" i="8"/>
  <c r="X413" i="8"/>
  <c r="X386" i="8"/>
  <c r="X412" i="8"/>
  <c r="X380" i="8"/>
  <c r="X376" i="8"/>
  <c r="X375" i="8"/>
  <c r="X374" i="8"/>
  <c r="X379" i="8"/>
  <c r="X362" i="8"/>
  <c r="X361" i="8"/>
  <c r="X360" i="8"/>
  <c r="X359" i="8"/>
  <c r="X358" i="8"/>
  <c r="X357" i="8"/>
  <c r="X356" i="8"/>
  <c r="X355" i="8"/>
  <c r="X354" i="8"/>
  <c r="X353" i="8"/>
  <c r="X352" i="8"/>
  <c r="X351" i="8"/>
  <c r="X373" i="8"/>
  <c r="X350" i="8"/>
  <c r="X343" i="8"/>
  <c r="X332" i="8"/>
  <c r="X331" i="8"/>
  <c r="X330" i="8"/>
  <c r="X329" i="8"/>
  <c r="X342" i="8"/>
  <c r="X328" i="8"/>
  <c r="X327" i="8"/>
  <c r="X326" i="8"/>
  <c r="X325" i="8"/>
  <c r="X324" i="8"/>
  <c r="X341" i="8"/>
  <c r="X323" i="8"/>
  <c r="X322" i="8"/>
  <c r="X321" i="8"/>
  <c r="X340" i="8"/>
  <c r="X339" i="8"/>
  <c r="X338" i="8"/>
  <c r="X337" i="8"/>
  <c r="X336" i="8"/>
  <c r="X320" i="8"/>
  <c r="X335" i="8"/>
  <c r="X319" i="8"/>
  <c r="X318" i="8"/>
  <c r="X317" i="8"/>
  <c r="X316" i="8"/>
  <c r="X315" i="8"/>
  <c r="X314" i="8"/>
  <c r="X313" i="8"/>
  <c r="X312" i="8"/>
  <c r="X311" i="8"/>
  <c r="X310" i="8"/>
  <c r="X309" i="8"/>
  <c r="X308" i="8"/>
  <c r="X307" i="8"/>
  <c r="X306" i="8"/>
  <c r="X305" i="8"/>
  <c r="X304" i="8"/>
  <c r="X303" i="8"/>
  <c r="X302" i="8"/>
  <c r="X301" i="8"/>
  <c r="X300" i="8"/>
  <c r="X299" i="8"/>
  <c r="X298" i="8"/>
  <c r="X297" i="8"/>
  <c r="X296" i="8"/>
  <c r="X295" i="8"/>
  <c r="X294" i="8"/>
  <c r="X293" i="8"/>
  <c r="X292" i="8"/>
  <c r="X291" i="8"/>
  <c r="X334" i="8"/>
  <c r="X290" i="8"/>
  <c r="X289" i="8"/>
  <c r="X288" i="8"/>
  <c r="X287" i="8"/>
  <c r="X286" i="8"/>
  <c r="X285" i="8"/>
  <c r="X284" i="8"/>
  <c r="X283" i="8"/>
  <c r="X282" i="8"/>
  <c r="X281" i="8"/>
  <c r="X280" i="8"/>
  <c r="X279" i="8"/>
  <c r="X278" i="8"/>
  <c r="X277" i="8"/>
  <c r="X276" i="8"/>
  <c r="X275" i="8"/>
  <c r="X274" i="8"/>
  <c r="X273" i="8"/>
  <c r="X272" i="8"/>
  <c r="X271" i="8"/>
  <c r="X270" i="8"/>
  <c r="X269" i="8"/>
  <c r="X268" i="8"/>
  <c r="X267" i="8"/>
  <c r="X266" i="8"/>
  <c r="X265" i="8"/>
  <c r="X264" i="8"/>
  <c r="X263" i="8"/>
  <c r="X262" i="8"/>
  <c r="X261" i="8"/>
  <c r="X260" i="8"/>
  <c r="X259" i="8"/>
  <c r="X258" i="8"/>
  <c r="X257" i="8"/>
  <c r="X256" i="8"/>
  <c r="X255" i="8"/>
  <c r="X254" i="8"/>
  <c r="X253" i="8"/>
  <c r="X252" i="8"/>
  <c r="X251" i="8"/>
  <c r="X250" i="8"/>
  <c r="X249" i="8"/>
  <c r="X248" i="8"/>
  <c r="X247" i="8"/>
  <c r="X246" i="8"/>
  <c r="X245" i="8"/>
  <c r="X244" i="8"/>
  <c r="X153" i="8"/>
  <c r="X152" i="8"/>
  <c r="X243" i="8"/>
  <c r="X242" i="8"/>
  <c r="X241" i="8"/>
  <c r="X240" i="8"/>
  <c r="X239" i="8"/>
  <c r="X238" i="8"/>
  <c r="X166" i="8"/>
  <c r="X237" i="8"/>
  <c r="X236" i="8"/>
  <c r="X235" i="8"/>
  <c r="X234" i="8"/>
  <c r="X233" i="8"/>
  <c r="X232" i="8"/>
  <c r="X231" i="8"/>
  <c r="X230" i="8"/>
  <c r="X229" i="8"/>
  <c r="X228" i="8"/>
  <c r="X227" i="8"/>
  <c r="X226" i="8"/>
  <c r="X225" i="8"/>
  <c r="X224" i="8"/>
  <c r="X223" i="8"/>
  <c r="X222" i="8"/>
  <c r="X133" i="8"/>
  <c r="X221" i="8"/>
  <c r="X220" i="8"/>
  <c r="X219" i="8"/>
  <c r="X218" i="8"/>
  <c r="X106" i="8"/>
  <c r="X217" i="8"/>
  <c r="X216" i="8"/>
  <c r="X215" i="8"/>
  <c r="X105" i="8"/>
  <c r="X214" i="8"/>
  <c r="X104" i="8"/>
  <c r="X213" i="8"/>
  <c r="X103" i="8"/>
  <c r="X212" i="8"/>
  <c r="X211" i="8"/>
  <c r="X210" i="8"/>
  <c r="X102" i="8"/>
  <c r="X209" i="8"/>
  <c r="X208" i="8"/>
  <c r="X207" i="8"/>
  <c r="X206" i="8"/>
  <c r="X205" i="8"/>
  <c r="X204" i="8"/>
  <c r="X203" i="8"/>
  <c r="X202" i="8"/>
  <c r="X201" i="8"/>
  <c r="X200" i="8"/>
  <c r="X199" i="8"/>
  <c r="X198" i="8"/>
  <c r="X197" i="8"/>
  <c r="X196" i="8"/>
  <c r="X195" i="8"/>
  <c r="X194" i="8"/>
  <c r="X193" i="8"/>
  <c r="X101" i="8"/>
  <c r="X192" i="8"/>
  <c r="X191" i="8"/>
  <c r="X132" i="8"/>
  <c r="X190" i="8"/>
  <c r="X189" i="8"/>
  <c r="X188" i="8"/>
  <c r="X187" i="8"/>
  <c r="X186" i="8"/>
  <c r="X131" i="8"/>
  <c r="X185" i="8"/>
  <c r="X184" i="8"/>
  <c r="X183" i="8"/>
  <c r="X100" i="8"/>
  <c r="X182" i="8"/>
  <c r="X181" i="8"/>
  <c r="X180" i="8"/>
  <c r="X179" i="8"/>
  <c r="X99" i="8"/>
  <c r="X178" i="8"/>
  <c r="X177" i="8"/>
  <c r="X176" i="8"/>
  <c r="X175" i="8"/>
  <c r="X174" i="8"/>
  <c r="X173" i="8"/>
  <c r="X151" i="8"/>
  <c r="X150" i="8"/>
  <c r="X333" i="8"/>
  <c r="X98" i="8"/>
  <c r="X172" i="8"/>
  <c r="X171" i="8"/>
  <c r="X97" i="8"/>
  <c r="X170" i="8"/>
  <c r="X169" i="8"/>
  <c r="X168" i="8"/>
  <c r="X15" i="8"/>
  <c r="X14" i="8"/>
  <c r="C25" i="10"/>
  <c r="C18" i="10"/>
  <c r="C19" i="10"/>
  <c r="C20" i="10"/>
  <c r="C21" i="10"/>
  <c r="C22" i="10"/>
  <c r="C23" i="10"/>
  <c r="C24" i="10"/>
  <c r="C17" i="10"/>
  <c r="G26" i="2"/>
  <c r="G30" i="2"/>
  <c r="G31" i="2"/>
  <c r="G29" i="2"/>
  <c r="G27" i="2"/>
  <c r="G28" i="2"/>
  <c r="G24" i="2"/>
  <c r="G25" i="2"/>
  <c r="P21" i="4"/>
  <c r="P3" i="4"/>
  <c r="O2" i="7" a="1"/>
  <c r="R19" i="7" a="1"/>
  <c r="R19" i="7" s="1"/>
  <c r="S2" i="7"/>
  <c r="O2" i="7"/>
  <c r="R20" i="7"/>
  <c r="P493" i="4"/>
  <c r="P496" i="4"/>
  <c r="P492" i="4"/>
  <c r="P488" i="4"/>
  <c r="P485" i="4"/>
  <c r="P495" i="4"/>
  <c r="P490" i="4"/>
  <c r="P487" i="4"/>
  <c r="P497" i="4"/>
  <c r="P494" i="4"/>
  <c r="P489" i="4"/>
  <c r="P486" i="4"/>
  <c r="N2" i="4"/>
  <c r="N456" i="4"/>
  <c r="N415" i="4"/>
  <c r="N409" i="4"/>
  <c r="N403" i="4"/>
  <c r="N400" i="4"/>
  <c r="N361" i="4"/>
  <c r="N358" i="4"/>
  <c r="N343" i="4"/>
  <c r="N292" i="4"/>
  <c r="N271" i="4"/>
  <c r="N220" i="4"/>
  <c r="N217" i="4"/>
  <c r="N214" i="4"/>
  <c r="N202" i="4"/>
  <c r="N199" i="4"/>
  <c r="N196" i="4"/>
  <c r="N187" i="4"/>
  <c r="N184" i="4"/>
  <c r="N163" i="4"/>
  <c r="N160" i="4"/>
  <c r="N157" i="4"/>
  <c r="N154" i="4"/>
  <c r="N151" i="4"/>
  <c r="N148" i="4"/>
  <c r="N145" i="4"/>
  <c r="N142" i="4"/>
  <c r="N139" i="4"/>
  <c r="N136" i="4"/>
  <c r="N133" i="4"/>
  <c r="N130" i="4"/>
  <c r="N127" i="4"/>
  <c r="N124" i="4"/>
  <c r="N121" i="4"/>
  <c r="N118" i="4"/>
  <c r="N115" i="4"/>
  <c r="N112" i="4"/>
  <c r="N109" i="4"/>
  <c r="N106" i="4"/>
  <c r="N103" i="4"/>
  <c r="N100" i="4"/>
  <c r="N97" i="4"/>
  <c r="N94" i="4"/>
  <c r="N91" i="4"/>
  <c r="N88" i="4"/>
  <c r="N85" i="4"/>
  <c r="N82" i="4"/>
  <c r="N79" i="4"/>
  <c r="N76" i="4"/>
  <c r="N73" i="4"/>
  <c r="N70" i="4"/>
  <c r="N67" i="4"/>
  <c r="N64" i="4"/>
  <c r="N61" i="4"/>
  <c r="N58" i="4"/>
  <c r="N55" i="4"/>
  <c r="N52" i="4"/>
  <c r="N49" i="4"/>
  <c r="N46" i="4"/>
  <c r="N43" i="4"/>
  <c r="N40" i="4"/>
  <c r="N37" i="4"/>
  <c r="N34" i="4"/>
  <c r="N31" i="4"/>
  <c r="N28" i="4"/>
  <c r="N25" i="4"/>
  <c r="N19" i="4"/>
  <c r="N16" i="4"/>
  <c r="N13" i="4"/>
  <c r="N10" i="4"/>
  <c r="N7" i="4"/>
  <c r="N4" i="4"/>
  <c r="N423" i="4"/>
  <c r="N420" i="4"/>
  <c r="N455" i="4"/>
  <c r="N425" i="4"/>
  <c r="N399" i="4"/>
  <c r="N336" i="4"/>
  <c r="N294" i="4"/>
  <c r="N270" i="4"/>
  <c r="N228" i="4"/>
  <c r="N219" i="4"/>
  <c r="N195" i="4"/>
  <c r="N192" i="4"/>
  <c r="N159" i="4"/>
  <c r="N156" i="4"/>
  <c r="N153" i="4"/>
  <c r="N150" i="4"/>
  <c r="N147" i="4"/>
  <c r="N144" i="4"/>
  <c r="N138" i="4"/>
  <c r="N135" i="4"/>
  <c r="N132" i="4"/>
  <c r="N129" i="4"/>
  <c r="N126" i="4"/>
  <c r="N123" i="4"/>
  <c r="N120" i="4"/>
  <c r="N117" i="4"/>
  <c r="N114" i="4"/>
  <c r="N111" i="4"/>
  <c r="N108" i="4"/>
  <c r="N105" i="4"/>
  <c r="N102" i="4"/>
  <c r="N99" i="4"/>
  <c r="N96" i="4"/>
  <c r="N93" i="4"/>
  <c r="N90" i="4"/>
  <c r="N87" i="4"/>
  <c r="N81" i="4"/>
  <c r="N78" i="4"/>
  <c r="N75" i="4"/>
  <c r="N72" i="4"/>
  <c r="N69" i="4"/>
  <c r="N66" i="4"/>
  <c r="N63" i="4"/>
  <c r="N60" i="4"/>
  <c r="N57" i="4"/>
  <c r="N54" i="4"/>
  <c r="N51" i="4"/>
  <c r="N48" i="4"/>
  <c r="N45" i="4"/>
  <c r="N42" i="4"/>
  <c r="N39" i="4"/>
  <c r="N36" i="4"/>
  <c r="N33" i="4"/>
  <c r="N30" i="4"/>
  <c r="N27" i="4"/>
  <c r="N24" i="4"/>
  <c r="N18" i="4"/>
  <c r="N15" i="4"/>
  <c r="N12" i="4"/>
  <c r="N9" i="4"/>
  <c r="N6" i="4"/>
  <c r="N449" i="4"/>
  <c r="N454" i="4"/>
  <c r="N436" i="4"/>
  <c r="N395" i="4"/>
  <c r="N353" i="4"/>
  <c r="N344" i="4"/>
  <c r="N335" i="4"/>
  <c r="N290" i="4"/>
  <c r="N227" i="4"/>
  <c r="N218" i="4"/>
  <c r="N203" i="4"/>
  <c r="N170" i="4"/>
  <c r="N155" i="4"/>
  <c r="N152" i="4"/>
  <c r="N149" i="4"/>
  <c r="N146" i="4"/>
  <c r="N143" i="4"/>
  <c r="N140" i="4"/>
  <c r="N137" i="4"/>
  <c r="N134" i="4"/>
  <c r="N131" i="4"/>
  <c r="N128" i="4"/>
  <c r="N125" i="4"/>
  <c r="N122" i="4"/>
  <c r="N119" i="4"/>
  <c r="N116" i="4"/>
  <c r="N113" i="4"/>
  <c r="N110" i="4"/>
  <c r="N107" i="4"/>
  <c r="N104" i="4"/>
  <c r="N101" i="4"/>
  <c r="N98" i="4"/>
  <c r="N95" i="4"/>
  <c r="N92" i="4"/>
  <c r="N89" i="4"/>
  <c r="N86" i="4"/>
  <c r="N83" i="4"/>
  <c r="N80" i="4"/>
  <c r="N77" i="4"/>
  <c r="N74" i="4"/>
  <c r="N71" i="4"/>
  <c r="N68" i="4"/>
  <c r="N65" i="4"/>
  <c r="N62" i="4"/>
  <c r="N59" i="4"/>
  <c r="N56" i="4"/>
  <c r="N53" i="4"/>
  <c r="N50" i="4"/>
  <c r="N47" i="4"/>
  <c r="N44" i="4"/>
  <c r="N38" i="4"/>
  <c r="N35" i="4"/>
  <c r="N32" i="4"/>
  <c r="N29" i="4"/>
  <c r="N26" i="4"/>
  <c r="N23" i="4"/>
  <c r="N20" i="4"/>
  <c r="N17" i="4"/>
  <c r="N11" i="4"/>
  <c r="N8" i="4"/>
  <c r="N5" i="4"/>
  <c r="N491"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3" i="4"/>
  <c r="N452" i="4"/>
  <c r="N451" i="4"/>
  <c r="N450" i="4"/>
  <c r="N448" i="4"/>
  <c r="N447" i="4"/>
  <c r="N446" i="4"/>
  <c r="N445" i="4"/>
  <c r="N444" i="4"/>
  <c r="N443" i="4"/>
  <c r="N442" i="4"/>
  <c r="N441" i="4"/>
  <c r="N440" i="4"/>
  <c r="N439" i="4"/>
  <c r="N438" i="4"/>
  <c r="N437" i="4"/>
  <c r="N435" i="4"/>
  <c r="N434" i="4"/>
  <c r="N433" i="4"/>
  <c r="N432" i="4"/>
  <c r="N431" i="4"/>
  <c r="N430" i="4"/>
  <c r="N429" i="4"/>
  <c r="N428" i="4"/>
  <c r="N427" i="4"/>
  <c r="N426" i="4"/>
  <c r="N424" i="4"/>
  <c r="N422" i="4"/>
  <c r="N421" i="4"/>
  <c r="N419" i="4"/>
  <c r="N418" i="4"/>
  <c r="N417" i="4"/>
  <c r="N416" i="4"/>
  <c r="N414" i="4"/>
  <c r="N413" i="4"/>
  <c r="N412" i="4"/>
  <c r="N411" i="4"/>
  <c r="N410" i="4"/>
  <c r="N408" i="4"/>
  <c r="N407" i="4"/>
  <c r="N406" i="4"/>
  <c r="N405" i="4"/>
  <c r="N404" i="4"/>
  <c r="N402" i="4"/>
  <c r="N401" i="4"/>
  <c r="N398" i="4"/>
  <c r="N397" i="4"/>
  <c r="N396"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0" i="4"/>
  <c r="N359" i="4"/>
  <c r="N357" i="4"/>
  <c r="N356" i="4"/>
  <c r="N355" i="4"/>
  <c r="N354" i="4"/>
  <c r="N352" i="4"/>
  <c r="N351" i="4"/>
  <c r="N350" i="4"/>
  <c r="N349" i="4"/>
  <c r="N348" i="4"/>
  <c r="N347" i="4"/>
  <c r="N346" i="4"/>
  <c r="N345" i="4"/>
  <c r="N342" i="4"/>
  <c r="N341" i="4"/>
  <c r="N340" i="4"/>
  <c r="N339" i="4"/>
  <c r="N338" i="4"/>
  <c r="N337"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3" i="4"/>
  <c r="N291" i="4"/>
  <c r="N289" i="4"/>
  <c r="N288" i="4"/>
  <c r="N287" i="4"/>
  <c r="N286" i="4"/>
  <c r="N285" i="4"/>
  <c r="N284" i="4"/>
  <c r="N283" i="4"/>
  <c r="N282" i="4"/>
  <c r="N281" i="4"/>
  <c r="N280" i="4"/>
  <c r="N279" i="4"/>
  <c r="N278" i="4"/>
  <c r="N277" i="4"/>
  <c r="N276" i="4"/>
  <c r="N275" i="4"/>
  <c r="N274" i="4"/>
  <c r="N273" i="4"/>
  <c r="N272"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P241" i="4" a="1"/>
  <c r="P241" i="4" s="1"/>
  <c r="P240" i="4" a="1"/>
  <c r="P240" i="4" s="1"/>
  <c r="P239" i="4" a="1"/>
  <c r="P239" i="4" s="1"/>
  <c r="P238" i="4" a="1"/>
  <c r="P238" i="4" s="1"/>
  <c r="N237" i="4"/>
  <c r="N236" i="4"/>
  <c r="N235" i="4"/>
  <c r="N234" i="4"/>
  <c r="N233" i="4"/>
  <c r="N232" i="4"/>
  <c r="N231" i="4"/>
  <c r="N230" i="4"/>
  <c r="N229" i="4"/>
  <c r="N226" i="4"/>
  <c r="N225" i="4"/>
  <c r="N224" i="4"/>
  <c r="N223" i="4"/>
  <c r="N222" i="4"/>
  <c r="N221" i="4"/>
  <c r="N216" i="4"/>
  <c r="N215" i="4"/>
  <c r="N213" i="4"/>
  <c r="N212" i="4"/>
  <c r="N211" i="4"/>
  <c r="N210" i="4"/>
  <c r="N209" i="4"/>
  <c r="N208" i="4"/>
  <c r="N207" i="4"/>
  <c r="N206" i="4"/>
  <c r="N205" i="4"/>
  <c r="N204" i="4"/>
  <c r="N201" i="4"/>
  <c r="N200" i="4"/>
  <c r="N198" i="4"/>
  <c r="N197" i="4"/>
  <c r="N194" i="4"/>
  <c r="N193" i="4"/>
  <c r="N191" i="4"/>
  <c r="N190" i="4"/>
  <c r="N189" i="4"/>
  <c r="N188" i="4"/>
  <c r="N186" i="4"/>
  <c r="N185" i="4"/>
  <c r="N183" i="4"/>
  <c r="N182" i="4"/>
  <c r="N181" i="4"/>
  <c r="N180" i="4"/>
  <c r="N179" i="4"/>
  <c r="N178" i="4"/>
  <c r="N177" i="4"/>
  <c r="N176" i="4"/>
  <c r="N175" i="4"/>
  <c r="N174" i="4"/>
  <c r="N173" i="4"/>
  <c r="N172" i="4"/>
  <c r="N171" i="4"/>
  <c r="N169" i="4"/>
  <c r="N168" i="4"/>
  <c r="N167" i="4"/>
  <c r="N166" i="4"/>
  <c r="N165" i="4"/>
  <c r="N164" i="4"/>
  <c r="N162" i="4"/>
  <c r="N161" i="4"/>
  <c r="N158" i="4"/>
  <c r="N141" i="4"/>
  <c r="N84" i="4"/>
  <c r="N41" i="4"/>
  <c r="N22" i="4"/>
  <c r="N14" i="4"/>
  <c r="S10" i="7" l="1" a="1"/>
  <c r="S10" i="7" s="1"/>
  <c r="R16" i="7"/>
  <c r="AB2" i="4"/>
  <c r="P361" i="4" a="1"/>
  <c r="P199" i="4" a="1"/>
  <c r="P148" i="4" a="1"/>
  <c r="P121" i="4" a="1"/>
  <c r="P94" i="4" a="1"/>
  <c r="P67" i="4" a="1"/>
  <c r="P40" i="4" a="1"/>
  <c r="P10" i="4" a="1"/>
  <c r="P294" i="4" a="1"/>
  <c r="P150" i="4" a="1"/>
  <c r="P120" i="4" a="1"/>
  <c r="P93" i="4" a="1"/>
  <c r="P63" i="4" a="1"/>
  <c r="P36" i="4" a="1"/>
  <c r="P6" i="4" a="1"/>
  <c r="P227" i="4" a="1"/>
  <c r="P140" i="4" a="1"/>
  <c r="P113" i="4" a="1"/>
  <c r="P86" i="4" a="1"/>
  <c r="P59" i="4" a="1"/>
  <c r="P29" i="4" a="1"/>
  <c r="P484" i="4" a="1"/>
  <c r="P475" i="4" a="1"/>
  <c r="P466" i="4" a="1"/>
  <c r="P457" i="4" a="1"/>
  <c r="P444" i="4" a="1"/>
  <c r="P434" i="4" a="1"/>
  <c r="P424" i="4" a="1"/>
  <c r="P412" i="4" a="1"/>
  <c r="P401" i="4" a="1"/>
  <c r="P389" i="4" a="1"/>
  <c r="P380" i="4" a="1"/>
  <c r="P371" i="4" a="1"/>
  <c r="P362" i="4" a="1"/>
  <c r="P350" i="4" a="1"/>
  <c r="P339" i="4" a="1"/>
  <c r="P328" i="4" a="1"/>
  <c r="P319" i="4" a="1"/>
  <c r="P310" i="4" a="1"/>
  <c r="P301" i="4" a="1"/>
  <c r="P289" i="4" a="1"/>
  <c r="P280" i="4" a="1"/>
  <c r="P456" i="4" a="1"/>
  <c r="P271" i="4" a="1"/>
  <c r="P163" i="4" a="1"/>
  <c r="P136" i="4" a="1"/>
  <c r="P109" i="4" a="1"/>
  <c r="P82" i="4" a="1"/>
  <c r="P55" i="4" a="1"/>
  <c r="P28" i="4" a="1"/>
  <c r="P420" i="4" a="1"/>
  <c r="P195" i="4" a="1"/>
  <c r="P135" i="4" a="1"/>
  <c r="P108" i="4" a="1"/>
  <c r="P78" i="4" a="1"/>
  <c r="P51" i="4" a="1"/>
  <c r="P24" i="4" a="1"/>
  <c r="P395" i="4" a="1"/>
  <c r="P155" i="4" a="1"/>
  <c r="P128" i="4" a="1"/>
  <c r="P101" i="4" a="1"/>
  <c r="P74" i="4" a="1"/>
  <c r="P47" i="4" a="1"/>
  <c r="P17" i="4" a="1"/>
  <c r="P480" i="4" a="1"/>
  <c r="P471" i="4" a="1"/>
  <c r="P462" i="4" a="1"/>
  <c r="P450" i="4" a="1"/>
  <c r="P440" i="4" a="1"/>
  <c r="P430" i="4" a="1"/>
  <c r="P418" i="4" a="1"/>
  <c r="P407" i="4" a="1"/>
  <c r="P394" i="4" a="1"/>
  <c r="P385" i="4" a="1"/>
  <c r="P376" i="4" a="1"/>
  <c r="P367" i="4" a="1"/>
  <c r="P356" i="4" a="1"/>
  <c r="P346" i="4" a="1"/>
  <c r="P333" i="4" a="1"/>
  <c r="P324" i="4" a="1"/>
  <c r="P315" i="4" a="1"/>
  <c r="P306" i="4" a="1"/>
  <c r="P297" i="4" a="1"/>
  <c r="P400" i="4" a="1"/>
  <c r="P202" i="4" a="1"/>
  <c r="P151" i="4" a="1"/>
  <c r="P124" i="4" a="1"/>
  <c r="P97" i="4" a="1"/>
  <c r="P70" i="4" a="1"/>
  <c r="P43" i="4" a="1"/>
  <c r="P13" i="4" a="1"/>
  <c r="P336" i="4" a="1"/>
  <c r="P153" i="4" a="1"/>
  <c r="P123" i="4" a="1"/>
  <c r="P96" i="4" a="1"/>
  <c r="P66" i="4" a="1"/>
  <c r="P39" i="4" a="1"/>
  <c r="P9" i="4" a="1"/>
  <c r="P290" i="4" a="1"/>
  <c r="P143" i="4" a="1"/>
  <c r="P116" i="4" a="1"/>
  <c r="P89" i="4" a="1"/>
  <c r="P62" i="4" a="1"/>
  <c r="P32" i="4" a="1"/>
  <c r="P491" i="4" a="1"/>
  <c r="P476" i="4" a="1"/>
  <c r="P467" i="4" a="1"/>
  <c r="P458" i="4" a="1"/>
  <c r="P445" i="4" a="1"/>
  <c r="P435" i="4" a="1"/>
  <c r="P426" i="4" a="1"/>
  <c r="P413" i="4" a="1"/>
  <c r="P402" i="4" a="1"/>
  <c r="P390" i="4" a="1"/>
  <c r="P381" i="4" a="1"/>
  <c r="P372" i="4" a="1"/>
  <c r="P363" i="4" a="1"/>
  <c r="P351" i="4" a="1"/>
  <c r="P340" i="4" a="1"/>
  <c r="P329" i="4" a="1"/>
  <c r="P320" i="4" a="1"/>
  <c r="P311" i="4" a="1"/>
  <c r="P302" i="4" a="1"/>
  <c r="P291" i="4" a="1"/>
  <c r="P281" i="4" a="1"/>
  <c r="P269" i="4" a="1"/>
  <c r="P260" i="4" a="1"/>
  <c r="P292" i="4" a="1"/>
  <c r="P184" i="4" a="1"/>
  <c r="P139" i="4" a="1"/>
  <c r="P112" i="4" a="1"/>
  <c r="P85" i="4" a="1"/>
  <c r="P58" i="4" a="1"/>
  <c r="P31" i="4" a="1"/>
  <c r="P423" i="4" a="1"/>
  <c r="P219" i="4" a="1"/>
  <c r="P138" i="4" a="1"/>
  <c r="P111" i="4" a="1"/>
  <c r="P81" i="4" a="1"/>
  <c r="P54" i="4" a="1"/>
  <c r="P27" i="4" a="1"/>
  <c r="P436" i="4" a="1"/>
  <c r="P170" i="4" a="1"/>
  <c r="P131" i="4" a="1"/>
  <c r="P104" i="4" a="1"/>
  <c r="P77" i="4" a="1"/>
  <c r="P50" i="4" a="1"/>
  <c r="P20" i="4" a="1"/>
  <c r="P481" i="4" a="1"/>
  <c r="P472" i="4" a="1"/>
  <c r="P463" i="4" a="1"/>
  <c r="P451" i="4" a="1"/>
  <c r="P441" i="4" a="1"/>
  <c r="P431" i="4" a="1"/>
  <c r="P419" i="4" a="1"/>
  <c r="P408" i="4" a="1"/>
  <c r="P396" i="4" a="1"/>
  <c r="P386" i="4" a="1"/>
  <c r="P377" i="4" a="1"/>
  <c r="P368" i="4" a="1"/>
  <c r="P357" i="4" a="1"/>
  <c r="P347" i="4" a="1"/>
  <c r="P334" i="4" a="1"/>
  <c r="P325" i="4" a="1"/>
  <c r="P316" i="4" a="1"/>
  <c r="P307" i="4" a="1"/>
  <c r="P298" i="4" a="1"/>
  <c r="P286" i="4" a="1"/>
  <c r="P277" i="4" a="1"/>
  <c r="P403" i="4" a="1"/>
  <c r="P214" i="4" a="1"/>
  <c r="P154" i="4" a="1"/>
  <c r="P127" i="4" a="1"/>
  <c r="P100" i="4" a="1"/>
  <c r="P73" i="4" a="1"/>
  <c r="P46" i="4" a="1"/>
  <c r="P16" i="4" a="1"/>
  <c r="P399" i="4" a="1"/>
  <c r="P156" i="4" a="1"/>
  <c r="P126" i="4" a="1"/>
  <c r="P99" i="4" a="1"/>
  <c r="P69" i="4" a="1"/>
  <c r="P42" i="4" a="1"/>
  <c r="P12" i="4" a="1"/>
  <c r="P335" i="4" a="1"/>
  <c r="P146" i="4" a="1"/>
  <c r="P119" i="4" a="1"/>
  <c r="P92" i="4" a="1"/>
  <c r="P65" i="4" a="1"/>
  <c r="P35" i="4" a="1"/>
  <c r="P5" i="4" a="1"/>
  <c r="P477" i="4" a="1"/>
  <c r="P468" i="4" a="1"/>
  <c r="P459" i="4" a="1"/>
  <c r="P446" i="4" a="1"/>
  <c r="P437" i="4" a="1"/>
  <c r="P427" i="4" a="1"/>
  <c r="P414" i="4" a="1"/>
  <c r="P404" i="4" a="1"/>
  <c r="P391" i="4" a="1"/>
  <c r="P382" i="4" a="1"/>
  <c r="P373" i="4" a="1"/>
  <c r="P364" i="4" a="1"/>
  <c r="P352" i="4" a="1"/>
  <c r="P341" i="4" a="1"/>
  <c r="P330" i="4" a="1"/>
  <c r="P321" i="4" a="1"/>
  <c r="P312" i="4" a="1"/>
  <c r="P303" i="4" a="1"/>
  <c r="P293" i="4" a="1"/>
  <c r="P343" i="4" a="1"/>
  <c r="P187" i="4" a="1"/>
  <c r="P142" i="4" a="1"/>
  <c r="P115" i="4" a="1"/>
  <c r="P88" i="4" a="1"/>
  <c r="P61" i="4" a="1"/>
  <c r="P34" i="4" a="1"/>
  <c r="P4" i="4" a="1"/>
  <c r="P228" i="4" a="1"/>
  <c r="P144" i="4" a="1"/>
  <c r="P114" i="4" a="1"/>
  <c r="P87" i="4" a="1"/>
  <c r="P57" i="4" a="1"/>
  <c r="P30" i="4" a="1"/>
  <c r="P454" i="4" a="1"/>
  <c r="P203" i="4" a="1"/>
  <c r="P134" i="4" a="1"/>
  <c r="P107" i="4" a="1"/>
  <c r="P80" i="4" a="1"/>
  <c r="P53" i="4" a="1"/>
  <c r="P23" i="4" a="1"/>
  <c r="P482" i="4" a="1"/>
  <c r="P473" i="4" a="1"/>
  <c r="P464" i="4" a="1"/>
  <c r="P452" i="4" a="1"/>
  <c r="P442" i="4" a="1"/>
  <c r="P432" i="4" a="1"/>
  <c r="P421" i="4" a="1"/>
  <c r="P410" i="4" a="1"/>
  <c r="P397" i="4" a="1"/>
  <c r="P387" i="4" a="1"/>
  <c r="P378" i="4" a="1"/>
  <c r="P369" i="4" a="1"/>
  <c r="P359" i="4" a="1"/>
  <c r="P348" i="4" a="1"/>
  <c r="P337" i="4" a="1"/>
  <c r="P326" i="4" a="1"/>
  <c r="P317" i="4" a="1"/>
  <c r="P308" i="4" a="1"/>
  <c r="P299" i="4" a="1"/>
  <c r="P287" i="4" a="1"/>
  <c r="P278" i="4" a="1"/>
  <c r="P266" i="4" a="1"/>
  <c r="P409" i="4" a="1"/>
  <c r="P217" i="4" a="1"/>
  <c r="P157" i="4" a="1"/>
  <c r="P130" i="4" a="1"/>
  <c r="P103" i="4" a="1"/>
  <c r="P76" i="4" a="1"/>
  <c r="P49" i="4" a="1"/>
  <c r="P19" i="4" a="1"/>
  <c r="P425" i="4" a="1"/>
  <c r="P159" i="4" a="1"/>
  <c r="P129" i="4" a="1"/>
  <c r="P102" i="4" a="1"/>
  <c r="P72" i="4" a="1"/>
  <c r="P45" i="4" a="1"/>
  <c r="P15" i="4" a="1"/>
  <c r="P344" i="4" a="1"/>
  <c r="P149" i="4" a="1"/>
  <c r="P122" i="4" a="1"/>
  <c r="P95" i="4" a="1"/>
  <c r="P68" i="4" a="1"/>
  <c r="P38" i="4" a="1"/>
  <c r="P8" i="4" a="1"/>
  <c r="P478" i="4" a="1"/>
  <c r="P469" i="4" a="1"/>
  <c r="P460" i="4" a="1"/>
  <c r="P447" i="4" a="1"/>
  <c r="P438" i="4" a="1"/>
  <c r="P428" i="4" a="1"/>
  <c r="P416" i="4" a="1"/>
  <c r="P405" i="4" a="1"/>
  <c r="P392" i="4" a="1"/>
  <c r="P383" i="4" a="1"/>
  <c r="P374" i="4" a="1"/>
  <c r="P365" i="4" a="1"/>
  <c r="P354" i="4" a="1"/>
  <c r="P342" i="4" a="1"/>
  <c r="P331" i="4" a="1"/>
  <c r="P322" i="4" a="1"/>
  <c r="P313" i="4" a="1"/>
  <c r="P304" i="4" a="1"/>
  <c r="P295" i="4" a="1"/>
  <c r="P283" i="4" a="1"/>
  <c r="P274" i="4" a="1"/>
  <c r="P358" i="4" a="1"/>
  <c r="P196" i="4" a="1"/>
  <c r="P145" i="4" a="1"/>
  <c r="P118" i="4" a="1"/>
  <c r="P91" i="4" a="1"/>
  <c r="P64" i="4" a="1"/>
  <c r="P37" i="4" a="1"/>
  <c r="P7" i="4" a="1"/>
  <c r="P270" i="4" a="1"/>
  <c r="P147" i="4" a="1"/>
  <c r="P117" i="4" a="1"/>
  <c r="P90" i="4" a="1"/>
  <c r="P60" i="4" a="1"/>
  <c r="P33" i="4" a="1"/>
  <c r="P449" i="4" a="1"/>
  <c r="P218" i="4" a="1"/>
  <c r="P137" i="4" a="1"/>
  <c r="P110" i="4" a="1"/>
  <c r="P83" i="4" a="1"/>
  <c r="P56" i="4" a="1"/>
  <c r="P26" i="4" a="1"/>
  <c r="P483" i="4" a="1"/>
  <c r="P474" i="4" a="1"/>
  <c r="P465" i="4" a="1"/>
  <c r="P453" i="4" a="1"/>
  <c r="P443" i="4" a="1"/>
  <c r="P433" i="4" a="1"/>
  <c r="P422" i="4" a="1"/>
  <c r="P411" i="4" a="1"/>
  <c r="P398" i="4" a="1"/>
  <c r="P388" i="4" a="1"/>
  <c r="P379" i="4" a="1"/>
  <c r="P370" i="4" a="1"/>
  <c r="P360" i="4" a="1"/>
  <c r="P349" i="4" a="1"/>
  <c r="P338" i="4" a="1"/>
  <c r="P327" i="4" a="1"/>
  <c r="P318" i="4" a="1"/>
  <c r="P309" i="4" a="1"/>
  <c r="P300" i="4" a="1"/>
  <c r="P415" i="4" a="1"/>
  <c r="P220" i="4" a="1"/>
  <c r="P160" i="4" a="1"/>
  <c r="P133" i="4" a="1"/>
  <c r="P106" i="4" a="1"/>
  <c r="P79" i="4" a="1"/>
  <c r="P52" i="4" a="1"/>
  <c r="P25" i="4" a="1"/>
  <c r="P455" i="4" a="1"/>
  <c r="P192" i="4" a="1"/>
  <c r="P132" i="4" a="1"/>
  <c r="P105" i="4" a="1"/>
  <c r="P75" i="4" a="1"/>
  <c r="P48" i="4" a="1"/>
  <c r="P18" i="4" a="1"/>
  <c r="P353" i="4" a="1"/>
  <c r="P152" i="4" a="1"/>
  <c r="P125" i="4" a="1"/>
  <c r="P98" i="4" a="1"/>
  <c r="P71" i="4" a="1"/>
  <c r="P44" i="4" a="1"/>
  <c r="P11" i="4" a="1"/>
  <c r="P479" i="4" a="1"/>
  <c r="P470" i="4" a="1"/>
  <c r="P461" i="4" a="1"/>
  <c r="P448" i="4" a="1"/>
  <c r="P439" i="4" a="1"/>
  <c r="P429" i="4" a="1"/>
  <c r="P417" i="4" a="1"/>
  <c r="P406" i="4" a="1"/>
  <c r="P393" i="4" a="1"/>
  <c r="P384" i="4" a="1"/>
  <c r="P375" i="4" a="1"/>
  <c r="P366" i="4" a="1"/>
  <c r="P355" i="4" a="1"/>
  <c r="P345" i="4" a="1"/>
  <c r="P332" i="4" a="1"/>
  <c r="P323" i="4" a="1"/>
  <c r="P314" i="4" a="1"/>
  <c r="P284" i="4" a="1"/>
  <c r="P257" i="4" a="1"/>
  <c r="P248" i="4" a="1"/>
  <c r="P236" i="4" a="1"/>
  <c r="P225" i="4" a="1"/>
  <c r="P211" i="4" a="1"/>
  <c r="P200" i="4" a="1"/>
  <c r="P186" i="4" a="1"/>
  <c r="P176" i="4" a="1"/>
  <c r="P166" i="4" a="1"/>
  <c r="P161" i="4" a="1"/>
  <c r="P282" i="4" a="1"/>
  <c r="P273" i="4" a="1"/>
  <c r="P262" i="4" a="1"/>
  <c r="P253" i="4" a="1"/>
  <c r="P244" i="4" a="1"/>
  <c r="P229" i="4" a="1"/>
  <c r="P213" i="4" a="1"/>
  <c r="P204" i="4" a="1"/>
  <c r="P189" i="4" a="1"/>
  <c r="P178" i="4" a="1"/>
  <c r="P165" i="4" a="1"/>
  <c r="P267" i="4" a="1"/>
  <c r="P258" i="4" a="1"/>
  <c r="P249" i="4" a="1"/>
  <c r="P237" i="4" a="1"/>
  <c r="P226" i="4" a="1"/>
  <c r="P212" i="4" a="1"/>
  <c r="P201" i="4" a="1"/>
  <c r="P188" i="4" a="1"/>
  <c r="P305" i="4" a="1"/>
  <c r="P275" i="4" a="1"/>
  <c r="P254" i="4" a="1"/>
  <c r="P245" i="4" a="1"/>
  <c r="P233" i="4" a="1"/>
  <c r="P222" i="4" a="1"/>
  <c r="P208" i="4" a="1"/>
  <c r="P194" i="4" a="1"/>
  <c r="P182" i="4" a="1"/>
  <c r="P173" i="4" a="1"/>
  <c r="P162" i="4" a="1"/>
  <c r="P288" i="4" a="1"/>
  <c r="P279" i="4" a="1"/>
  <c r="P268" i="4" a="1"/>
  <c r="P259" i="4" a="1"/>
  <c r="P250" i="4" a="1"/>
  <c r="P235" i="4" a="1"/>
  <c r="P224" i="4" a="1"/>
  <c r="P210" i="4" a="1"/>
  <c r="P198" i="4" a="1"/>
  <c r="P185" i="4" a="1"/>
  <c r="P175" i="4" a="1"/>
  <c r="P84" i="4" a="1"/>
  <c r="P264" i="4" a="1"/>
  <c r="P255" i="4" a="1"/>
  <c r="P246" i="4" a="1"/>
  <c r="P234" i="4" a="1"/>
  <c r="P223" i="4" a="1"/>
  <c r="P209" i="4" a="1"/>
  <c r="P197" i="4" a="1"/>
  <c r="P183" i="4" a="1"/>
  <c r="P174" i="4" a="1"/>
  <c r="P164" i="4" a="1"/>
  <c r="P168" i="4" a="1"/>
  <c r="P167" i="4" a="1"/>
  <c r="P296" i="4" a="1"/>
  <c r="P263" i="4" a="1"/>
  <c r="P251" i="4" a="1"/>
  <c r="P242" i="4" a="1"/>
  <c r="P230" i="4" a="1"/>
  <c r="P215" i="4" a="1"/>
  <c r="P205" i="4" a="1"/>
  <c r="P190" i="4" a="1"/>
  <c r="P179" i="4" a="1"/>
  <c r="P169" i="4" a="1"/>
  <c r="P22" i="4" a="1"/>
  <c r="P285" i="4" a="1"/>
  <c r="P276" i="4" a="1"/>
  <c r="P265" i="4" a="1"/>
  <c r="P256" i="4" a="1"/>
  <c r="P247" i="4" a="1"/>
  <c r="P232" i="4" a="1"/>
  <c r="P221" i="4" a="1"/>
  <c r="P207" i="4" a="1"/>
  <c r="P193" i="4" a="1"/>
  <c r="P181" i="4" a="1"/>
  <c r="P172" i="4" a="1"/>
  <c r="P272" i="4" a="1"/>
  <c r="P261" i="4" a="1"/>
  <c r="P252" i="4" a="1"/>
  <c r="P243" i="4" a="1"/>
  <c r="P231" i="4" a="1"/>
  <c r="P216" i="4" a="1"/>
  <c r="P206" i="4" a="1"/>
  <c r="P191" i="4" a="1"/>
  <c r="P180" i="4" a="1"/>
  <c r="P171" i="4" a="1"/>
  <c r="P158" i="4" a="1"/>
  <c r="P14" i="4" a="1"/>
  <c r="P177" i="4" a="1"/>
  <c r="P141" i="4" a="1"/>
  <c r="P41" i="4" a="1"/>
  <c r="P2" i="4" a="1"/>
  <c r="P141" i="4" l="1"/>
  <c r="P177" i="4"/>
  <c r="P14" i="4"/>
  <c r="P158" i="4"/>
  <c r="P171" i="4"/>
  <c r="P180" i="4"/>
  <c r="P191" i="4"/>
  <c r="P206" i="4"/>
  <c r="P216" i="4"/>
  <c r="P231" i="4"/>
  <c r="P243" i="4"/>
  <c r="P252" i="4"/>
  <c r="P261" i="4"/>
  <c r="P272" i="4"/>
  <c r="P172" i="4"/>
  <c r="P181" i="4"/>
  <c r="P193" i="4"/>
  <c r="P207" i="4"/>
  <c r="P221" i="4"/>
  <c r="P232" i="4"/>
  <c r="P247" i="4"/>
  <c r="P256" i="4"/>
  <c r="P265" i="4"/>
  <c r="P276" i="4"/>
  <c r="P285" i="4"/>
  <c r="P22" i="4"/>
  <c r="P169" i="4"/>
  <c r="P179" i="4"/>
  <c r="P190" i="4"/>
  <c r="P205" i="4"/>
  <c r="P215" i="4"/>
  <c r="P230" i="4"/>
  <c r="P242" i="4"/>
  <c r="P251" i="4"/>
  <c r="P263" i="4"/>
  <c r="P296" i="4"/>
  <c r="P167" i="4"/>
  <c r="P168" i="4"/>
  <c r="P164" i="4"/>
  <c r="P174" i="4"/>
  <c r="P183" i="4"/>
  <c r="P197" i="4"/>
  <c r="P209" i="4"/>
  <c r="P223" i="4"/>
  <c r="P234" i="4"/>
  <c r="P246" i="4"/>
  <c r="P255" i="4"/>
  <c r="P264" i="4"/>
  <c r="P84" i="4"/>
  <c r="P175" i="4"/>
  <c r="P185" i="4"/>
  <c r="P198" i="4"/>
  <c r="P210" i="4"/>
  <c r="P224" i="4"/>
  <c r="P235" i="4"/>
  <c r="P250" i="4"/>
  <c r="P259" i="4"/>
  <c r="P268" i="4"/>
  <c r="P279" i="4"/>
  <c r="P288" i="4"/>
  <c r="P162" i="4"/>
  <c r="P173" i="4"/>
  <c r="P182" i="4"/>
  <c r="P194" i="4"/>
  <c r="P208" i="4"/>
  <c r="P222" i="4"/>
  <c r="P233" i="4"/>
  <c r="P245" i="4"/>
  <c r="P254" i="4"/>
  <c r="P275" i="4"/>
  <c r="P305" i="4"/>
  <c r="P188" i="4"/>
  <c r="P201" i="4"/>
  <c r="P212" i="4"/>
  <c r="P226" i="4"/>
  <c r="P237" i="4"/>
  <c r="P249" i="4"/>
  <c r="P258" i="4"/>
  <c r="P267" i="4"/>
  <c r="P165" i="4"/>
  <c r="P178" i="4"/>
  <c r="P189" i="4"/>
  <c r="P204" i="4"/>
  <c r="P213" i="4"/>
  <c r="P229" i="4"/>
  <c r="P244" i="4"/>
  <c r="P253" i="4"/>
  <c r="P262" i="4"/>
  <c r="P273" i="4"/>
  <c r="P282" i="4"/>
  <c r="P161" i="4"/>
  <c r="P166" i="4"/>
  <c r="P176" i="4"/>
  <c r="P186" i="4"/>
  <c r="P200" i="4"/>
  <c r="P211" i="4"/>
  <c r="P225" i="4"/>
  <c r="P236" i="4"/>
  <c r="P248" i="4"/>
  <c r="P257" i="4"/>
  <c r="P284" i="4"/>
  <c r="P314" i="4"/>
  <c r="P323" i="4"/>
  <c r="P332" i="4"/>
  <c r="P345" i="4"/>
  <c r="P355" i="4"/>
  <c r="P366" i="4"/>
  <c r="P375" i="4"/>
  <c r="P384" i="4"/>
  <c r="P393" i="4"/>
  <c r="P406" i="4"/>
  <c r="P417" i="4"/>
  <c r="P429" i="4"/>
  <c r="P439" i="4"/>
  <c r="P448" i="4"/>
  <c r="P461" i="4"/>
  <c r="P470" i="4"/>
  <c r="P479" i="4"/>
  <c r="P11" i="4"/>
  <c r="P44" i="4"/>
  <c r="P71" i="4"/>
  <c r="P98" i="4"/>
  <c r="P125" i="4"/>
  <c r="P152" i="4"/>
  <c r="P353" i="4"/>
  <c r="P18" i="4"/>
  <c r="P48" i="4"/>
  <c r="P75" i="4"/>
  <c r="P105" i="4"/>
  <c r="P132" i="4"/>
  <c r="P192" i="4"/>
  <c r="P455" i="4"/>
  <c r="P25" i="4"/>
  <c r="P52" i="4"/>
  <c r="P79" i="4"/>
  <c r="P106" i="4"/>
  <c r="P133" i="4"/>
  <c r="P160" i="4"/>
  <c r="P220" i="4"/>
  <c r="P415" i="4"/>
  <c r="P300" i="4"/>
  <c r="P309" i="4"/>
  <c r="P318" i="4"/>
  <c r="P327" i="4"/>
  <c r="P338" i="4"/>
  <c r="P349" i="4"/>
  <c r="P360" i="4"/>
  <c r="P370" i="4"/>
  <c r="P379" i="4"/>
  <c r="P388" i="4"/>
  <c r="P398" i="4"/>
  <c r="P411" i="4"/>
  <c r="P422" i="4"/>
  <c r="P433" i="4"/>
  <c r="P443" i="4"/>
  <c r="P453" i="4"/>
  <c r="P465" i="4"/>
  <c r="P474" i="4"/>
  <c r="P483" i="4"/>
  <c r="P26" i="4"/>
  <c r="P56" i="4"/>
  <c r="P83" i="4"/>
  <c r="P110" i="4"/>
  <c r="P137" i="4"/>
  <c r="P218" i="4"/>
  <c r="P449" i="4"/>
  <c r="P33" i="4"/>
  <c r="P60" i="4"/>
  <c r="P90" i="4"/>
  <c r="P117" i="4"/>
  <c r="P147" i="4"/>
  <c r="P270" i="4"/>
  <c r="P7" i="4"/>
  <c r="P37" i="4"/>
  <c r="P64" i="4"/>
  <c r="P91" i="4"/>
  <c r="P118" i="4"/>
  <c r="P145" i="4"/>
  <c r="P196" i="4"/>
  <c r="P358" i="4"/>
  <c r="P274" i="4"/>
  <c r="P283" i="4"/>
  <c r="P295" i="4"/>
  <c r="P304" i="4"/>
  <c r="P313" i="4"/>
  <c r="P322" i="4"/>
  <c r="P331" i="4"/>
  <c r="P342" i="4"/>
  <c r="P354" i="4"/>
  <c r="P365" i="4"/>
  <c r="P374" i="4"/>
  <c r="P383" i="4"/>
  <c r="P392" i="4"/>
  <c r="P405" i="4"/>
  <c r="P416" i="4"/>
  <c r="P428" i="4"/>
  <c r="P438" i="4"/>
  <c r="P447" i="4"/>
  <c r="P460" i="4"/>
  <c r="P469" i="4"/>
  <c r="P478" i="4"/>
  <c r="P8" i="4"/>
  <c r="P38" i="4"/>
  <c r="P68" i="4"/>
  <c r="P95" i="4"/>
  <c r="P122" i="4"/>
  <c r="P149" i="4"/>
  <c r="P344" i="4"/>
  <c r="P15" i="4"/>
  <c r="P45" i="4"/>
  <c r="P72" i="4"/>
  <c r="P102" i="4"/>
  <c r="P129" i="4"/>
  <c r="P159" i="4"/>
  <c r="P425" i="4"/>
  <c r="P19" i="4"/>
  <c r="P49" i="4"/>
  <c r="P76" i="4"/>
  <c r="P103" i="4"/>
  <c r="P130" i="4"/>
  <c r="P157" i="4"/>
  <c r="P217" i="4"/>
  <c r="P409" i="4"/>
  <c r="P266" i="4"/>
  <c r="P278" i="4"/>
  <c r="P287" i="4"/>
  <c r="P299" i="4"/>
  <c r="P308" i="4"/>
  <c r="P317" i="4"/>
  <c r="P326" i="4"/>
  <c r="P337" i="4"/>
  <c r="P348" i="4"/>
  <c r="P359" i="4"/>
  <c r="P369" i="4"/>
  <c r="P378" i="4"/>
  <c r="P387" i="4"/>
  <c r="P397" i="4"/>
  <c r="P410" i="4"/>
  <c r="P421" i="4"/>
  <c r="P432" i="4"/>
  <c r="P442" i="4"/>
  <c r="P452" i="4"/>
  <c r="P464" i="4"/>
  <c r="P473" i="4"/>
  <c r="P482" i="4"/>
  <c r="P23" i="4"/>
  <c r="P53" i="4"/>
  <c r="P80" i="4"/>
  <c r="P107" i="4"/>
  <c r="P134" i="4"/>
  <c r="P203" i="4"/>
  <c r="P454" i="4"/>
  <c r="P30" i="4"/>
  <c r="P57" i="4"/>
  <c r="P87" i="4"/>
  <c r="P114" i="4"/>
  <c r="P144" i="4"/>
  <c r="P228" i="4"/>
  <c r="P4" i="4"/>
  <c r="P34" i="4"/>
  <c r="P61" i="4"/>
  <c r="P88" i="4"/>
  <c r="P115" i="4"/>
  <c r="P142" i="4"/>
  <c r="P187" i="4"/>
  <c r="P343" i="4"/>
  <c r="P293" i="4"/>
  <c r="P303" i="4"/>
  <c r="P312" i="4"/>
  <c r="P321" i="4"/>
  <c r="P330" i="4"/>
  <c r="P341" i="4"/>
  <c r="P352" i="4"/>
  <c r="P364" i="4"/>
  <c r="P373" i="4"/>
  <c r="P382" i="4"/>
  <c r="P391" i="4"/>
  <c r="P404" i="4"/>
  <c r="P414" i="4"/>
  <c r="P427" i="4"/>
  <c r="P437" i="4"/>
  <c r="P446" i="4"/>
  <c r="P459" i="4"/>
  <c r="P468" i="4"/>
  <c r="P477" i="4"/>
  <c r="P5" i="4"/>
  <c r="P35" i="4"/>
  <c r="P65" i="4"/>
  <c r="P92" i="4"/>
  <c r="P119" i="4"/>
  <c r="P146" i="4"/>
  <c r="P335" i="4"/>
  <c r="P12" i="4"/>
  <c r="P42" i="4"/>
  <c r="P69" i="4"/>
  <c r="P99" i="4"/>
  <c r="P126" i="4"/>
  <c r="P156" i="4"/>
  <c r="P399" i="4"/>
  <c r="P16" i="4"/>
  <c r="P46" i="4"/>
  <c r="P73" i="4"/>
  <c r="P100" i="4"/>
  <c r="P127" i="4"/>
  <c r="P154" i="4"/>
  <c r="P214" i="4"/>
  <c r="P403" i="4"/>
  <c r="P277" i="4"/>
  <c r="P286" i="4"/>
  <c r="P298" i="4"/>
  <c r="P307" i="4"/>
  <c r="P316" i="4"/>
  <c r="P325" i="4"/>
  <c r="P334" i="4"/>
  <c r="P347" i="4"/>
  <c r="P357" i="4"/>
  <c r="P368" i="4"/>
  <c r="P377" i="4"/>
  <c r="P386" i="4"/>
  <c r="P396" i="4"/>
  <c r="P408" i="4"/>
  <c r="P419" i="4"/>
  <c r="P431" i="4"/>
  <c r="P441" i="4"/>
  <c r="P451" i="4"/>
  <c r="P463" i="4"/>
  <c r="P472" i="4"/>
  <c r="P481" i="4"/>
  <c r="P20" i="4"/>
  <c r="P50" i="4"/>
  <c r="P77" i="4"/>
  <c r="P104" i="4"/>
  <c r="P131" i="4"/>
  <c r="P170" i="4"/>
  <c r="P436" i="4"/>
  <c r="P27" i="4"/>
  <c r="P54" i="4"/>
  <c r="P81" i="4"/>
  <c r="P111" i="4"/>
  <c r="P138" i="4"/>
  <c r="P219" i="4"/>
  <c r="P423" i="4"/>
  <c r="P31" i="4"/>
  <c r="P58" i="4"/>
  <c r="P85" i="4"/>
  <c r="P112" i="4"/>
  <c r="P139" i="4"/>
  <c r="P184" i="4"/>
  <c r="P292" i="4"/>
  <c r="P260" i="4"/>
  <c r="P269" i="4"/>
  <c r="P281" i="4"/>
  <c r="P291" i="4"/>
  <c r="P302" i="4"/>
  <c r="P311" i="4"/>
  <c r="P320" i="4"/>
  <c r="P329" i="4"/>
  <c r="P340" i="4"/>
  <c r="P351" i="4"/>
  <c r="P363" i="4"/>
  <c r="P372" i="4"/>
  <c r="P381" i="4"/>
  <c r="P390" i="4"/>
  <c r="P402" i="4"/>
  <c r="P413" i="4"/>
  <c r="P426" i="4"/>
  <c r="P435" i="4"/>
  <c r="P445" i="4"/>
  <c r="P458" i="4"/>
  <c r="P467" i="4"/>
  <c r="P476" i="4"/>
  <c r="P491" i="4"/>
  <c r="P32" i="4"/>
  <c r="P62" i="4"/>
  <c r="P89" i="4"/>
  <c r="P116" i="4"/>
  <c r="P143" i="4"/>
  <c r="P290" i="4"/>
  <c r="P9" i="4"/>
  <c r="P39" i="4"/>
  <c r="P66" i="4"/>
  <c r="P96" i="4"/>
  <c r="P123" i="4"/>
  <c r="P153" i="4"/>
  <c r="P336" i="4"/>
  <c r="P13" i="4"/>
  <c r="P43" i="4"/>
  <c r="P70" i="4"/>
  <c r="P97" i="4"/>
  <c r="P124" i="4"/>
  <c r="P151" i="4"/>
  <c r="P202" i="4"/>
  <c r="P400" i="4"/>
  <c r="P297" i="4"/>
  <c r="P306" i="4"/>
  <c r="P315" i="4"/>
  <c r="P324" i="4"/>
  <c r="P333" i="4"/>
  <c r="P346" i="4"/>
  <c r="P356" i="4"/>
  <c r="P367" i="4"/>
  <c r="P376" i="4"/>
  <c r="P385" i="4"/>
  <c r="P394" i="4"/>
  <c r="P407" i="4"/>
  <c r="P418" i="4"/>
  <c r="P430" i="4"/>
  <c r="P440" i="4"/>
  <c r="P450" i="4"/>
  <c r="P462" i="4"/>
  <c r="P471" i="4"/>
  <c r="P480" i="4"/>
  <c r="P17" i="4"/>
  <c r="P47" i="4"/>
  <c r="P74" i="4"/>
  <c r="P101" i="4"/>
  <c r="P128" i="4"/>
  <c r="P155" i="4"/>
  <c r="P395" i="4"/>
  <c r="P24" i="4"/>
  <c r="P51" i="4"/>
  <c r="P78" i="4"/>
  <c r="P108" i="4"/>
  <c r="P135" i="4"/>
  <c r="P195" i="4"/>
  <c r="P420" i="4"/>
  <c r="P28" i="4"/>
  <c r="P55" i="4"/>
  <c r="P82" i="4"/>
  <c r="P109" i="4"/>
  <c r="P136" i="4"/>
  <c r="P163" i="4"/>
  <c r="P271" i="4"/>
  <c r="P456" i="4"/>
  <c r="P280" i="4"/>
  <c r="P289" i="4"/>
  <c r="P301" i="4"/>
  <c r="P310" i="4"/>
  <c r="P319" i="4"/>
  <c r="P328" i="4"/>
  <c r="P339" i="4"/>
  <c r="P350" i="4"/>
  <c r="P362" i="4"/>
  <c r="P371" i="4"/>
  <c r="P380" i="4"/>
  <c r="P389" i="4"/>
  <c r="P401" i="4"/>
  <c r="P412" i="4"/>
  <c r="P424" i="4"/>
  <c r="P434" i="4"/>
  <c r="P444" i="4"/>
  <c r="P457" i="4"/>
  <c r="P466" i="4"/>
  <c r="P475" i="4"/>
  <c r="P484" i="4"/>
  <c r="P29" i="4"/>
  <c r="P59" i="4"/>
  <c r="P86" i="4"/>
  <c r="P113" i="4"/>
  <c r="P140" i="4"/>
  <c r="P227" i="4"/>
  <c r="P6" i="4"/>
  <c r="P36" i="4"/>
  <c r="P63" i="4"/>
  <c r="P93" i="4"/>
  <c r="P120" i="4"/>
  <c r="P150" i="4"/>
  <c r="P294" i="4"/>
  <c r="P10" i="4"/>
  <c r="P40" i="4"/>
  <c r="P67" i="4"/>
  <c r="P94" i="4"/>
  <c r="P121" i="4"/>
  <c r="P148" i="4"/>
  <c r="P199" i="4"/>
  <c r="P361" i="4"/>
  <c r="P41" i="4"/>
  <c r="P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<sst xmlns="http://schemas.openxmlformats.org/spreadsheetml/2006/main" count="6856" uniqueCount="1322">
  <si>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</si>
  <si>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</si>
  <si>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</si>
  <si>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</si>
  <si>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</si>
  <si>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</si>
  <si>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</si>
  <si>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</si>
  <si>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</si>
  <si>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</si>
  <si>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</si>
  <si>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</si>
  <si>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</si>
  <si>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</si>
  <si>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</si>
  <si>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</si>
  <si>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</si>
  <si>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</si>
  <si>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</si>
  <si>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</si>
  <si>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</si>
  <si>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</si>
  <si>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</si>
  <si>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</si>
  <si>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</si>
  <si>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</si>
  <si>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</si>
  <si>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</si>
  <si>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</si>
  <si>
    <t>Schapelle Corby - Local Popular Opinion on Guilt/Innocence. Had a friend that was a high up in the AFP (Australian Federal Police) and he helped liaise early on in her case.</t>
  </si>
  <si>
    <t>Schapelle Corby's sister Mercedes poses for men's magazine. Way to make a name for yourself off your sister's misfortune.</t>
  </si>
  <si>
    <t>Schapelle Corby and her bogan family. "AWW FARKIN' DOG SHE'S FARKIN' INNOCENT YA FARKIN' DUMB CUNTS"</t>
  </si>
  <si>
    <t>Should Schapelle Corby have had a normal life if she simply bribed the people accusing her?. With a boogie board case full of pot, there would have been a LOT of people immediately involved, so the situation would have been hard to contain.</t>
  </si>
  <si>
    <t>What's the story. Bodyboarding as a sport is really good at being self destructive. That's the story and this is the latest chapter of it.</t>
  </si>
  <si>
    <t>I despise this fucking woman. Folks legit want to engage with her in the comments, but she's so damn defensive and self-obsessed that she can't help but be a rotten bitch to them.</t>
  </si>
  <si>
    <t>Schapelle Corby couldn't prove she was innocent of drug trafficking, says former attorney-general. The article is spinning the quote. Corby didn't prove a reasonable doubt (I.e drugs were planted).</t>
  </si>
  <si>
    <t>Ok, I'll call it. Becs not real. She's a NIDA graduate method acting for the Schapelle Corby film. #mafs #mafsau #mafsaus</t>
  </si>
  <si>
    <t>2026-03-17T09:25:11+00:00</t>
  </si>
  <si>
    <t>@TimjboAU @szabosolicitors This whole thing is like Schapelle Corby all over again.</t>
  </si>
  <si>
    <t>2026-03-09T11:19:30+00:00</t>
  </si>
  <si>
    <t>@9NewsMelb @penelopeliersch Jesus Schapelle Corby would be shaking her head. 20yrs for a boogie board full of hooch.</t>
  </si>
  <si>
    <t>2026-03-09T09:02:54+00:00</t>
  </si>
  <si>
    <t>mr ukraine went and grabbed a schapelle corby the ginger waleeds gf from somas house impersonating to be married to walled the mother of the girl child off ruja ignstova</t>
  </si>
  <si>
    <t>2026-03-06T22:57:06+00:00</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</si>
  <si>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</si>
  <si>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2026-02-17T07:07:30+00:00</t>
  </si>
  <si>
    <t>@otakpelakuutama @Mrs_Dieee Inget dl Schapelle Corby aja mendadak pake kerudung pas sidang If this is not an insult to the religion, I don't know what is</t>
  </si>
  <si>
    <t>2026-02-15T17:13:44+00:00</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</si>
  <si>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</si>
  <si>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2026-02-08T13:17:28+00:00</t>
  </si>
  <si>
    <t>This is how Schapelle Corby got caught #imacelebrityau</t>
  </si>
  <si>
    <t>2026-01-26T08:42:18+00:00</t>
  </si>
  <si>
    <t>@BBROWNeez @Jahkneenah Scared you'll end up being the next Schapelle Corby bro? 😂😂😂</t>
  </si>
  <si>
    <t>2026-01-26T03:58:35+00:00</t>
  </si>
  <si>
    <t>@justthink1 Hopefully it doesn't belong to Schapelle Corby haha</t>
  </si>
  <si>
    <t>2026-01-19T09:47:01+00:00</t>
  </si>
  <si>
    <t>Schapelle Corby - Local Popular Opinion on Guilt/Innocence</t>
  </si>
  <si>
    <t>2022-01-25T04:26:06+00:00</t>
  </si>
  <si>
    <t>Schapelle Corby and her bogan family</t>
  </si>
  <si>
    <t>2024-06-14T14:24:49+00:00</t>
  </si>
  <si>
    <t>Should Schapelle Corby have had a normal life if she simply bribed the people accusing her?</t>
  </si>
  <si>
    <t>2023-07-25T15:45:55+00:00</t>
  </si>
  <si>
    <t>Poor Schapelle Corby</t>
  </si>
  <si>
    <t>2014-02-12T03:59:35+00:00</t>
  </si>
  <si>
    <t>Why did Schapelle Corby get more attention and sympathy than Cheng Lei</t>
  </si>
  <si>
    <t>2023-11-04T03:55:26+00:00</t>
  </si>
  <si>
    <t>Yet another QANTAS baggage story</t>
  </si>
  <si>
    <t>2024-01-02T05:17:27+00:00</t>
  </si>
  <si>
    <t>Episode request: Schapelle Corby</t>
  </si>
  <si>
    <t>2025-03-02T10:33:20+00:00</t>
  </si>
  <si>
    <t>Parole decision on Schapelle Corby to be m-...hang on. I couldn't give a fucking shit.</t>
  </si>
  <si>
    <t>2014-02-06T00:31:44+00:00</t>
  </si>
  <si>
    <t>Anyone else sick of the Schapelle Corby rubbishy on the news?</t>
  </si>
  <si>
    <t>2017-05-27T08:33:22+00:00</t>
  </si>
  <si>
    <t>What makes Schapelle Corby a worthy celebrity to be interested in?</t>
  </si>
  <si>
    <t>2021-02-27T04:22:25+00:00</t>
  </si>
  <si>
    <t>Indonesia To Allow Schapelle Corby To Go Home, As Long As It's On A Boat</t>
  </si>
  <si>
    <t>2014-02-06T03:42:34+00:00</t>
  </si>
  <si>
    <t>Aussie actress who played Schapelle Corby looks unrecognisable at the Australian Open with Pip Edwards</t>
  </si>
  <si>
    <t>2025-01-13T22:31:09+00:00</t>
  </si>
  <si>
    <t>Convicted drug smuggler Schapelle Corby shares 'sad' life update as she announces reluctant career change: 'Biggest regret'</t>
  </si>
  <si>
    <t>2024-12-06T12:32:53+00:00</t>
  </si>
  <si>
    <t>Schapelle Corby could be free by the weekend</t>
  </si>
  <si>
    <t>2014-02-05T02:32:09+00:00</t>
  </si>
  <si>
    <t>[AU] - Most Australians don't remember the Bali Nine. Indonesians won't forget Schapelle Corby | Sydney Morning Herald</t>
  </si>
  <si>
    <t>2024-11-24T18:31:00+00:00</t>
  </si>
  <si>
    <t>[AU] - Most Australians don't remember the Bali Nine. Indonesians won't forget Schapelle Corby</t>
  </si>
  <si>
    <t>2024-11-24T18:01:51+00:00</t>
  </si>
  <si>
    <t>That's awkward! Australian actress who once played Schapelle Corby shows off more than she intended at Marie Claire Awards</t>
  </si>
  <si>
    <t>2024-11-13T20:50:07+00:00</t>
  </si>
  <si>
    <t>[World] - Court told a relative of Schapelle Corby stung in massive 750kg-plus MDMA bust | NZ Herald</t>
  </si>
  <si>
    <t>2024-10-28T21:48:38+00:00</t>
  </si>
  <si>
    <t>[World] - Court told a relative of Schapelle Corby stung in massive 750kg-plus MDMA bust</t>
  </si>
  <si>
    <t>2024-10-28T21:45:24+00:00</t>
  </si>
  <si>
    <t>Mantan narapidana penyelundup ganja Schapelle Corby kini menjadi peserta Dancing with the Stars Australia. Why is she a 'star' in Australian TV? Seriously?</t>
  </si>
  <si>
    <t>2021-02-27T05:50:28+00:00</t>
  </si>
  <si>
    <t>Schapelle Corby enjoys beer in Amsterdam during European vacation</t>
  </si>
  <si>
    <t>2024-08-30T13:21:03+00:00</t>
  </si>
  <si>
    <t>Schapelle Corby flaunts toned legs in France after birthday bash in Paris - amid engagement speculation</t>
  </si>
  <si>
    <t>2024-08-09T13:29:01+00:00</t>
  </si>
  <si>
    <t>Schapelle Corby's Engagement Rumours in Paris</t>
  </si>
  <si>
    <t>2024-07-11T13:42:08+00:00</t>
  </si>
  <si>
    <t>Kyle Sandilands' Theory on Schapelle Corby's Boogie Board Bag</t>
  </si>
  <si>
    <t>2024-07-09T23:37:05+00:00</t>
  </si>
  <si>
    <t>Schapelle Corby's transformation: from convicted drug smuggler to stunning makeover</t>
  </si>
  <si>
    <t>2024-06-04T10:49:18+00:00</t>
  </si>
  <si>
    <t>Schapelle Corby will celebrate freedom 'with a joint', says former lawyer Kerry Smith-Douglas</t>
  </si>
  <si>
    <t>2014-02-05T22:03:12+00:00</t>
  </si>
  <si>
    <t>Another Channel 9 drama: Schapelle Corby</t>
  </si>
  <si>
    <t>2013-12-28T05:11:15+00:00</t>
  </si>
  <si>
    <t>Schapelle Corby, 46, stuns with youthful appearance while unveiling her adorable new collection of resin clocks: "Aren't they adorable?"</t>
  </si>
  <si>
    <t>2024-04-04T08:41:03+00:00</t>
  </si>
  <si>
    <t>Schapelle Corby's Handmade Clocks Soar in Popularity as She Launches New Timepiece Collection</t>
  </si>
  <si>
    <t>2024-01-04T06:09:14+00:00</t>
  </si>
  <si>
    <t>Schapelle Corby reveals shocking details about her time in Bali prison</t>
  </si>
  <si>
    <t>2023-12-08T01:27:41+00:00</t>
  </si>
  <si>
    <t>Schapelle Corby's Incredible Transformation: The Bali Jailbird's New Look</t>
  </si>
  <si>
    <t>2023-12-05T13:54:34+00:00</t>
  </si>
  <si>
    <t>Schapelle Corby signs on to Channel 7 reality television show SAS Australia after Bali prison release</t>
  </si>
  <si>
    <t>2020-08-15T23:53:55+00:00</t>
  </si>
  <si>
    <t>The Scale Of Australian Censorship Revealed by Schapelle Corby Case</t>
  </si>
  <si>
    <t>2013-10-20T21:57:50+00:00</t>
  </si>
  <si>
    <t>"Proceeds of crime or free speech?" Should Schapelle Corby be allowed to make money in this instance?</t>
  </si>
  <si>
    <t>2014-02-14T09:10:43+00:00</t>
  </si>
  <si>
    <t>Schapelle Corby couldn't prove she was innocent of drug trafficking, says former attorney-general</t>
  </si>
  <si>
    <t>2017-05-25T23:22:45+00:00</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</si>
  <si>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</si>
  <si>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2018-11-22T04:42:02+00:00</t>
  </si>
  <si>
    <t>Palm Trees by Schapelle Corby</t>
  </si>
  <si>
    <t>2022-07-27T05:04:20+00:00</t>
  </si>
  <si>
    <t>Schapelle Corby To Be Sent Back To Prison For New Pop Song</t>
  </si>
  <si>
    <t>2018-01-04T03:23:21+00:00</t>
  </si>
  <si>
    <t>Australian drug smuggler Schapelle Corby, whose trial and eventual sentencing to ten years in prison on Indonesia's tourist island of Bali, returned home on Sunday.</t>
  </si>
  <si>
    <t>2017-05-28T05:37:57+00:00</t>
  </si>
  <si>
    <t>Media Watch: The Schapelle Corby media circus (29/05/2017)</t>
  </si>
  <si>
    <t>2017-05-30T04:33:46+00:00</t>
  </si>
  <si>
    <t>Bali drug convict Schapelle Corby is Dancing With the Stars in Australia</t>
  </si>
  <si>
    <t>2021-04-08T03:45:45+00:00</t>
  </si>
  <si>
    <t>[Serious] [Discussion] Opinions on Schapelle Corby being released?</t>
  </si>
  <si>
    <t>2014-02-12T08:15:16+00:00</t>
  </si>
  <si>
    <t>Schapelle Corby releases a pop song on Instagram</t>
  </si>
  <si>
    <t>2018-01-01T23:33:46+00:00</t>
  </si>
  <si>
    <t>Is there a podcast on Schapelle Corby?</t>
  </si>
  <si>
    <t>2022-01-19T00:05:22+00:00</t>
  </si>
  <si>
    <t>Schapelle Corby prepares for deportation to Australia</t>
  </si>
  <si>
    <t>2017-04-11T11:01:42+00:00</t>
  </si>
  <si>
    <t>Schapelle Corby can't profit from drug conviction, lawyer says, as 'calculated' media strategy emerges</t>
  </si>
  <si>
    <t>2017-05-29T11:53:13+00:00</t>
  </si>
  <si>
    <t>Schapelle Corby has applied for the dole</t>
  </si>
  <si>
    <t>2017-09-03T01:34:26+00:00</t>
  </si>
  <si>
    <t>Fact file: Schapelle Corby unlikely to keep interview money</t>
  </si>
  <si>
    <t>2014-02-13T08:33:38+00:00</t>
  </si>
  <si>
    <t>Todd Carney pictured with Schapelle and Mercedes Corby in Bali</t>
  </si>
  <si>
    <t>2014-07-31T00:49:04+00:00</t>
  </si>
  <si>
    <t>If any of you cunts were greeting Schapelle Corby at the airport this weekend with a banner, what would your banner say?</t>
  </si>
  <si>
    <t>2017-05-26T07:12:45+00:00</t>
  </si>
  <si>
    <t>'Heavy hearted' Schapelle Corby offers advice for those in lockdown</t>
  </si>
  <si>
    <t>2021-08-17T10:36:28+00:00</t>
  </si>
  <si>
    <t>Schapelle Corby flaunts sideboob as she enjoys a Queensland getaway with her mother</t>
  </si>
  <si>
    <t>2021-08-01T09:36:43+00:00</t>
  </si>
  <si>
    <t>TIL: When Schapelle Corby was returning home to Australia from Indonesia after serving almost a decade for drug trafficking, about 40 journalists booked a flight, expecting Corby to be on it. But she took another airline, instead.</t>
  </si>
  <si>
    <t>2020-07-13T20:04:35+00:00</t>
  </si>
  <si>
    <t>Is she headed for Big Brother VIP? Schapelle Corby teases a 'new adventure' as she hops on a flight</t>
  </si>
  <si>
    <t>2021-07-30T09:37:19+00:00</t>
  </si>
  <si>
    <t>After 9 years in Indonesia prison on drug charges, Schapelle Corby was just released on parole</t>
  </si>
  <si>
    <t>2014-02-10T04:45:25+00:00</t>
  </si>
  <si>
    <t>Schapelle Corby and her rarely seen mother Rosleigh Rose enjoy a cruise on Sydney Harbour</t>
  </si>
  <si>
    <t>2021-04-15T11:39:51+00:00</t>
  </si>
  <si>
    <t>Matty J on what it's really like to work with Schapelle Corby</t>
  </si>
  <si>
    <t>2021-04-11T02:39:45+00:00</t>
  </si>
  <si>
    <t>Schapelle Corby insists 'I like myself' after viewers slammed Channel Seven for making her a star</t>
  </si>
  <si>
    <t>2021-04-09T12:40:03+00:00</t>
  </si>
  <si>
    <t>Viewers slam Channel Seven for making Schapelle Corby a star</t>
  </si>
  <si>
    <t>2021-04-07T03:39:31+00:00</t>
  </si>
  <si>
    <t>Schapelle Corby released from prison</t>
  </si>
  <si>
    <t>2014-02-10T00:18:43+00:00</t>
  </si>
  <si>
    <t>Schapelle Corby, 43, looks upbeat as she finishes DWTS rehearsals</t>
  </si>
  <si>
    <t>2021-03-15T10:39:47+00:00</t>
  </si>
  <si>
    <t>Schapelle Corby shares footage from her practice session ahead of Dancing With The Stars</t>
  </si>
  <si>
    <t>2021-03-09T11:39:41+00:00</t>
  </si>
  <si>
    <t>Dancing With The Stars: Schapelle Corby leaves Brisbane studio with dance partner Shae</t>
  </si>
  <si>
    <t>2021-03-06T07:39:40+00:00</t>
  </si>
  <si>
    <t>Schapelle Corby's heartache at being separated from boyfriend Ben Panangian</t>
  </si>
  <si>
    <t>2021-03-04T07:39:49+00:00</t>
  </si>
  <si>
    <t>Dancing with the Stars: Schapelle Corby leaves a studio with her partner</t>
  </si>
  <si>
    <t>2021-03-02T09:39:24+00:00</t>
  </si>
  <si>
    <t>Dancing With The Stars: Viewers erupt as convicted drug smuggler Schapelle Corby signs up</t>
  </si>
  <si>
    <t>2021-03-01T09:39:20+00:00</t>
  </si>
  <si>
    <t>Schapelle Corby begins rehearsals for the all-stars reboot of Dancing With The Stars</t>
  </si>
  <si>
    <t>2021-02-26T07:39:46+00:00</t>
  </si>
  <si>
    <t>Schapelle Corby made it harder to save Andrew Chan and Myuran Sukumaran</t>
  </si>
  <si>
    <t>2015-08-12T09:35:11+00:00</t>
  </si>
  <si>
    <t>Schapelle Corby 'will appear on Dancing with the Stars as a wildcard'</t>
  </si>
  <si>
    <t>2021-02-23T09:39:42+00:00</t>
  </si>
  <si>
    <t>The Expendable Project is a global collaboration documenting and exposing the wilful political sacrifice of Schapelle Corby. Forthcoming publications include The Expendable Dossiers, which will be submitted to appropriate international agencies.</t>
  </si>
  <si>
    <t>2012-03-02T19:37:52+00:00</t>
  </si>
  <si>
    <t>SAS Australia star Schapelle Corby's handmade resin wall clock business takes off</t>
  </si>
  <si>
    <t>2020-11-28T13:39:33+00:00</t>
  </si>
  <si>
    <t>As the Schapelle Corby circus moves on, 11 other Australians remain in Bali jails</t>
  </si>
  <si>
    <t>2014-02-11T02:40:44+00:00</t>
  </si>
  <si>
    <t>Schapelle Corby sent Firass Dirani a text message saying 'he wasn't to blame' for her SAS exit</t>
  </si>
  <si>
    <t>2020-11-04T06:39:40+00:00</t>
  </si>
  <si>
    <t>Schapelle Corby reveals her fans are dressing up as her for Halloween</t>
  </si>
  <si>
    <t>2020-10-31T17:39:50+00:00</t>
  </si>
  <si>
    <t>Schapelle Corby flaunts her chipped nail polish and battered cuticles</t>
  </si>
  <si>
    <t>2020-10-29T15:39:49+00:00</t>
  </si>
  <si>
    <t>Schapelle Corby is rumoured to be the highest paid celebrity to appear on SAS Australia</t>
  </si>
  <si>
    <t>2020-10-28T14:39:25+00:00</t>
  </si>
  <si>
    <t>Schapelle Corby squirts her nostrils with a nasal douche in bizarre video</t>
  </si>
  <si>
    <t>2020-10-22T13:39:26+00:00</t>
  </si>
  <si>
    <t>Schapelle Corby 'could have broken the law if she was paid for SAS Australia'</t>
  </si>
  <si>
    <t>2020-10-21T04:39:48+00:00</t>
  </si>
  <si>
    <t>Schapelle Corby says Lindsay Lohan would play her in the biopic on her life</t>
  </si>
  <si>
    <t>2020-10-20T18:39:46+00:00</t>
  </si>
  <si>
    <t>Schapelle Corby bawls her eyes out as she quits SAS Australia</t>
  </si>
  <si>
    <t>2020-10-20T12:39:43+00:00</t>
  </si>
  <si>
    <t>SAS Australia: Roxy Jacenko defends convicted drug smuggler Schapelle Corby</t>
  </si>
  <si>
    <t>2020-10-20T04:39:29+00:00</t>
  </si>
  <si>
    <t>Schapelle Corby cuddles her mother Rosleigh Rose ahead of SAS Australia debut</t>
  </si>
  <si>
    <t>2020-10-20T01:39:58+00:00</t>
  </si>
  <si>
    <t>Schapelle Corby cracks under pressure while abseiling down mountain in new trailer for SAS Australia</t>
  </si>
  <si>
    <t>2020-10-20T01:39:59+00:00</t>
  </si>
  <si>
    <t>Schapelle Corby talks candidly about being imprisoned in Bali on SAS Australia</t>
  </si>
  <si>
    <t>2020-10-19T13:39:28+00:00</t>
  </si>
  <si>
    <t>Schapelle Corby reveals how she and Indonesian boyfriend Ben Panangian make their relationship work</t>
  </si>
  <si>
    <t>2020-10-19T09:39:25+00:00</t>
  </si>
  <si>
    <t>Schapelle Corby looks almost unrecognisable as she unveils glamorous reality star transformation</t>
  </si>
  <si>
    <t>2020-10-19T07:39:17+00:00</t>
  </si>
  <si>
    <t>Schapelle Corby reveals terrifying psychosis she suffered in prison caused her to turn vegetarian</t>
  </si>
  <si>
    <t>2020-10-18T18:39:35+00:00</t>
  </si>
  <si>
    <t>Schapelle Corby admits she was drinking 'two cartons of beer a week'</t>
  </si>
  <si>
    <t>2020-10-15T08:39:33+00:00</t>
  </si>
  <si>
    <t>Schapelle Corby confirms that she's still dating Ben Panangian</t>
  </si>
  <si>
    <t>2020-10-15T02:39:54+00:00</t>
  </si>
  <si>
    <t>SAS Australia: Convicted drug smuggler Schapelle Corby reveals her trauma</t>
  </si>
  <si>
    <t>Cassandra Sainsbury risks same 60 Minutes fate as Schapelle Corby</t>
  </si>
  <si>
    <t>2017-05-22T00:32:32+00:00</t>
  </si>
  <si>
    <t>Schapelle Corby reveals moment she realised SAS Australia was real</t>
  </si>
  <si>
    <t>2020-10-12T04:39:42+00:00</t>
  </si>
  <si>
    <t>Schapelle Corby warns haters to not post negativity on her Instagram</t>
  </si>
  <si>
    <t>2020-10-11T13:39:48+00:00</t>
  </si>
  <si>
    <t>Schapelle Corby reduced to tears in SAS Australia trailer as she's interrogated about drug smuggling</t>
  </si>
  <si>
    <t>2020-10-05T04:39:31+00:00</t>
  </si>
  <si>
    <t>Schapelle Corby glows on the cover of Stellar magazine ahead of TV debut</t>
  </si>
  <si>
    <t>2020-10-02T03:39:34+00:00</t>
  </si>
  <si>
    <t>Drug smuggler Schapelle Corby seen in hotel quarantine after leaving SAS reality show early</t>
  </si>
  <si>
    <t>2020-08-30T06:39:28+00:00</t>
  </si>
  <si>
    <t>Schapelle Corby breaks down in tears in SAS Australia trailer</t>
  </si>
  <si>
    <t>2020-09-06T13:39:22+00:00</t>
  </si>
  <si>
    <t>Convicted drug smuggler Schapelle Corby 'set to receive $150,000 for military show SAS Australia'</t>
  </si>
  <si>
    <t>2020-08-24T15:39:35+00:00</t>
  </si>
  <si>
    <t>Schapelle Corby on why she joined SAS Australia</t>
  </si>
  <si>
    <t>2020-08-16T18:39:24+00:00</t>
  </si>
  <si>
    <t>Viewers threaten boycott of Seven show as Schapelle Corby joins the cast</t>
  </si>
  <si>
    <t>2020-08-16T09:39:05+00:00</t>
  </si>
  <si>
    <t>Schapelle Corby will star on Channel Seven's military-style reality show SAS Australia</t>
  </si>
  <si>
    <t>2020-08-16T09:39:04+00:00</t>
  </si>
  <si>
    <t>Schapelle Corby will star on Channel Seven's military-style reality show SAS: Who Dares Wins</t>
  </si>
  <si>
    <t>2020-08-16T04:39:35+00:00</t>
  </si>
  <si>
    <t>TIL that there is a group of people who aggressively promote that Schapelle Corby is innocent. They are know as "Schapelle Truthers"</t>
  </si>
  <si>
    <t>2014-02-10T08:55:04+00:00</t>
  </si>
  <si>
    <t>Schapelle Corby and Cassie Sainsbury: it's not about drugs, it's about misogyny - Van Badham | Australia's 2nd-worst feminist blames men for media coverage of two female drug smugglers</t>
  </si>
  <si>
    <t>2017-05-30T09:56:38+00:00</t>
  </si>
  <si>
    <t>Poor Schapelle Corby (xpost /r/Australia)</t>
  </si>
  <si>
    <t>2014-02-12T04:00:23+00:00</t>
  </si>
  <si>
    <t>Channel 7 being raided by AFP right now. Reports paid $2mil to Corby for interview</t>
  </si>
  <si>
    <t>2014-02-17T23:44:44+00:00</t>
  </si>
  <si>
    <t>Australia's least trusted person: Schapelle Corby Most: Charlie Teo</t>
  </si>
  <si>
    <t>2014-06-17T03:08:35+00:00</t>
  </si>
  <si>
    <t>Convicted drug smuggler Schapelle Corby reveals her bizarre new career - Why be nice when you can be a complete CUNT eh Candice Jackson for Daily Mail Online Hate</t>
  </si>
  <si>
    <t>2020-07-02T13:29:36+00:00</t>
  </si>
  <si>
    <t>Convicted drug smuggler Schapelle Corby reveals new bizarre career path – and business is booming</t>
  </si>
  <si>
    <t>2020-07-02T02:56:35+00:00</t>
  </si>
  <si>
    <t>Backlash over photo with Schapelle Corby angers Todd Carney</t>
  </si>
  <si>
    <t>2014-08-09T15:53:29+00:00</t>
  </si>
  <si>
    <t>Freedom near after years in hell but Schapelle Corby is too scared to hope - Indonesia's Justice and Human Rights Ministry recommended her jail sentence be slashed by 10 years - meaning she could be back in Australia within weeks</t>
  </si>
  <si>
    <t>2012-04-04T13:41:51+00:00</t>
  </si>
  <si>
    <t>Thought that this was an interesting article which outlines how (if at all) Schapelle Corby could be hit by any sort of Proceeds of Crime legislation.</t>
  </si>
  <si>
    <t>2014-02-10T00:44:44+00:00</t>
  </si>
  <si>
    <t>Komodoes in Australia, how does the media report on Schapelle Corby, drug convict who is going to return to Oz soon?</t>
  </si>
  <si>
    <t>2017-05-21T07:28:59+00:00</t>
  </si>
  <si>
    <t>[World] - Schapelle Corby hits back at online trolls for harassing her | NZ Herald</t>
  </si>
  <si>
    <t>2020-01-11T21:04:26+00:00</t>
  </si>
  <si>
    <t>[World] - Schapelle Corby hits back at online trolls for harassing her</t>
  </si>
  <si>
    <t>2020-01-11T20:56:09+00:00</t>
  </si>
  <si>
    <t>Schapelle Corby stuns with debut acting role in rap music video</t>
  </si>
  <si>
    <t>2019-12-24T00:58:18+00:00</t>
  </si>
  <si>
    <t>Schapelle Corby's accessories for Mercedes's Ralph shoot</t>
  </si>
  <si>
    <t>2008-12-27T02:38:37+00:00</t>
  </si>
  <si>
    <t>The Expendable Project - Schapelle Corby is innocent - watch the documentary that reveals the truth.</t>
  </si>
  <si>
    <t>2014-02-07T11:55:15+00:00</t>
  </si>
  <si>
    <t>Schapelle Corby Offers Tara Brown Advice About Breaking The Law Overseas</t>
  </si>
  <si>
    <t>2016-04-13T09:43:08+00:00</t>
  </si>
  <si>
    <t>Health Guru, Schapelle Corby; An ICON.</t>
  </si>
  <si>
    <t>2018-02-12T12:30:45+00:00</t>
  </si>
  <si>
    <t>Schapelle Corby's airport entry was part of a secret government operation, but Corby slams Channel 9 for reporting about it</t>
  </si>
  <si>
    <t>2018-07-28T05:04:22+00:00</t>
  </si>
  <si>
    <t>[World] - From the Archives, 2005: Schapelle Corby sentenced to 20 years in jail | Sydney Morning Herald</t>
  </si>
  <si>
    <t>2019-05-24T03:57:10+00:00</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</si>
  <si>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</si>
  <si>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Had a friend that was a high up in the AFP (Australian Federal Police) and he helped liaise early on in her case. His opinion was that she was 100% guilty.</t>
  </si>
  <si>
    <t>2022-01-25T04:28:52+00:00</t>
  </si>
  <si>
    <t>The real guilty ones were the AFP who knew about the crime but didn't stop her leaving Australia but instead tipped off Indonesia.</t>
  </si>
  <si>
    <t>2022-01-25T06:02:48+00:00</t>
  </si>
  <si>
    <t>Source? The AFP seems to be reporting the only part they played was doing a criminal history check after she was arrested.</t>
  </si>
  <si>
    <t>2022-01-25T06:14:36+00:00</t>
  </si>
  <si>
    <t>Yes. That's true too. Why didn't they?</t>
  </si>
  <si>
    <t>2022-01-25T06:24:58+00:00</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</si>
  <si>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</si>
  <si>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2022-01-25T06:41:00+00:00</t>
  </si>
  <si>
    <t>What annoys me is that the Seven Network sees her as a "Star". They had her on Dancing with the Stars, as well as other programs. Way to reward a drug smuggler.</t>
  </si>
  <si>
    <t>2022-01-25T05:17:48+00:00</t>
  </si>
  <si>
    <t>When you have the morality of Kerry Stokes there's no bar too low</t>
  </si>
  <si>
    <t>2022-01-26T00:57:11+00:00</t>
  </si>
  <si>
    <t>Guilty She was lucky she wasn't executed.</t>
  </si>
  <si>
    <t>2022-01-25T04:53:54+00:00</t>
  </si>
  <si>
    <t>If it was a guy sporting a mullet and wearing a flanno that got into the same position as Scappelle all those years ago, no one would have cared. Funny how this story seemed to get so much attention, and is still being talked about.</t>
  </si>
  <si>
    <t>2022-01-25T04:30:40+00:00</t>
  </si>
  <si>
    <t>Guilty. The only reason she got so much coverage is because she was a slightly good looking woman.</t>
  </si>
  <si>
    <t>2022-01-25T04:45:23+00:00</t>
  </si>
  <si>
    <t>Slightly is pushing it lol</t>
  </si>
  <si>
    <t>2022-01-25T06:02:27+00:00</t>
  </si>
  <si>
    <t>She's white, blue eyed and had big tits. Ticks all the boxes for Australian media.</t>
  </si>
  <si>
    <t>2022-01-25T06:32:46+00:00</t>
  </si>
  <si>
    <t>Bang on.</t>
  </si>
  <si>
    <t>2022-01-25T06:56:52+00:00</t>
  </si>
  <si>
    <t>Bogan hot.</t>
  </si>
  <si>
    <t>2022-01-25T07:54:45+00:00</t>
  </si>
  <si>
    <t>The forbidden fruit</t>
  </si>
  <si>
    <t>2022-01-25T20:02:17+00:00</t>
  </si>
  <si>
    <t>Especially when she was caught. Very "media friendly". Not so much these days</t>
  </si>
  <si>
    <t>2022-01-25T07:16:30+00:00</t>
  </si>
  <si>
    <t>Looks like her mother these days</t>
  </si>
  <si>
    <t>2022-01-25T08:30:05+00:00</t>
  </si>
  <si>
    <t>The simplest explanation is usually the correct one, she did it</t>
  </si>
  <si>
    <t>2022-01-25T04:35:40+00:00</t>
  </si>
  <si>
    <t>Yeah but think of the industry she created of shrink wrapping your luggage incase smugglers hid shit in it! What a legend!</t>
  </si>
  <si>
    <t>2022-01-25T05:47:17+00:00</t>
  </si>
  <si>
    <t>Why would you even think she was innocent honestly?</t>
  </si>
  <si>
    <t>2022-01-25T04:46:39+00:00</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</si>
  <si>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</si>
  <si>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2022-01-25T04:52:18+00:00</t>
  </si>
  <si>
    <t>Indonesian authorities can be sketchy as fuck, but she 100% did it. Probably multiple times beforehand, it's just this time they caught her.</t>
  </si>
  <si>
    <t>2022-01-25T05:16:09+00:00</t>
  </si>
  <si>
    <t>She made a big scene at the airport rather than just paying the bribe, rookie mistake.</t>
  </si>
  <si>
    <t>2022-01-25T06:04:24+00:00</t>
  </si>
  <si>
    <t>Because baggage handlers were found to be transporting drugs interstate through other peopkes luggage around the same time</t>
  </si>
  <si>
    <t>2022-01-25T20:30:21+00:00</t>
  </si>
  <si>
    <t>Why is she still a thing... hell, why is she anything?</t>
  </si>
  <si>
    <t>2022-01-25T04:55:22+00:00</t>
  </si>
  <si>
    <t>I think most Australians just couldn't give a fuck anymore.</t>
  </si>
  <si>
    <t>2022-01-25T04:33:06+00:00</t>
  </si>
  <si>
    <t>I never gave a fuck while it was going on, either.</t>
  </si>
  <si>
    <t>2022-01-25T06:41:15+00:00</t>
  </si>
  <si>
    <t>Good for youuuuu</t>
  </si>
  <si>
    <t>2022-01-25T13:54:36+00:00</t>
  </si>
  <si>
    <t>I don't think about Schapelle Corby.</t>
  </si>
  <si>
    <t>2022-01-25T05:00:04+00:00</t>
  </si>
  <si>
    <t>Our mainstream media networks putting a convicted drug smuggler on multiple reality television shows should also tell you how morally bereft they are</t>
  </si>
  <si>
    <t>2022-01-25T06:18:19+00:00</t>
  </si>
  <si>
    <t>Based on absolutely zero knowledge, I think she did it. I think her family were into it and she's the one that got busted. I do not think lindy chamberlain killed azaria. I'm still undecided on whether Joanne lees was involved in the disappearance of Peter Falconio.</t>
  </si>
  <si>
    <t>2022-01-25T04:48:50+00:00</t>
  </si>
  <si>
    <t>Pretty sure it's now accepted that Lindy didn't do it</t>
  </si>
  <si>
    <t>2022-01-25T05:01:27+00:00</t>
  </si>
  <si>
    <t>That was accepted in 1987 when they got an official pardon. They then got compensation for jail time in the early 90s. The only people who didnt accept it was the bogan mums reading trash mags who loved a drama.</t>
  </si>
  <si>
    <t>2022-01-25T06:03:32+00:00</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</si>
  <si>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</si>
  <si>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2022-01-26T03:42:30+00:00</t>
  </si>
  <si>
    <t>Never heard of any of those people - we are worlds apart 😀</t>
  </si>
  <si>
    <t>2022-01-25T04:56:26+00:00</t>
  </si>
  <si>
    <t>A Dingo stole her baby</t>
  </si>
  <si>
    <t>2022-01-25T05:24:23+00:00</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</si>
  <si>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</si>
  <si>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</si>
  <si>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2022-01-25T05:01:55+00:00</t>
  </si>
  <si>
    <t>You are right - it's not.</t>
  </si>
  <si>
    <t>2022-01-25T05:12:15+00:00</t>
  </si>
  <si>
    <t>If you watch US crime shows they call all drugs narcotics, even cocaine</t>
  </si>
  <si>
    <t>2022-01-27T04:04:43+00:00</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</si>
  <si>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</si>
  <si>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</si>
  <si>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2022-01-25T07:57:59+00:00</t>
  </si>
  <si>
    <t>Bitch is dumb and got what she deserved.</t>
  </si>
  <si>
    <t>2022-01-25T04:32:58+00:00</t>
  </si>
  <si>
    <t>Why would anyone smuggle weed worth more in Australia into Indo? No ones smuggling coke into Columbia.</t>
  </si>
  <si>
    <t>2022-01-25T09:08:40+00:00</t>
  </si>
  <si>
    <t>People pay good money for (Australian) hydro. Apparently the local shit is pretty shit outdoor.</t>
  </si>
  <si>
    <t>2022-01-25T10:06:17+00:00</t>
  </si>
  <si>
    <t>Baggage handlers, there was a massive ring uncovered at the time that got suppressed. Her family was dodgy but pretty sure it was a fuck up/coincidence</t>
  </si>
  <si>
    <t>2022-01-25T20:29:15+00:00</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</si>
  <si>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</si>
  <si>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2022-01-25T04:35:13+00:00</t>
  </si>
  <si>
    <t>Best answer. Short and sweet. Thanks</t>
  </si>
  <si>
    <t>2022-01-25T04:54:47+00:00</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</si>
  <si>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</si>
  <si>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2022-01-25T06:02:41+00:00</t>
  </si>
  <si>
    <t>Yeah she's guilty.. her family was known to import/export drugs. Her father was/is a drug dealer and apparently multiple members of the family were/are in a drug ring. She's also a prime example of making a stupid person famous.</t>
  </si>
  <si>
    <t>2022-01-25T09:41:34+00:00</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</si>
  <si>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</si>
  <si>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2022-01-25T04:26:09+00:00</t>
  </si>
  <si>
    <t>I think she was guilty, but I feel a bit sorry for her nonetheless. She was a naive idiot who didn't grasp the seriousness of her actions in that jurisdiction.</t>
  </si>
  <si>
    <t>2022-01-25T04:35:49+00:00</t>
  </si>
  <si>
    <t>Had to Google "bogan." Cheers!</t>
  </si>
  <si>
    <t>2022-01-25T04:59:18+00:00</t>
  </si>
  <si>
    <t>Got it. Ignorant bogans should be able to go to other countries and do whatever the fuck they want, those laws don't apply, STRAYA!</t>
  </si>
  <si>
    <t>2022-01-25T05:23:27+00:00</t>
  </si>
  <si>
    <t>Lol, not what I said mate. I said she was guilty and a naive idiot. She ruined her life in a completely avoidable way. I feel sorry for her because any life ruined is a terrible waste.</t>
  </si>
  <si>
    <t>2022-01-25T07:47:36+00:00</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</si>
  <si>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</si>
  <si>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2022-01-25T08:38:57+00:00</t>
  </si>
  <si>
    <t>Clearly guilty.</t>
  </si>
  <si>
    <t>2022-01-25T21:21:50+00:00</t>
  </si>
  <si>
    <t>Did she do it? Of course! They were advertising it for ages, so I can only presume she made an appearance on Dancing with the Stars.</t>
  </si>
  <si>
    <t>2024-06-14T14:59:02+00:00</t>
  </si>
  <si>
    <t>"Dancing with the low grade Australian Criminals" - Ben Cousins is on this year.</t>
  </si>
  <si>
    <t>2024-06-14T23:38:03+00:00</t>
  </si>
  <si>
    <t>But seriously, WTF is with Australia (or rather, Australian MSM) giving these people anything beyond their initial 15 minutes? How can Schapelle and Cocaine Cassie be on something like SAS Australia as "media personalities"? They're criminals, don't give them exposure!</t>
  </si>
  <si>
    <t>2024-06-15T00:42:17+00:00</t>
  </si>
  <si>
    <t>lol Australia love glorifying our criminals 😂🤣</t>
  </si>
  <si>
    <t>2024-06-15T01:25:52+00:00</t>
  </si>
  <si>
    <t>It's in white Australia's roots! What's a colony of convicts gonna do -- not idolise the Kelly Gang?? 😅</t>
  </si>
  <si>
    <t>2024-06-15T01:54:08+00:00</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</si>
  <si>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</si>
  <si>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2024-06-15T08:24:08+00:00</t>
  </si>
  <si>
    <t>I was joking, and agree: the only crime most of the convicts committed was being poor. Although one of my ancestors was transported for stealing a silk scarf lol 🧐🎩</t>
  </si>
  <si>
    <t>2024-06-15T22:10:51+00:00</t>
  </si>
  <si>
    <t>Your ancestor had refined tastes</t>
  </si>
  <si>
    <t>2024-06-17T05:11:12+00:00</t>
  </si>
  <si>
    <t>Ohh, how the fancy have fallen 😩</t>
  </si>
  <si>
    <t>2024-06-17T08:41:49+00:00</t>
  </si>
  <si>
    <t>Okay Captain Fun</t>
  </si>
  <si>
    <t>2024-06-18T10:19:28+00:00</t>
  </si>
  <si>
    <t>Hahahah omg that's so true!</t>
  </si>
  <si>
    <t>2024-06-15T02:13:32+00:00</t>
  </si>
  <si>
    <t>Considering SAS Australia has now been axed, hopefully they got the message that no-one is interested in watching bogan thugs get a manufactured redemption arc. But probably not... sigh</t>
  </si>
  <si>
    <t>2024-06-15T01:09:13+00:00</t>
  </si>
  <si>
    <t>I mean Spanian is one of the biggest celebrities in the country atm. Something about criminals resonates with Australians, I guess that's what happens when you develop a country on a prison colony.</t>
  </si>
  <si>
    <t>2024-06-15T01:28:25+00:00</t>
  </si>
  <si>
    <t>Biggest celebrities? 💀😂😂😂 not even close</t>
  </si>
  <si>
    <t>2024-06-16T05:16:43+00:00</t>
  </si>
  <si>
    <t>It resonates because people want to understand the criminal mind - and avoid being a target. The same reason women listen to murder podcasts.</t>
  </si>
  <si>
    <t>2024-06-16T07:19:04+00:00</t>
  </si>
  <si>
    <t>To be fair, Spanian got a fair bit of flack in the early days. He's a YouTuber now and sending some positive vibes. Still does "visiting the hood" videos but not in the same capacity as how to throw rocks and rob people</t>
  </si>
  <si>
    <t>2024-06-15T03:55:01+00:00</t>
  </si>
  <si>
    <t>He's a homophobic flog.</t>
  </si>
  <si>
    <t>2024-06-15T06:26:19+00:00</t>
  </si>
  <si>
    <t>Who is this? I've heard their name a few times as though they're someone everyone knows, but I still have no idea.</t>
  </si>
  <si>
    <t>2024-06-15T04:17:57+00:00</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</si>
  <si>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</si>
  <si>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</si>
  <si>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2024-09-03T12:32:23+00:00</t>
  </si>
  <si>
    <t>My sister and I were talking about her the other day and we came to the conclusion yes, because you even owns a boogieboard bag?</t>
  </si>
  <si>
    <t>2024-06-17T01:46:52+00:00</t>
  </si>
  <si>
    <t>Does she ever go to Coles "Unexpected Item in bagging area" and get flashbacks?</t>
  </si>
  <si>
    <t>2024-06-14T15:34:29+00:00</t>
  </si>
  <si>
    <t>Or the Woolworths camera that predicts which product you're scanning. 'Green vegetable, unidentified. Please wait for assistance.'</t>
  </si>
  <si>
    <t>2024-06-14T23:54:07+00:00</t>
  </si>
  <si>
    <t>Oh shit. Not this again.</t>
  </si>
  <si>
    <t>2024-06-14T17:07:36+00:00</t>
  </si>
  <si>
    <t>ROFL</t>
  </si>
  <si>
    <t>2024-06-15T02:30:45+00:00</t>
  </si>
  <si>
    <t xml:space="preserve">Bruh </t>
  </si>
  <si>
    <t>2024-06-15T01:26:34+00:00</t>
  </si>
  <si>
    <t>The classy Mercedes and her stunning mother</t>
  </si>
  <si>
    <t>2024-06-14T15:47:24+00:00</t>
  </si>
  <si>
    <t>Oh man I told my international friend about how her bogan sister was called Mercedes and it was an awful name and he said 'my mother is called Mercedes' 😫</t>
  </si>
  <si>
    <t>2024-06-14T20:41:27+00:00</t>
  </si>
  <si>
    <t>Throwback to the Wil Anderson joke about Mercedes Corby. "At least name her after a car you can afford. Come here, Toraaaaaaana."</t>
  </si>
  <si>
    <t>2024-06-14T22:17:27+00:00</t>
  </si>
  <si>
    <t>That was the first thing I thought of when I saw this. Hahaha</t>
  </si>
  <si>
    <t>2024-06-15T00:40:57+00:00</t>
  </si>
  <si>
    <t>I have to say I know its bogan AF but Torana isn't the worst girls name and I'd actually rate it above Mercedes.</t>
  </si>
  <si>
    <t>2024-06-14T23:30:45+00:00</t>
  </si>
  <si>
    <t>no one can afford a Torana anymore though</t>
  </si>
  <si>
    <t>2024-06-15T05:42:10+00:00</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</si>
  <si>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</si>
  <si>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2024-06-14T23:45:19+00:00</t>
  </si>
  <si>
    <t>Jeez you must be a hoot at parties…</t>
  </si>
  <si>
    <t>2024-06-15T00:19:04+00:00</t>
  </si>
  <si>
    <t>Lol I'd sooner wager people that say shit like "you must be fun at parties" mustn't be fun at parties. Hooty hoot!</t>
  </si>
  <si>
    <t>2024-06-15T08:42:21+00:00</t>
  </si>
  <si>
    <t>Mercedes is a popular girls name in Germany. Also, you have no idea what you're talking about concerning the car either. I only wish they depreciated as I might be able to afford one.</t>
  </si>
  <si>
    <t>2024-06-15T04:14:11+00:00</t>
  </si>
  <si>
    <t>To be fair, Mercedes was a name before it was a car. The guy who named the Mercedes cars named them after his daughter.</t>
  </si>
  <si>
    <t>2024-06-14T22:34:48+00:00</t>
  </si>
  <si>
    <t>Oh I know! And she drove that Mercedes all the way to western Sydney, which she colonized with a whole new line of Mercedeses</t>
  </si>
  <si>
    <t>2024-06-14T22:43:47+00:00</t>
  </si>
  <si>
    <t>How did she pronounce her 'e's? Eberneezer Good?</t>
  </si>
  <si>
    <t>2024-06-14T21:30:57+00:00</t>
  </si>
  <si>
    <t>Mersaydeeez</t>
  </si>
  <si>
    <t>2024-06-14T22:04:12+00:00</t>
  </si>
  <si>
    <t>Nutz</t>
  </si>
  <si>
    <t>2024-06-15T02:00:39+00:00</t>
  </si>
  <si>
    <t>Well I do know a Mercedes, but they are fair-dinkum Italian, and it's pronounced Merchaydz</t>
  </si>
  <si>
    <t>2024-06-14T22:33:05+00:00</t>
  </si>
  <si>
    <t>haha I made a joke to someone I knew about people who drive range rovers. Guess what he drove lol</t>
  </si>
  <si>
    <t>2024-06-15T02:43:19+00:00</t>
  </si>
  <si>
    <t>I had a friend who genuinely asked "what kind of car is a schapelle?" once.</t>
  </si>
  <si>
    <t>2024-06-14T22:42:07+00:00</t>
  </si>
  <si>
    <t>They probably tried saying Chevelle, but the bogan accent came out as Shapelle instead.....</t>
  </si>
  <si>
    <t>2024-06-15T01:00:14+00:00</t>
  </si>
  <si>
    <t>Heh heh</t>
  </si>
  <si>
    <t>2024-06-14T22:59:01+00:00</t>
  </si>
  <si>
    <t xml:space="preserve">Here Here! </t>
  </si>
  <si>
    <t>2024-06-14T15:52:16+00:00</t>
  </si>
  <si>
    <t>Guilty as charged.</t>
  </si>
  <si>
    <t>2024-06-14T19:43:45+00:00</t>
  </si>
  <si>
    <t>Was there ever any doubt</t>
  </si>
  <si>
    <t>2024-06-17T08:39:41+00:00</t>
  </si>
  <si>
    <t>Media at the time aire gave it a read hot go of oh we don't know for sure poor shapelle etc</t>
  </si>
  <si>
    <t>2024-06-18T01:34:42+00:00</t>
  </si>
  <si>
    <t>her brother was guilty, she wasn't. He said in interviews recently he wishes he had stood up and claimed it as his - and in interviews at the time he was a fumbling nervous wreck.</t>
  </si>
  <si>
    <t>2024-09-03T12:36:28+00:00</t>
  </si>
  <si>
    <t>I could do with never seeing or hearing about her ever again.</t>
  </si>
  <si>
    <t>2024-06-14T23:37:05+00:00</t>
  </si>
  <si>
    <t>My late sister knew her family and can confirm … bogan as they come lol</t>
  </si>
  <si>
    <t>2024-06-14T23:54:10+00:00</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</si>
  <si>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</si>
  <si>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2024-06-14T19:10:57+00:00</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</si>
  <si>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</si>
  <si>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2024-09-03T12:45:27+00:00</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</si>
  <si>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</si>
  <si>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2024-09-03T21:32:28+00:00</t>
  </si>
  <si>
    <t>Not sure what Corby wanting to get married has got to do with this. The laws of the foreign state apply, not ours.</t>
  </si>
  <si>
    <t>2024-09-29T14:56:54+00:00</t>
  </si>
  <si>
    <t>Knew the family on the Goldy... Definitely did it .... Whole mob were doing dirt</t>
  </si>
  <si>
    <t>2024-06-15T01:10:57+00:00</t>
  </si>
  <si>
    <t>Her and Mercedes used to steal from the Big W I worked at 😏</t>
  </si>
  <si>
    <t>2024-06-15T03:42:36+00:00</t>
  </si>
  <si>
    <t>She did it, did the time, got paid for interviews and for the reality show SAS and was labelled a battler. SMH.</t>
  </si>
  <si>
    <t>2024-06-14T23:28:48+00:00</t>
  </si>
  <si>
    <t>Still amazed she never did a spread in FHM or Ralph... I mean if Pauline H can appear in it...</t>
  </si>
  <si>
    <t>2024-06-15T00:15:28+00:00</t>
  </si>
  <si>
    <t>I don't like it.</t>
  </si>
  <si>
    <t>2024-06-15T01:43:56+00:00</t>
  </si>
  <si>
    <t>Pauline Hanson? Are you serious?</t>
  </si>
  <si>
    <t>2024-06-15T00:50:27+00:00</t>
  </si>
  <si>
    <t>🤢🤢🤢</t>
  </si>
  <si>
    <t>2024-06-15T01:35:49+00:00</t>
  </si>
  <si>
    <t>FHM's top 100 sexiest women, 1998 Plz explain...</t>
  </si>
  <si>
    <t>2024-06-15T02:01:23+00:00</t>
  </si>
  <si>
    <t>She did, but for Zoo magazine</t>
  </si>
  <si>
    <t>2024-06-15T03:15:20+00:00</t>
  </si>
  <si>
    <t>"… and her bogan [drug dealing] family"</t>
  </si>
  <si>
    <t>2024-06-15T00:13:49+00:00</t>
  </si>
  <si>
    <t>'Bogan Family' is an understatement. 😂</t>
  </si>
  <si>
    <t>2024-06-14T15:52:04+00:00</t>
  </si>
  <si>
    <t>Mum and sister are rough as guts 🤢</t>
  </si>
  <si>
    <t>2024-06-14T18:16:18+00:00</t>
  </si>
  <si>
    <t>Also the Dad (rip) was portrayed as this kindly cuddly old dude - his good mate and neighbour was pinged for having a significant growing operation.</t>
  </si>
  <si>
    <t>2024-06-14T22:47:28+00:00</t>
  </si>
  <si>
    <t>I remember everyone in the Gold Coast at the time seemed to have a loose drug connection with them and was openly known to be a crime family.</t>
  </si>
  <si>
    <t>2024-06-15T01:30:41+00:00</t>
  </si>
  <si>
    <t>Yeah I had a neighbour who was well aware of her and her family being massively into dealing.</t>
  </si>
  <si>
    <t>2024-06-15T01:39:58+00:00</t>
  </si>
  <si>
    <t>As rough as hessian undies!</t>
  </si>
  <si>
    <t>2024-06-14T22:03:09+00:00</t>
  </si>
  <si>
    <t>Don't forget about her brother who tied a bloke to a chair and beat him up with a baseball bat on the Goldy.</t>
  </si>
  <si>
    <t>2024-06-15T01:18:24+00:00</t>
  </si>
  <si>
    <t>Was this before or after he did his Australian idol auditions ?</t>
  </si>
  <si>
    <t>2024-06-16T02:54:18+00:00</t>
  </si>
  <si>
    <t>I didn't know he was on idol! Not sure but it's going back a fair way. At the time he claimed the person he bashed was involved in setting up Schapelle but really it was just some drug thing.</t>
  </si>
  <si>
    <t>2024-06-16T04:06:55+00:00</t>
  </si>
  <si>
    <t>Nah he wasn't, but the joke goes that Matt Corby is Schapelle Corby's brother and the song "brother" was actually meant to be named "sister". Kinda falls in the same realm of jokes as "drop bears" and "aussies ride kangaroos to school"</t>
  </si>
  <si>
    <t>2024-06-16T06:54:23+00:00</t>
  </si>
  <si>
    <t>She 100% did it. The whole family is as trashy as they come. The TikTok's I've seen of ppl defending her and feeling sorry for her (mostly teenagers) is ridiculous. She was no doubt about it guilty and they were not a good family. They just didn't think she'd get caught.</t>
  </si>
  <si>
    <t>2024-06-15T05:06:10+00:00</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</si>
  <si>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</si>
  <si>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2024-09-03T12:50:40+00:00</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</si>
  <si>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</si>
  <si>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2024-09-03T13:04:56+00:00</t>
  </si>
  <si>
    <t>Found Mercedes Corby</t>
  </si>
  <si>
    <t>2024-09-29T14:58:51+00:00</t>
  </si>
  <si>
    <t>I remember in year 8 English we had an impromptu debate over this whole thing and I was the only kid in the class who thought she was guilty. The whole class was passionately defending this woman. Really highlighted, to me at least, how influential the media is.</t>
  </si>
  <si>
    <t>2024-06-15T03:47:24+00:00</t>
  </si>
  <si>
    <t>This is equivalent to parents who are afraid of people poisoning their kids with the chocolates they get from trick or treating.</t>
  </si>
  <si>
    <t>2024-06-15T06:15:00+00:00</t>
  </si>
  <si>
    <t>Isn't this still happening?</t>
  </si>
  <si>
    <t>2024-06-15T17:38:20+00:00</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</si>
  <si>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</si>
  <si>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2024-09-03T12:53:42+00:00</t>
  </si>
  <si>
    <t>Her sister could eat an apple through a tennis racquet</t>
  </si>
  <si>
    <t>2024-06-15T07:09:15+00:00</t>
  </si>
  <si>
    <t>Teeth stick out.</t>
  </si>
  <si>
    <t>2024-06-17T23:43:53+00:00</t>
  </si>
  <si>
    <t>There's no nostalgia there for these clowns</t>
  </si>
  <si>
    <t>2024-06-15T01:48:57+00:00</t>
  </si>
  <si>
    <t>Soooooo guilty, that whole family was in on it.</t>
  </si>
  <si>
    <t>2024-06-15T03:55:24+00:00</t>
  </si>
  <si>
    <t>The dad did it, shappelle took the fall</t>
  </si>
  <si>
    <t>2024-06-15T04:59:07+00:00</t>
  </si>
  <si>
    <t>Lived near them in Tugun and bought weed from her brother. Well known for being sketchy to the locals at the time.</t>
  </si>
  <si>
    <t>2024-06-15T06:02:53+00:00</t>
  </si>
  <si>
    <t>Of course she did it. Her whole family are the biggest drug dealers.</t>
  </si>
  <si>
    <t>2024-06-15T06:25:33+00:00</t>
  </si>
  <si>
    <t>The father and his marijuana crops then the brother dealing out of the Mermaid Beach Tavern. They were well known as a pack of ferals.</t>
  </si>
  <si>
    <t>2024-06-15T06:43:30+00:00</t>
  </si>
  <si>
    <t>What a bunch of losers</t>
  </si>
  <si>
    <t>2024-06-15T07:17:26+00:00</t>
  </si>
  <si>
    <t>When she was on parole in Bali she would "allegedly" throw parties in her villa and everyone was on drugs. Used to party with her sister in Bali in 2014 and she was nice but yeah, huge bogan lol fun times</t>
  </si>
  <si>
    <t>2024-06-15T15:41:11+00:00</t>
  </si>
  <si>
    <t>I remember in the days leading up to the end of the trial the media were referring to her as "beauty student" The immediately after they referred to her a "convicted drug smuggler".</t>
  </si>
  <si>
    <t>2024-06-15T04:53:52+00:00</t>
  </si>
  <si>
    <t>From the 2004 Channel 7 Teleseries "When Bogans Attack"</t>
  </si>
  <si>
    <t>2024-06-15T06:30:58+00:00</t>
  </si>
  <si>
    <t>And??? Don't leave us hanging. What happened, was she cool or looking like one half of Beavis and Butthead like here??</t>
  </si>
  <si>
    <t>2024-06-14T22:07:41+00:00</t>
  </si>
  <si>
    <t>😂</t>
  </si>
  <si>
    <t>2024-06-14T22:20:22+00:00</t>
  </si>
  <si>
    <t>Talk about a go-nowhere comment lol. "I spoke to her but won't elaborate on what happened…"</t>
  </si>
  <si>
    <t>2024-06-15T00:03:00+00:00</t>
  </si>
  <si>
    <t>And then delete it...... weird.</t>
  </si>
  <si>
    <t>2024-06-15T00:05:10+00:00</t>
  </si>
  <si>
    <t>$10 and 5 minutes later he emerges from the toilet with his first bj.</t>
  </si>
  <si>
    <t>2024-06-14T23:52:45+00:00</t>
  </si>
  <si>
    <t>a real gummer based on that pick</t>
  </si>
  <si>
    <t>2024-06-15T00:05:44+00:00</t>
  </si>
  <si>
    <t>How does that conversation go…</t>
  </si>
  <si>
    <t>2024-06-14T23:22:07+00:00</t>
  </si>
  <si>
    <t>She looks like she is a biter.</t>
  </si>
  <si>
    <t>2024-06-15T01:11:11+00:00</t>
  </si>
  <si>
    <t>Their mate who got busted with his backyard grow saying the Corby's were dealing "hydroPHonic" dope. Is there a law we can hit him with, too?</t>
  </si>
  <si>
    <t>2024-06-15T01:36:16+00:00</t>
  </si>
  <si>
    <t>Just adding in this banger of hers:</t>
  </si>
  <si>
    <t>2024-06-15T02:31:52+00:00</t>
  </si>
  <si>
    <t>A true classic</t>
  </si>
  <si>
    <t>2024-06-15T05:47:33+00:00</t>
  </si>
  <si>
    <t>I have no idea what I just watched! Was that her signing and her own words??</t>
  </si>
  <si>
    <t>2024-12-22T01:45:45+00:00</t>
  </si>
  <si>
    <t>Was Cocaine Cassie a rello of theirs?</t>
  </si>
  <si>
    <t>2024-06-15T09:13:05+00:00</t>
  </si>
  <si>
    <t>Nah just another bogan trying their luck.</t>
  </si>
  <si>
    <t>2024-06-15T15:44:19+00:00</t>
  </si>
  <si>
    <t>Their house in Middlemount was the place to go to buy herbs.</t>
  </si>
  <si>
    <t>2024-06-15T09:47:46+00:00</t>
  </si>
  <si>
    <t>They are the definition of Aussie Rednecks.....they don't deserve the bogan title....</t>
  </si>
  <si>
    <t>2024-06-16T08:11:54+00:00</t>
  </si>
  <si>
    <t>I knew someone who was the mums hairdresser for a while and yes they did do that shit</t>
  </si>
  <si>
    <t>2024-06-15T01:11:41+00:00</t>
  </si>
  <si>
    <t>I heard a little rumour that Mercedes used to sell cocaine to some high profile people</t>
  </si>
  <si>
    <t>2024-06-17T02:26:22+00:00</t>
  </si>
  <si>
    <t>Best line in any Aussie rap song.. They all about hanging out, like Mercedes Corby mouth 💀💀 Funkoars - Mad As Hell</t>
  </si>
  <si>
    <t>2024-06-19T00:09:17+00:00</t>
  </si>
  <si>
    <t>So did she go it or not? I know sometimes corrupt police will set ppl up while a larger mafia shipment is coming in to take attention off .</t>
  </si>
  <si>
    <t>2024-11-25T19:09:32+00:00</t>
  </si>
  <si>
    <t>Was just reading about this in bed with current stories of BB players getting done in Indonesia. Thought oh wow, that sounds awful, sounds like she was set up from the wiki page. Thought I'd Google a pic of her and family... She deffo did it 😂</t>
  </si>
  <si>
    <t>2025-05-19T07:05:35+00:00</t>
  </si>
  <si>
    <t>Did she do a shoot for picture mag?</t>
  </si>
  <si>
    <t>2024-06-15T00:54:30+00:00</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</si>
  <si>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</si>
  <si>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2024-06-14T17:44:28+00:00</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</si>
  <si>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</si>
  <si>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2024-06-14T21:34:24+00:00</t>
  </si>
  <si>
    <t>Kind of a dumb analogy. Intent matters.</t>
  </si>
  <si>
    <t>2024-06-14T21:51:44+00:00</t>
  </si>
  <si>
    <t>Pretty sure their intent was to smuggle drugs into Bali. ...as evidenced by the bag of drugs strapped to them.</t>
  </si>
  <si>
    <t>2024-06-15T06:27:38+00:00</t>
  </si>
  <si>
    <t>lol at you confusing intent for mental acuity (and pretending neither are relevant in criminality.). You're why jury trials are terrifying. Have a great week mate. 🙃</t>
  </si>
  <si>
    <t>2024-06-14T22:00:31+00:00</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</si>
  <si>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</si>
  <si>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2024-06-14T22:47:53+00:00</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</si>
  <si>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</si>
  <si>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2024-06-14T18:45:45+00:00</t>
  </si>
  <si>
    <t>The AFP should have arrested them on Aussie soil and not left them to get the death penalty</t>
  </si>
  <si>
    <t>2024-06-14T20:41:46+00:00</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</si>
  <si>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</si>
  <si>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2024-06-15T00:37:57+00:00</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</si>
  <si>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</si>
  <si>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2024-06-15T06:30:13+00:00</t>
  </si>
  <si>
    <t>I always wondered about that. They sacrificed these (idiot) kids to try and catch some kingpin.</t>
  </si>
  <si>
    <t>2024-06-14T21:27:27+00:00</t>
  </si>
  <si>
    <t>The real idiots were the parents who reported it thinking the police would do the right thing. Surely there was a way to get their kids to avoid the situation without trusting the police to do the right thing ?</t>
  </si>
  <si>
    <t>2024-06-14T22:52:08+00:00</t>
  </si>
  <si>
    <t>Well I guess the apple doesn't fall far from the tree then</t>
  </si>
  <si>
    <t>2024-06-15T00:31:13+00:00</t>
  </si>
  <si>
    <t>The AFP could just be cruel and enjoy the fact they would be executed there, not here.</t>
  </si>
  <si>
    <t>2024-06-14T21:35:26+00:00</t>
  </si>
  <si>
    <t>The same AFP that entrapped an autistic child so they could arrest him later as a terrorist? Wouldn't surprise me one bit</t>
  </si>
  <si>
    <t>2024-06-14T22:34:26+00:00</t>
  </si>
  <si>
    <t>Martin Bryant?</t>
  </si>
  <si>
    <t>2024-06-15T00:32:57+00:00</t>
  </si>
  <si>
    <t>You'll get the obligatory downvotes but any honest inquirer will affirm.</t>
  </si>
  <si>
    <t>2024-06-15T06:05:38+00:00</t>
  </si>
  <si>
    <t>¿Porque no las dos?</t>
  </si>
  <si>
    <t>2024-06-14T22:19:13+00:00</t>
  </si>
  <si>
    <t>Not that it makes a difference but the Bali 9 were taking drugs out of Bali to Australia. Corby was taking dope into Bali (which ironically is not lacking its own domestic supply)</t>
  </si>
  <si>
    <t>2024-06-15T23:36:18+00:00</t>
  </si>
  <si>
    <t>You are a terrible person for posting this.</t>
  </si>
  <si>
    <t>2024-06-17T09:51:31+00:00</t>
  </si>
  <si>
    <t>A dingo ate me baby</t>
  </si>
  <si>
    <t>2024-06-14T23:02:24+00:00</t>
  </si>
  <si>
    <t>What do the Chamberlain's have to do with this?</t>
  </si>
  <si>
    <t>2024-06-14T23:42:05+00:00</t>
  </si>
  <si>
    <t>I've heard a lot of people wondering why she didn't do that - being familar with Bali and all. If nothing her dad should have suggested it. It's suggested for most police actions in lonely planet books.</t>
  </si>
  <si>
    <t>Probably, but she was to be made an example of due to the media circus that Australia drummed up.</t>
  </si>
  <si>
    <t>2023-07-25T17:43:21+00:00</t>
  </si>
  <si>
    <t>youre user name sounds danger</t>
  </si>
  <si>
    <t>2023-07-25T20:40:03+00:00</t>
  </si>
  <si>
    <t>Don't threaten me with a good time ;)</t>
  </si>
  <si>
    <t>2023-07-25T23:10:34+00:00</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</si>
  <si>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</si>
  <si>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2023-07-25T20:56:05+00:00</t>
  </si>
  <si>
    <t>Why did you have to bribe your way in?</t>
  </si>
  <si>
    <t>2023-07-26T10:15:59+00:00</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</si>
  <si>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</si>
  <si>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2023-07-26T11:34:09+00:00</t>
  </si>
  <si>
    <t>Guys, Facebook is supposed to steal stuff from us, not the other way around.</t>
  </si>
  <si>
    <t>2014-02-12T05:44:51+00:00</t>
  </si>
  <si>
    <t>I take full responsibility for this! ;_;/</t>
  </si>
  <si>
    <t>2014-02-12T05:47:38+00:00</t>
  </si>
  <si>
    <t>Is that a 'crying while giving the Nazi salute' smiley?</t>
  </si>
  <si>
    <t>2014-02-12T11:34:10+00:00</t>
  </si>
  <si>
    <t>Guilty sieg heil</t>
  </si>
  <si>
    <t>2014-02-12T12:07:48+00:00</t>
  </si>
  <si>
    <t>Everyone's hailed rudolph hitler on television once in their lives</t>
  </si>
  <si>
    <t>2014-02-12T13:56:25+00:00</t>
  </si>
  <si>
    <t>I swear just about everything "Welcome to the Internet" posts is directly from reddit. He never gives credit either.</t>
  </si>
  <si>
    <t>2014-02-12T08:17:48+00:00</t>
  </si>
  <si>
    <t>spot on mate. I go on Reddit before bed, wake up next day and Welcome to the Internet has posted the funniest stuff from Reddit on Facebook.</t>
  </si>
  <si>
    <t>2014-02-12T13:35:44+00:00</t>
  </si>
  <si>
    <t>That guy is my kindle Reddit saviour, as the website is wack on my kindle. Freaks out and I have not the tech-know-how to sort it out.</t>
  </si>
  <si>
    <t>2014-02-12T19:01:16+00:00</t>
  </si>
  <si>
    <t>Why do people give a shit if she didn't serve 20 years? That much weed would probably land you community service here. If it's the money for the story, that's a 7,9,10 being utterly shit thing.</t>
  </si>
  <si>
    <t>2014-02-12T08:53:07+00:00</t>
  </si>
  <si>
    <t>People only give a shit about this because she was a hot chick, and also the tremendous stupidity factor of importing drugs INTO a SE Asian country with ultra-harsh drug laws. Sadly its the perfect tabloid fodder.</t>
  </si>
  <si>
    <t>2014-02-12T09:23:06+00:00</t>
  </si>
  <si>
    <t>Not even hot. Just white and female.</t>
  </si>
  <si>
    <t>2014-02-12T09:39:06+00:00</t>
  </si>
  <si>
    <t>hot when she went in 9 years ago. It's why she's a household name..</t>
  </si>
  <si>
    <t>2014-02-12T12:02:09+00:00</t>
  </si>
  <si>
    <t>She's a household name because she's a fucking idiot.</t>
  </si>
  <si>
    <t>2014-02-12T13:45:13+00:00</t>
  </si>
  <si>
    <t>Well, ACA and TT lasted quite a number of years so it's not as if we're short of fucking idiots that would sympathise with her situation</t>
  </si>
  <si>
    <t>2014-02-12T14:12:33+00:00</t>
  </si>
  <si>
    <t>Also, there are worse places to be caught with drugs in SE Asia - Singapore (mandatory death penalty).</t>
  </si>
  <si>
    <t>2014-02-13T02:48:12+00:00</t>
  </si>
  <si>
    <t>LOL is this a joke? Just wow.</t>
  </si>
  <si>
    <t>2014-02-12T12:01:30+00:00</t>
  </si>
  <si>
    <t>Complete with unnecessary apostrophe.</t>
  </si>
  <si>
    <t>2014-02-12T10:01:18+00:00</t>
  </si>
  <si>
    <t>I saw someone 'like' a post from "Step Brothers memes" the other day, which had nothing to do with Step Brothers, neither was it funny. So dumb.</t>
  </si>
  <si>
    <t>2014-02-12T07:09:14+00:00</t>
  </si>
  <si>
    <t>Or the first image result on Google.</t>
  </si>
  <si>
    <t>2014-02-12T11:35:17+00:00</t>
  </si>
  <si>
    <t>Hey man I want my FB meme pages to be as specific as possible!</t>
  </si>
  <si>
    <t>2014-02-12T06:37:34+00:00</t>
  </si>
  <si>
    <t>9gag</t>
  </si>
  <si>
    <t>2014-02-12T06:35:02+00:00</t>
  </si>
  <si>
    <t>Fwd:Fwd:Fwd Great joke!</t>
  </si>
  <si>
    <t>2014-02-12T05:08:44+00:00</t>
  </si>
  <si>
    <t>I work with a guy who is nearing retirement. He forwards these to to the team " Fwd:Fwd:Fwd why cats hate Halloween!?" complete with all of the the emails in each forwarded email block.</t>
  </si>
  <si>
    <t>2014-02-12T07:30:05+00:00</t>
  </si>
  <si>
    <t>People still do that? The best thing about facebook is that my parents now forward all the stupid shit they find on the internet through that, instead of clogging up my email.</t>
  </si>
  <si>
    <t>2014-02-12T10:28:44+00:00</t>
  </si>
  <si>
    <t>Complete with some random exe file as an attatchment.</t>
  </si>
  <si>
    <t>2014-02-12T12:03:42+00:00</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</si>
  <si>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</si>
  <si>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2014-02-12T14:16:52+00:00</t>
  </si>
  <si>
    <t>Yes, it's Tasmania.</t>
  </si>
  <si>
    <t>2014-02-12T23:36:08+00:00</t>
  </si>
  <si>
    <t>1,536px × 1,104px Thanks dad.</t>
  </si>
  <si>
    <t>2014-02-12T06:08:44+00:00</t>
  </si>
  <si>
    <t>It's not a photo of the screen, be happy</t>
  </si>
  <si>
    <t>2014-02-12T07:29:04+00:00</t>
  </si>
  <si>
    <t>I.. I wouldn't.... cries in a corner</t>
  </si>
  <si>
    <t>2014-02-12T07:54:39+00:00</t>
  </si>
  <si>
    <t>Fuck, not this again.</t>
  </si>
  <si>
    <t>2014-02-12T08:20:29+00:00</t>
  </si>
  <si>
    <t>I love /r/australia. Looked at this, thought: What's a "bogan"? Who is Shapelle Corby? 10 years? Was she in a coma? What's a "Coles"? Googled and holy shit. Anyway, good fun on a Tuesday morning, so thx.</t>
  </si>
  <si>
    <t>2014-02-12T12:45:32+00:00</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</si>
  <si>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</si>
  <si>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2014-02-12T13:19:20+00:00</t>
  </si>
  <si>
    <t>Yeah that's it, apart from IGA and Aldi. It's a shitty state of affairs.</t>
  </si>
  <si>
    <t>2014-02-12T13:40:10+00:00</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</si>
  <si>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</si>
  <si>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2014-02-12T13:36:29+00:00</t>
  </si>
  <si>
    <t>Yeah when it comes to supermarkets here, it's pretty much the two big names - Coles and Woolworths. There's a couple of smaller chains and the odd independent grocers but nearly all Australians (bogan or otherwise) would either be found shopping at Coles or Woolies.</t>
  </si>
  <si>
    <t>2014-02-12T14:02:13+00:00</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</si>
  <si>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</si>
  <si>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2014-02-12T17:44:19+00:00</t>
  </si>
  <si>
    <t>Eh, it's still Safeway to me.</t>
  </si>
  <si>
    <t>2014-02-14T03:14:38+00:00</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</si>
  <si>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</si>
  <si>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</si>
  <si>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2014-02-13T06:41:24+00:00</t>
  </si>
  <si>
    <t>Probably just separate business lines.</t>
  </si>
  <si>
    <t>2014-02-15T00:00:40+00:00</t>
  </si>
  <si>
    <t>are you that warlizard from warlizard gaming forum</t>
  </si>
  <si>
    <t>2014-02-15T01:04:13+00:00</t>
  </si>
  <si>
    <t>ಠ_ಠ</t>
  </si>
  <si>
    <t>2014-02-15T01:05:56+00:00</t>
  </si>
  <si>
    <t>You in L.A? Near Washington and Lincoln?</t>
  </si>
  <si>
    <t>2014-02-12T21:19:15+00:00</t>
  </si>
  <si>
    <t>Hey holy shit!its that guy from the war lizard forums!!</t>
  </si>
  <si>
    <t>2014-02-12T16:58:01+00:00</t>
  </si>
  <si>
    <t>In Australia, you're either a Coles kinda person or a Woolworths kinda person. I always go for Woolworths.</t>
  </si>
  <si>
    <t>2014-02-12T15:16:26+00:00</t>
  </si>
  <si>
    <t>Pretty sure most people just go to whichever one is closer to them. I don't see the point in "going for" whoever the lesser of two evils may be.</t>
  </si>
  <si>
    <t>Woolworths has less annoying self serve checkouts.</t>
  </si>
  <si>
    <t>2014-02-12T23:11:52+00:00</t>
  </si>
  <si>
    <t>Aldi might become the third though.</t>
  </si>
  <si>
    <t>2014-02-12T15:13:37+00:00</t>
  </si>
  <si>
    <t>They already are :</t>
  </si>
  <si>
    <t>2014-02-12T20:39:34+00:00</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</si>
  <si>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</si>
  <si>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2014-02-12T23:52:43+00:00</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</si>
  <si>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</si>
  <si>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2014-02-12T21:48:39+00:00</t>
  </si>
  <si>
    <t>Now that I know about her, I'm seeing her everywhere...</t>
  </si>
  <si>
    <t>2014-02-14T23:59:59+00:00</t>
  </si>
  <si>
    <t>Somehow I remembered your name without RES, I loved this thing you write, link for others:</t>
  </si>
  <si>
    <t>2014-02-12T15:02:05+00:00</t>
  </si>
  <si>
    <t>Heh, thanks man. Love that story.</t>
  </si>
  <si>
    <t>2014-02-12T15:13:34+00:00</t>
  </si>
  <si>
    <t>Such a great story. Will purchase book tonight!</t>
  </si>
  <si>
    <t>2014-02-12T23:04:22+00:00</t>
  </si>
  <si>
    <t>After now seeing what you did glad to see a legend such as yourself visit us over in /r/australia. Hope we haven't been too wacky- if it is, then it's the current government..</t>
  </si>
  <si>
    <t>2014-02-12T16:56:14+00:00</t>
  </si>
  <si>
    <t>Hah, you're assuming I'm new here... :)</t>
  </si>
  <si>
    <t>2014-02-15T00:00:15+00:00</t>
  </si>
  <si>
    <t>Which comic genius wrote this</t>
  </si>
  <si>
    <t>2014-02-12T05:14:39+00:00</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</si>
  <si>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</si>
  <si>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</si>
  <si>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2014-02-12T14:19:04+00:00</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</si>
  <si>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</si>
  <si>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</si>
  <si>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2014-02-12T23:59:47+00:00</t>
  </si>
  <si>
    <t>o7</t>
  </si>
  <si>
    <t>2014-02-13T00:08:49+00:00</t>
  </si>
  <si>
    <t>o7 haha, I don't even know what that means :P</t>
  </si>
  <si>
    <t>2014-02-13T00:13:53+00:00</t>
  </si>
  <si>
    <t>Haha it's the head and hand in salute. o7 I salute you!</t>
  </si>
  <si>
    <t>2014-02-13T00:22:15+00:00</t>
  </si>
  <si>
    <t>I hadn't seen it, and it cracked me up. Have an upvote :)</t>
  </si>
  <si>
    <t>2014-02-12T11:53:33+00:00</t>
  </si>
  <si>
    <t>/r/forwardsfromgrandma</t>
  </si>
  <si>
    <t>2014-02-12T05:19:49+00:00</t>
  </si>
  <si>
    <t>Honestly fuck her and her bogan family.</t>
  </si>
  <si>
    <t>2014-02-12T10:36:53+00:00</t>
  </si>
  <si>
    <t>I've not followed the Corby case closely. Could somebody say what the possible motive would be for someone to smuggle ganja from Australia to Indonesia given that the selling price is five times less in Indonesia?</t>
  </si>
  <si>
    <t>2014-02-12T14:31:56+00:00</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</si>
  <si>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</si>
  <si>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2014-02-13T00:19:33+00:00</t>
  </si>
  <si>
    <t>Dumb bitch wanted to take some good weed on her holiday.</t>
  </si>
  <si>
    <t>2014-02-13T00:39:37+00:00</t>
  </si>
  <si>
    <t>I think the boogie board was meant to be intercepted at a stop over flight, maybe in Sydney. Or baggage handlers got scared and dumped the bag of weed in the first place they could.</t>
  </si>
  <si>
    <t>2014-02-12T21:55:19+00:00</t>
  </si>
  <si>
    <t>As an American, can someone explain?</t>
  </si>
  <si>
    <t>2014-02-12T06:59:49+00:00</t>
  </si>
  <si>
    <t>She was arrested in another country for having drugs in her luggage, and sentenced to over 20 years in prison. She was just recently released on their version of parole after serving a little under 10 years.</t>
  </si>
  <si>
    <t>2014-02-12T07:04:19+00:00</t>
  </si>
  <si>
    <t>(And during that time most major supermarkets have added self service checkouts)</t>
  </si>
  <si>
    <t>2014-02-12T07:38:19+00:00</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</si>
  <si>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</si>
  <si>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</si>
  <si>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2014-02-12T22:52:16+00:00</t>
  </si>
  <si>
    <t>And also Coles self serves are fucking annoying</t>
  </si>
  <si>
    <t>2014-02-12T11:31:20+00:00</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</si>
  <si>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</si>
  <si>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2014-02-12T12:11:26+00:00</t>
  </si>
  <si>
    <t>I hate when it says 'please wait for assistance'. The whole point of self serve was to do it myself</t>
  </si>
  <si>
    <t>2014-02-12T12:31:28+00:00</t>
  </si>
  <si>
    <t>The other people using self serves are fucking annoying. The machines are fine. I take great pleasure in being the last in and first out whilst everyone else is confused by the pictures on the screen.</t>
  </si>
  <si>
    <t>2014-02-12T22:46:11+00:00</t>
  </si>
  <si>
    <t>... and now she's getting paid $2million for her story.</t>
  </si>
  <si>
    <t>2014-02-12T07:36:42+00:00</t>
  </si>
  <si>
    <t>Some other dude? Shiiiiit, she's fucked now...</t>
  </si>
  <si>
    <t>2014-02-12T08:45:44+00:00</t>
  </si>
  <si>
    <t>She'll only fuck up her parole if she says not nice things about Indonesia, AFAIK. I don't think he's there because of the money.</t>
  </si>
  <si>
    <t>2014-02-12T11:11:43+00:00</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</si>
  <si>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</si>
  <si>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2014-02-12T16:07:44+00:00</t>
  </si>
  <si>
    <t>Because she generates public interest. So much so you posted thiz.</t>
  </si>
  <si>
    <t>2014-02-12T08:09:43+00:00</t>
  </si>
  <si>
    <t>Don't blame it on the sunshine Don't blame it on the moonlight Don't blame it on the good times Blame it on the boogie (board)</t>
  </si>
  <si>
    <t>2014-02-12T09:34:18+00:00</t>
  </si>
  <si>
    <t>Thank you.</t>
  </si>
  <si>
    <t>2014-02-12T13:20:09+00:00</t>
  </si>
  <si>
    <t>Yer im forever finding pounds of grade a hydro stuffed into my bag. So annoying hey</t>
  </si>
  <si>
    <t>2014-02-13T00:40:48+00:00</t>
  </si>
  <si>
    <t>Not only that someone planted it but it's like forty fucking meters you have to walk between baggage collection and customs. Apparently she was so strong that she didn't notice her boogie board was like 4 times heavier than usual?</t>
  </si>
  <si>
    <t>2014-02-12T13:44:32+00:00</t>
  </si>
  <si>
    <t>Got caught with marijuana in her boogie board bag in Indonesia.</t>
  </si>
  <si>
    <t>2014-02-12T07:04:32+00:00</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</si>
  <si>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</si>
  <si>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2014-02-13T09:26:52+00:00</t>
  </si>
  <si>
    <t>(Pic related) - Shelve it!!</t>
  </si>
  <si>
    <t>2014-02-12T04:18:37+00:00</t>
  </si>
  <si>
    <t>It wasn't unexpected though. She knew it was there.</t>
  </si>
  <si>
    <t>2014-02-12T06:53:52+00:00</t>
  </si>
  <si>
    <t>It's only unexpected if you get caught.</t>
  </si>
  <si>
    <t>2014-02-12T07:05:59+00:00</t>
  </si>
  <si>
    <t>There is no proof that she knew it was there.</t>
  </si>
  <si>
    <t>2014-02-12T11:12:45+00:00</t>
  </si>
  <si>
    <t>Apart from, you know, being found guilty by a court</t>
  </si>
  <si>
    <t>2014-02-12T11:35:10+00:00</t>
  </si>
  <si>
    <t>That isn't even evidence, let alone proof.</t>
  </si>
  <si>
    <t>2014-02-12T12:46:03+00:00</t>
  </si>
  <si>
    <t>..not anymore anyway - hilariously they destroyed the pot by standing around and burning it.</t>
  </si>
  <si>
    <t>2014-02-13T09:30:08+00:00</t>
  </si>
  <si>
    <t>That doesn't mean she actually was guilty.</t>
  </si>
  <si>
    <t>2014-02-12T13:37:31+00:00</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</si>
  <si>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</si>
  <si>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2014-02-12T16:11:42+00:00</t>
  </si>
  <si>
    <t>And in most cases I'd say you're right. It's just that Schapelle's case was so badly investigated by the Indonesian police it is just not funny.</t>
  </si>
  <si>
    <t>2014-02-12T17:30:15+00:00</t>
  </si>
  <si>
    <t>Meme's? Is that apostrophe even necessary?</t>
  </si>
  <si>
    <t>2014-02-12T12:07:47+00:00</t>
  </si>
  <si>
    <t>This is one of those things where you see it once and its a little funny and clever, but once you see 10 separate people share it on FB/Reddit it doesn't hold up and you start rolling your eyes</t>
  </si>
  <si>
    <t>2014-02-12T06:34:45+00:00</t>
  </si>
  <si>
    <t>This joke is fucking everywhere. First time I read it I chuckled... But after seeing it 100,000 times, I'm just over it. Everyone is posting it on Facebook as if they were the first ones to post it.</t>
  </si>
  <si>
    <t>2014-02-12T10:39:41+00:00</t>
  </si>
  <si>
    <t>Gave this one the ol' share last night</t>
  </si>
  <si>
    <t>2014-02-12T04:22:20+00:00</t>
  </si>
  <si>
    <t>Hehehehehe! Thanks for that!</t>
  </si>
  <si>
    <t>2014-02-12T05:50:55+00:00</t>
  </si>
  <si>
    <t>I still laughed.</t>
  </si>
  <si>
    <t>2014-02-12T12:50:44+00:00</t>
  </si>
  <si>
    <t>Awesome.</t>
  </si>
  <si>
    <t>2014-02-12T06:15:41+00:00</t>
  </si>
  <si>
    <t>She wouldn't have had that problem if she shopped at Woolworths. Woolworths - the smugglers choice.</t>
  </si>
  <si>
    <t>2014-02-13T07:34:24+00:00</t>
  </si>
  <si>
    <t>What has taken place in the last 10 years that will blow her mind? Smart phones? Ditigal TV? World politics? (Arab spring/Syria)</t>
  </si>
  <si>
    <t>2014-02-12T09:36:08+00:00</t>
  </si>
  <si>
    <t>NSW winning State of Origin? Hang on, never mind.</t>
  </si>
  <si>
    <t>2014-02-12T11:36:29+00:00</t>
  </si>
  <si>
    <t>I have a dead horse in my backyard for you</t>
  </si>
  <si>
    <t>2014-02-12T12:05:35+00:00</t>
  </si>
  <si>
    <t>I'm a Queenslander, and this horse has plenty of legs left.</t>
  </si>
  <si>
    <t>2014-02-12T12:38:43+00:00</t>
  </si>
  <si>
    <t>Availability of ice. She'll be fucked on it soon.</t>
  </si>
  <si>
    <t>2014-02-12T12:43:17+00:00</t>
  </si>
  <si>
    <t>Shortly after it'll ruin her life.</t>
  </si>
  <si>
    <t>2014-02-12T16:12:20+00:00</t>
  </si>
  <si>
    <t>This is perfect. But did she actually do it?</t>
  </si>
  <si>
    <t>2014-02-12T10:20:47+00:00</t>
  </si>
  <si>
    <t>Hello lover</t>
  </si>
  <si>
    <t>2014-02-12T15:05:08+00:00</t>
  </si>
  <si>
    <t>Pot's legal in half the United States - soon here - fuck that.</t>
  </si>
  <si>
    <t>2014-02-12T05:01:08+00:00</t>
  </si>
  <si>
    <t>TIL 2 out of 50 = half</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</si>
  <si>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</si>
  <si>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</si>
  <si>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</si>
  <si>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</si>
  <si>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</si>
  <si>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</si>
  <si>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</si>
  <si>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</si>
  <si>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</si>
  <si>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</si>
  <si>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</si>
  <si>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</si>
  <si>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</si>
  <si>
    <t>terms identified by excel</t>
  </si>
  <si>
    <t>COUNT of terms</t>
  </si>
  <si>
    <t>categories</t>
  </si>
  <si>
    <t>mean hate value EXCEL</t>
  </si>
  <si>
    <t>weighted score EXCEL</t>
  </si>
  <si>
    <t>term</t>
  </si>
  <si>
    <t>category</t>
  </si>
  <si>
    <t>MEDIAN FOR EACH TERM</t>
  </si>
  <si>
    <t>CATEGORIES</t>
  </si>
  <si>
    <t>MEDIAN</t>
  </si>
  <si>
    <t>schapelle corby</t>
  </si>
  <si>
    <t>Case Related</t>
  </si>
  <si>
    <t>CASE RELATED</t>
  </si>
  <si>
    <t>boogie board</t>
  </si>
  <si>
    <t>CRIME BASED</t>
  </si>
  <si>
    <t>australian</t>
  </si>
  <si>
    <t>INTELLIGENCE BASED</t>
  </si>
  <si>
    <t>cannabis</t>
  </si>
  <si>
    <t>FAMILIAL BASED</t>
  </si>
  <si>
    <t>smuggling</t>
  </si>
  <si>
    <t>CLASS BASED</t>
  </si>
  <si>
    <t xml:space="preserve">indonesia </t>
  </si>
  <si>
    <t>AUTHORITY BASED</t>
  </si>
  <si>
    <t>conviction</t>
  </si>
  <si>
    <t>MORAL CONDEMNATION</t>
  </si>
  <si>
    <t xml:space="preserve">denparsar </t>
  </si>
  <si>
    <t>LEGALITY BASED</t>
  </si>
  <si>
    <t>media circus</t>
  </si>
  <si>
    <t>australia</t>
  </si>
  <si>
    <t>drugs</t>
  </si>
  <si>
    <t>Crime based</t>
  </si>
  <si>
    <t>drug mule</t>
  </si>
  <si>
    <t>extortion</t>
  </si>
  <si>
    <t>convicted drug smuggler</t>
  </si>
  <si>
    <t>criminal</t>
  </si>
  <si>
    <t>trafficker</t>
  </si>
  <si>
    <t>drug trafficking</t>
  </si>
  <si>
    <t>drug smuggler</t>
  </si>
  <si>
    <t>possession</t>
  </si>
  <si>
    <t xml:space="preserve">marijuana </t>
  </si>
  <si>
    <t>weed</t>
  </si>
  <si>
    <t>jail</t>
  </si>
  <si>
    <t>pills</t>
  </si>
  <si>
    <t>narcotics</t>
  </si>
  <si>
    <t>scandal</t>
  </si>
  <si>
    <t>bribed</t>
  </si>
  <si>
    <t>proof</t>
  </si>
  <si>
    <t xml:space="preserve">bribe </t>
  </si>
  <si>
    <t>gutless</t>
  </si>
  <si>
    <t>set up</t>
  </si>
  <si>
    <t>drug dealers</t>
  </si>
  <si>
    <t>idiot</t>
  </si>
  <si>
    <t>Intelligence based</t>
  </si>
  <si>
    <t>dumb</t>
  </si>
  <si>
    <t>stupid</t>
  </si>
  <si>
    <t>dumb mule</t>
  </si>
  <si>
    <t>moron</t>
  </si>
  <si>
    <t>idiots</t>
  </si>
  <si>
    <t>fucked</t>
  </si>
  <si>
    <t>retard</t>
  </si>
  <si>
    <t>retarded</t>
  </si>
  <si>
    <t>nightmare</t>
  </si>
  <si>
    <t>pathetic</t>
  </si>
  <si>
    <t>americans</t>
  </si>
  <si>
    <t xml:space="preserve">big tits </t>
  </si>
  <si>
    <t>af</t>
  </si>
  <si>
    <t>Mercedes Corby</t>
  </si>
  <si>
    <t>Familial based</t>
  </si>
  <si>
    <t>Michael corby</t>
  </si>
  <si>
    <t>sister</t>
  </si>
  <si>
    <t>sisters</t>
  </si>
  <si>
    <t>whole family</t>
  </si>
  <si>
    <t>mercedes</t>
  </si>
  <si>
    <t>corby</t>
  </si>
  <si>
    <t>brother</t>
  </si>
  <si>
    <t>father</t>
  </si>
  <si>
    <t>bogan</t>
  </si>
  <si>
    <t>Class based</t>
  </si>
  <si>
    <t>redneck</t>
  </si>
  <si>
    <t>feral</t>
  </si>
  <si>
    <t>trashy</t>
  </si>
  <si>
    <t>white trash</t>
  </si>
  <si>
    <t xml:space="preserve">trash </t>
  </si>
  <si>
    <t>bitch</t>
  </si>
  <si>
    <t>defensive</t>
  </si>
  <si>
    <t>shitty indonesian criminal justice system</t>
  </si>
  <si>
    <t>Authority based</t>
  </si>
  <si>
    <t>CCP</t>
  </si>
  <si>
    <t>AFP</t>
  </si>
  <si>
    <t>Corrupt</t>
  </si>
  <si>
    <t>disgusting</t>
  </si>
  <si>
    <t>Moral condemnation</t>
  </si>
  <si>
    <t>shameful</t>
  </si>
  <si>
    <t>deserves jail</t>
  </si>
  <si>
    <t>should have stayed in prision</t>
  </si>
  <si>
    <t>guilty liar</t>
  </si>
  <si>
    <t>punished</t>
  </si>
  <si>
    <t>wrongly decided</t>
  </si>
  <si>
    <t>sucks</t>
  </si>
  <si>
    <t>hooker</t>
  </si>
  <si>
    <t>grub</t>
  </si>
  <si>
    <t>self obsessed</t>
  </si>
  <si>
    <t>guilty</t>
  </si>
  <si>
    <t>Legality based</t>
  </si>
  <si>
    <t>guilty af</t>
  </si>
  <si>
    <t>innocent</t>
  </si>
  <si>
    <t>sentenced</t>
  </si>
  <si>
    <t>served</t>
  </si>
  <si>
    <t>verdict</t>
  </si>
  <si>
    <t>arrested</t>
  </si>
  <si>
    <t xml:space="preserve">sentence </t>
  </si>
  <si>
    <t>planted drugs</t>
  </si>
  <si>
    <t>burden of proof</t>
  </si>
  <si>
    <t>reasonable doubt</t>
  </si>
  <si>
    <t>parole</t>
  </si>
  <si>
    <t>Indonesian law</t>
  </si>
  <si>
    <t xml:space="preserve">law </t>
  </si>
  <si>
    <t>legal system</t>
  </si>
  <si>
    <t>convicted</t>
  </si>
  <si>
    <t>accused</t>
  </si>
  <si>
    <t>charged</t>
  </si>
  <si>
    <t>import</t>
  </si>
  <si>
    <t>export</t>
  </si>
  <si>
    <t>locked up</t>
  </si>
  <si>
    <t>schapelle corby, boogie board, bribed, corby</t>
  </si>
  <si>
    <t>schapelle corby, bribed, corby</t>
  </si>
  <si>
    <t>schapelle corby, australian, australia, drug smuggler, corby</t>
  </si>
  <si>
    <t>schapelle corby, media circus, corby</t>
  </si>
  <si>
    <t xml:space="preserve">schapelle corby, australia, jail, af, corby, sentence </t>
  </si>
  <si>
    <t>australia, af, AFP, guilty</t>
  </si>
  <si>
    <t>australia, af, AFP</t>
  </si>
  <si>
    <t xml:space="preserve">jail, bogan, trash </t>
  </si>
  <si>
    <t>indonesia , australia, marijuana , brother, disgusting, guilty</t>
  </si>
  <si>
    <t>dumb, innocent</t>
  </si>
  <si>
    <t xml:space="preserve">australian, australia, criminal, brother, Corrupt, guilty, served, sentence </t>
  </si>
  <si>
    <t>whole family, trashy, guilty</t>
  </si>
  <si>
    <t>boogie board, drugs, bribed, bribe , corby</t>
  </si>
  <si>
    <t>drugs, stupid, import</t>
  </si>
  <si>
    <t xml:space="preserve">af, bogan, redneck, white trash, trash </t>
  </si>
  <si>
    <t>drugs, af, sentenced, arrested, parole</t>
  </si>
  <si>
    <t>af, parole</t>
  </si>
  <si>
    <t>australian, smuggling, australia, drugs, drug trafficking, idiot, stupid, af, innocent, parole</t>
  </si>
  <si>
    <t>schapelle corby, af, corby, parole, convicted</t>
  </si>
  <si>
    <t>schapelle corby, boogie board, australian, indonesia , australia, trafficker, marijuana , jail, af, corby, sentenced</t>
  </si>
  <si>
    <t>schapelle corby, cannabis, smuggling, indonesia , cannabis, af, corby, convicted</t>
  </si>
  <si>
    <t>schapelle corby, boogie board, drugs, marijuana , af, corby, arrested</t>
  </si>
  <si>
    <t>schapelle corby, australian, australia, criminal, marijuana , corby, sentenced, convicted</t>
  </si>
  <si>
    <t>Hate terms categories</t>
  </si>
  <si>
    <t>Frequency of hate</t>
  </si>
  <si>
    <t>Percentage</t>
  </si>
  <si>
    <t>COMMENTS WITH MEAN</t>
  </si>
  <si>
    <t>mean</t>
  </si>
  <si>
    <t>case related</t>
  </si>
  <si>
    <t>crime based</t>
  </si>
  <si>
    <t>intelligence based</t>
  </si>
  <si>
    <t>familial based</t>
  </si>
  <si>
    <t>class based</t>
  </si>
  <si>
    <t>authority based</t>
  </si>
  <si>
    <t>moral condemnation</t>
  </si>
  <si>
    <t>legality based</t>
  </si>
  <si>
    <t>Total comments</t>
  </si>
  <si>
    <t>Category with the most hate comment</t>
  </si>
  <si>
    <t>extracted words</t>
  </si>
  <si>
    <t>total comments with hate</t>
  </si>
  <si>
    <t>schapelle corby, drug smuggler, corby</t>
  </si>
  <si>
    <t>total terms</t>
  </si>
  <si>
    <t>\</t>
  </si>
  <si>
    <t>schapelle corby, sister, sisters, corby, brother</t>
  </si>
  <si>
    <t>check</t>
  </si>
  <si>
    <t>schapelle corby, australian, australia, corby</t>
  </si>
  <si>
    <t>schapelle corby, af, corby</t>
  </si>
  <si>
    <t>schapelle corby, australian, smuggling, conviction, australia, convicted drug smuggler, drug smuggler, corby, conviction, convicted</t>
  </si>
  <si>
    <t>schapelle corby, corby</t>
  </si>
  <si>
    <t>schapelle corby, corby, import</t>
  </si>
  <si>
    <t>schapelle corby, australia, corby</t>
  </si>
  <si>
    <t>schapelle corby, australian, australia, corby, convicted</t>
  </si>
  <si>
    <t>schapelle corby, australian, australia, af, corby, AFP</t>
  </si>
  <si>
    <t>schapelle corby, sister, mercedes, corby</t>
  </si>
  <si>
    <t>schapelle corby, dumb, corby, bogan, innocent</t>
  </si>
  <si>
    <t>bitch, defensive</t>
  </si>
  <si>
    <t>0</t>
  </si>
  <si>
    <t>schapelle corby, drugs, drug trafficking, af, corby, innocent, reasonable doubt</t>
  </si>
  <si>
    <t>schapelle corby, boogie board, corby</t>
  </si>
  <si>
    <t>schapelle corby, corby, bogan</t>
  </si>
  <si>
    <t>schapelle corby, corby, parole</t>
  </si>
  <si>
    <t>schapelle corby, indonesia , corby</t>
  </si>
  <si>
    <t>schapelle corby, convicted drug smuggler, drug smuggler, corby, convicted</t>
  </si>
  <si>
    <t>schapelle corby, jail, corby</t>
  </si>
  <si>
    <t>schapelle corby, australia, af, corby</t>
  </si>
  <si>
    <t>schapelle corby, drug trafficking, af, corby, innocent</t>
  </si>
  <si>
    <t>schapelle corby, conviction, corby, conviction</t>
  </si>
  <si>
    <t>Mercedes Corby, mercedes, corby</t>
  </si>
  <si>
    <t>schapelle corby, indonesia , australia, drug trafficking, af, corby</t>
  </si>
  <si>
    <t>schapelle corby, corby, brother</t>
  </si>
  <si>
    <t>schapelle corby, indonesia , af, corby, parole</t>
  </si>
  <si>
    <t>schapelle corby, australian, australia, jail, corby</t>
  </si>
  <si>
    <t xml:space="preserve">schapelle corby, australia, corby, law </t>
  </si>
  <si>
    <t>schapelle corby, australia, convicted drug smuggler, drug smuggler, corby, convicted</t>
  </si>
  <si>
    <t>schapelle corby, smuggling, australia, corby</t>
  </si>
  <si>
    <t>schapelle corby, drug smuggler, af, corby</t>
  </si>
  <si>
    <t>schapelle corby, corby, innocent</t>
  </si>
  <si>
    <t>schapelle corby, australia, drugs, drug smuggler, corby</t>
  </si>
  <si>
    <t>af, corby, AFP</t>
  </si>
  <si>
    <t>schapelle corby, mercedes, corby</t>
  </si>
  <si>
    <t xml:space="preserve">schapelle corby, corby, law </t>
  </si>
  <si>
    <t>schapelle corby, jail, corby, sentenced</t>
  </si>
  <si>
    <t>australian, australia, af, AFP, guilty</t>
  </si>
  <si>
    <t>criminal, af, AFP, arrested</t>
  </si>
  <si>
    <t>australian, australia</t>
  </si>
  <si>
    <t>guilty, arrested</t>
  </si>
  <si>
    <t>convicted drug smuggler, drug smuggler, convicted</t>
  </si>
  <si>
    <t>australia, bitch, innocent</t>
  </si>
  <si>
    <t>australia, drugs, narcotics, guilty, served, sentence , import</t>
  </si>
  <si>
    <t>cannabis, cannabis</t>
  </si>
  <si>
    <t>drugs, narcotics</t>
  </si>
  <si>
    <t>schapelle corby, australian, australia, drugs, corby, guilty, innocent</t>
  </si>
  <si>
    <t>af, guilty, guilty af</t>
  </si>
  <si>
    <t>dumb, bitch, served</t>
  </si>
  <si>
    <t>smuggling, australia, weed</t>
  </si>
  <si>
    <t>drugs, father</t>
  </si>
  <si>
    <t>drugs, stupid, father, guilty, import, export</t>
  </si>
  <si>
    <t>idiot, guilty</t>
  </si>
  <si>
    <t>australia, corby</t>
  </si>
  <si>
    <t>australian, australia, criminal</t>
  </si>
  <si>
    <t>australia, criminal</t>
  </si>
  <si>
    <t>criminal, af</t>
  </si>
  <si>
    <t>australia, bogan</t>
  </si>
  <si>
    <t>sister, mercedes, bogan</t>
  </si>
  <si>
    <t>af, Mercedes Corby, mercedes, corby</t>
  </si>
  <si>
    <t>af, mercedes, bogan</t>
  </si>
  <si>
    <t>mercedes, sucks</t>
  </si>
  <si>
    <t>af, mercedes</t>
  </si>
  <si>
    <t>guilty, charged</t>
  </si>
  <si>
    <t>brother, guilty</t>
  </si>
  <si>
    <t>sister, bogan</t>
  </si>
  <si>
    <t>australian, indonesia , australia, criminal, possession, marijuana , narcotics, sentence , Indonesian law, law , import, export</t>
  </si>
  <si>
    <t>australian, australia, af</t>
  </si>
  <si>
    <t>schapelle corby, sister, corby, brother</t>
  </si>
  <si>
    <t xml:space="preserve">australia, marijuana , brother, disgusting, served, sentence </t>
  </si>
  <si>
    <t>af, disgusting, served, charged</t>
  </si>
  <si>
    <t>trafficker, af</t>
  </si>
  <si>
    <t>whole family, guilty</t>
  </si>
  <si>
    <t>weed, brother</t>
  </si>
  <si>
    <t>drug dealers, whole family</t>
  </si>
  <si>
    <t>marijuana , brother, father, feral</t>
  </si>
  <si>
    <t>drugs, sister, bogan, parole</t>
  </si>
  <si>
    <t>convicted drug smuggler, drug smuggler, af, convicted</t>
  </si>
  <si>
    <t xml:space="preserve">corby, law </t>
  </si>
  <si>
    <t>bogan, redneck</t>
  </si>
  <si>
    <t>af, Corrupt</t>
  </si>
  <si>
    <t>smuggling, weed, moron, served</t>
  </si>
  <si>
    <t>smuggling, drugs, stupid</t>
  </si>
  <si>
    <t>trafficker, af, AFP</t>
  </si>
  <si>
    <t>af, AFP, arrested</t>
  </si>
  <si>
    <t xml:space="preserve">australian, australia, af, AFP, law </t>
  </si>
  <si>
    <t>australian, australia, criminal, law , import</t>
  </si>
  <si>
    <t>idiot, idiots</t>
  </si>
  <si>
    <t>af, AFP</t>
  </si>
  <si>
    <t>australia, drugs, corby</t>
  </si>
  <si>
    <t>media circus, australia</t>
  </si>
  <si>
    <t>dumb, brother</t>
  </si>
  <si>
    <t>australia, corby, bogan</t>
  </si>
  <si>
    <t>australian, australia, bogan</t>
  </si>
  <si>
    <t>australia, bogan, bitch</t>
  </si>
  <si>
    <t>australia, af</t>
  </si>
  <si>
    <t>australian, smuggling, indonesia , australia, af, corby, parole, convicted</t>
  </si>
  <si>
    <t>indonesia , australia, corby</t>
  </si>
  <si>
    <t>weed, dumb, bitch</t>
  </si>
  <si>
    <t>boogie board, weed</t>
  </si>
  <si>
    <t xml:space="preserve">boogie board, marijuana </t>
  </si>
  <si>
    <t>boogie board, australian, smuggling, australia, drugs, af, sister, sisters, guilty</t>
  </si>
  <si>
    <t xml:space="preserve">possession, corby, guilty, arrested, law </t>
  </si>
  <si>
    <t>schapelle corby, scandal, sister, corby</t>
  </si>
  <si>
    <t>schapelle corby, indonesia , marijuana , af, corby, brother, AFP, arrested</t>
  </si>
  <si>
    <t>schapelle corby, boogie board, australia, marijuana , corby, guilty, import</t>
  </si>
  <si>
    <t>schapelle corby, af, corby, parole</t>
  </si>
  <si>
    <t>schapelle corby, australian, cannabis, smuggling, conviction, australia, criminal, marijuana , cannabis, corby, conviction, convicted, import</t>
  </si>
  <si>
    <t>schapelle corby, australia, marijuana , corby, brother, convicted, import</t>
  </si>
  <si>
    <t>schapelle corby, cannabis, smuggling, drug smuggler, cannabis, scandal, corby, convicted</t>
  </si>
  <si>
    <t>terms</t>
  </si>
  <si>
    <t>median term</t>
  </si>
  <si>
    <t>sentence</t>
  </si>
  <si>
    <t>Not Found</t>
  </si>
  <si>
    <t>Case Related, Crime based, Familial based</t>
  </si>
  <si>
    <t>indonesia</t>
  </si>
  <si>
    <t>Case Related, Familial based</t>
  </si>
  <si>
    <t>FREQUENCY</t>
  </si>
  <si>
    <t>PERCENTAGE</t>
  </si>
  <si>
    <t>Case Related, Intelligence based, Familial based</t>
  </si>
  <si>
    <t>law</t>
  </si>
  <si>
    <t>Case Related, Crime based, Familial based, Legality based</t>
  </si>
  <si>
    <t>Case Related, Familial based, Legality based</t>
  </si>
  <si>
    <t>trash</t>
  </si>
  <si>
    <t>marijuana</t>
  </si>
  <si>
    <t>TOTAL TERMS</t>
  </si>
  <si>
    <t>COUNT</t>
  </si>
  <si>
    <t>TOTAL COMMENTS</t>
  </si>
  <si>
    <t>Case Related, Intelligence based, Familial based, Authority based</t>
  </si>
  <si>
    <t>DISCREPANCIES COMMENTS</t>
  </si>
  <si>
    <t>Case Related, Intelligence based, Familial based, Class based, Legality based</t>
  </si>
  <si>
    <t/>
  </si>
  <si>
    <t>Case Related, Crime based, Intelligence based, Familial based, Legality based</t>
  </si>
  <si>
    <t>bribe</t>
  </si>
  <si>
    <t>Case Related, Familial based, Class based</t>
  </si>
  <si>
    <t>Case Related, Crime based, Intelligence based, Familial based</t>
  </si>
  <si>
    <t>Case Related, Intelligence based, Familial based, Legality based</t>
  </si>
  <si>
    <t>Intelligence based, Familial based, Authority based</t>
  </si>
  <si>
    <t>Case Related, Intelligence based, Authority based, Legality based</t>
  </si>
  <si>
    <t>Crime based, Intelligence based, Authority based, Legality based</t>
  </si>
  <si>
    <t>Case Related, Intelligence based, Authority based</t>
  </si>
  <si>
    <t>Crime based, Legality based</t>
  </si>
  <si>
    <t>Crime based, Class based</t>
  </si>
  <si>
    <t>Case Related, Class based, Legality based</t>
  </si>
  <si>
    <t>Case Related, Crime based, Legality based</t>
  </si>
  <si>
    <t>Case Related, Crime based</t>
  </si>
  <si>
    <t>Intelligence based, Legality based</t>
  </si>
  <si>
    <t>Intelligence based, Class based, Legality based</t>
  </si>
  <si>
    <t>Crime based, Familial based</t>
  </si>
  <si>
    <t>Crime based, Intelligence based, Familial based, Legality based</t>
  </si>
  <si>
    <t>Crime based, Intelligence based</t>
  </si>
  <si>
    <t>Case Related, Class based</t>
  </si>
  <si>
    <t>Case Related, Crime based, Familial based, Moral condemnation, Legality based</t>
  </si>
  <si>
    <t>Familial based, Class based</t>
  </si>
  <si>
    <t>Intelligence based, Familial based</t>
  </si>
  <si>
    <t>Intelligence based, Familial based, Class based</t>
  </si>
  <si>
    <t>Familial based, Moral condemnation</t>
  </si>
  <si>
    <t>Familial based, Legality based</t>
  </si>
  <si>
    <t>Case Related, Crime based, Familial based, Authority based, Legality based</t>
  </si>
  <si>
    <t>Case Related, Intelligence based</t>
  </si>
  <si>
    <t>Familial based, Class based, Legality based</t>
  </si>
  <si>
    <t>Intelligence based, Moral condemnation, Legality based</t>
  </si>
  <si>
    <t>Crime based, Familial based, Class based</t>
  </si>
  <si>
    <t>Crime based, Familial based, Class based, Legality based</t>
  </si>
  <si>
    <t>Crime based, Intelligence based, Legality based</t>
  </si>
  <si>
    <t>Intelligence based, Authority based</t>
  </si>
  <si>
    <t>Case Related, Crime based, Intelligence based, Legality based</t>
  </si>
  <si>
    <t>Case Related, Crime based, Intelligence based</t>
  </si>
  <si>
    <t>Crime based, Intelligence based, Authority based</t>
  </si>
  <si>
    <t>Intelligence based, Authority based, Legality based</t>
  </si>
  <si>
    <t>Intelligence based, Class based</t>
  </si>
  <si>
    <t>Crime based, Intelligence based, Class based</t>
  </si>
  <si>
    <t>Crime based, Familial based, Legality based</t>
  </si>
  <si>
    <t>Case Related, Crime based, Intelligence based, Familial based, Authority based, Legality based</t>
  </si>
  <si>
    <t>Count of categories</t>
  </si>
  <si>
    <t>Count of categories2</t>
  </si>
  <si>
    <t>Grand Total</t>
  </si>
  <si>
    <t>Average of median term</t>
  </si>
  <si>
    <t>Count of median term</t>
  </si>
  <si>
    <t>Count of terms</t>
  </si>
  <si>
    <t>Authority based Total</t>
  </si>
  <si>
    <t>Case Related Total</t>
  </si>
  <si>
    <t>Class based Total</t>
  </si>
  <si>
    <t>crime based Total</t>
  </si>
  <si>
    <t>Familial based Total</t>
  </si>
  <si>
    <t>Intelligence based Total</t>
  </si>
  <si>
    <t>Legality based Total</t>
  </si>
  <si>
    <t>Moral condemnation Total</t>
  </si>
  <si>
    <t>Average of Media Hate Value</t>
  </si>
  <si>
    <t>Totals</t>
  </si>
  <si>
    <t xml:space="preserve">authority </t>
  </si>
  <si>
    <t>case</t>
  </si>
  <si>
    <t>class</t>
  </si>
  <si>
    <t>crime</t>
  </si>
  <si>
    <t>familial</t>
  </si>
  <si>
    <t>intelligence</t>
  </si>
  <si>
    <t>legality</t>
  </si>
  <si>
    <t>moral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</si>
</sst>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4">
    <font>
      <sz val="11"/>
      <color theme="1"/>
      <name val="Aptos Narrow"/>
      <family val="2"/>
      <scheme val="minor"/>
    </font>
    <font>
      <sz val="11"/>
      <color rgb="FF000000"/>
      <name val="Calibri"/>
      <family val="2"/>
    </font>
    <font>
      <sz val="11"/>
      <color rgb="FF242424"/>
      <name val="Aptos Narrow"/>
      <charset val="1"/>
    </font>
    <font>
      <sz val="11"/>
      <color rgb="FF000000"/>
      <name val="Calibri"/>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64" fontId="0" fillId="0" borderId="0" xfId="0" applyNumberFormat="1"/>
    <xf numFmtId="2" fontId="0" fillId="0" borderId="0" xfId="0" applyNumberFormat="1"/>
    <xf numFmtId="0" fontId="1" fillId="0" borderId="0" xfId="0" applyFont="1" applyAlignment="1">
      <alignment wrapText="1"/>
    </xf>
    <xf numFmtId="0" fontId="2" fillId="0" borderId="0" xfId="0" applyFont="1"/>
    <xf numFmtId="0" fontId="0" fillId="0" borderId="0" xfId="0" applyAlignment="1">
      <alignment wrapText="1"/>
    </xf>
    <xf numFmtId="165" fontId="0" fillId="0" borderId="0" xfId="0" applyNumberFormat="1"/>
    <xf numFmtId="1" fontId="0" fillId="0" borderId="0" xfId="0" applyNumberFormat="1"/>
    <xf numFmtId="0" fontId="0" fillId="2" borderId="0" xfId="0" applyFill="1"/>
    <xf numFmtId="0" fontId="1" fillId="2" borderId="0" xfId="0" applyFont="1" applyFill="1"/>
    <xf numFmtId="0" fontId="1" fillId="3" borderId="0" xfId="0" applyFont="1" applyFill="1"/>
    <xf numFmtId="0" fontId="0" fillId="4" borderId="0" xfId="0" applyFill="1" applyAlignment="1">
      <alignment wrapText="1"/>
    </xf>
    <xf numFmtId="0" fontId="0" fillId="0" borderId="0" xfId="0" pivotButton="1"/>
    <xf numFmtId="10"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comments'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graph!F23</c:f>
              <c:strCache>
                <c:ptCount val="1"/>
                <c:pt idx="0">
                  <c:v>Frequency of hate</c:v>
                </c:pt>
              </c:strCache>
            </c:strRef>
          </c:tx>
          <c:spPr>
            <a:solidFill>
              <a:schemeClr val="accent1"/>
            </a:solidFill>
            <a:ln>
              <a:noFill/>
            </a:ln>
            <a:effectLst/>
          </c:spPr>
          <c:invertIfNegative val="0"/>
          <c:cat>
            <c:strRef>
              <c:f>graph!$E$24:$E$31</c:f>
              <c:strCache>
                <c:ptCount val="8"/>
                <c:pt idx="0">
                  <c:v>mean_familial_based</c:v>
                </c:pt>
                <c:pt idx="1">
                  <c:v>mean_legality_based</c:v>
                </c:pt>
                <c:pt idx="2">
                  <c:v>mean_case_related</c:v>
                </c:pt>
                <c:pt idx="3">
                  <c:v>mean_authority_based</c:v>
                </c:pt>
                <c:pt idx="4">
                  <c:v>mean_moral_condemnation</c:v>
                </c:pt>
                <c:pt idx="5">
                  <c:v>mean_class_based</c:v>
                </c:pt>
                <c:pt idx="6">
                  <c:v>mean_crime_based</c:v>
                </c:pt>
                <c:pt idx="7">
                  <c:v>mean_intelligence_based</c:v>
                </c:pt>
              </c:strCache>
            </c:strRef>
          </c:cat>
          <c:val>
            <c:numRef>
              <c:f>graph!$F$24:$F$31</c:f>
              <c:numCache>
                <c:formatCode>General</c:formatCode>
                <c:ptCount val="8"/>
                <c:pt idx="0">
                  <c:v>0</c:v>
                </c:pt>
                <c:pt idx="1">
                  <c:v>1</c:v>
                </c:pt>
                <c:pt idx="2">
                  <c:v>2</c:v>
                </c:pt>
                <c:pt idx="3">
                  <c:v>2</c:v>
                </c:pt>
                <c:pt idx="4">
                  <c:v>4</c:v>
                </c:pt>
                <c:pt idx="5">
                  <c:v>29</c:v>
                </c:pt>
                <c:pt idx="6">
                  <c:v>45</c:v>
                </c:pt>
                <c:pt idx="7">
                  <c:v>78</c:v>
                </c:pt>
              </c:numCache>
            </c:numRef>
          </c:val>
          <c:extLst>
            <c:ext xmlns:c16="http://schemas.microsoft.com/office/drawing/2014/chart" uri="{C3380CC4-5D6E-409C-BE32-E72D297353CC}">
              <c16:uniqueId val="{7D826719-2A0F-441B-9F5A-C7A09E644319}"/>
            </c:ext>
          </c:extLst>
        </c:ser>
        <c:dLbls>
          <c:showLegendKey val="0"/>
          <c:showVal val="0"/>
          <c:showCatName val="0"/>
          <c:showSerName val="0"/>
          <c:showPercent val="0"/>
          <c:showBubbleSize val="0"/>
        </c:dLbls>
        <c:gapWidth val="33"/>
        <c:overlap val="-30"/>
        <c:axId val="1494190088"/>
        <c:axId val="1494196232"/>
      </c:barChart>
      <c:catAx>
        <c:axId val="1494190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Hate terms 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96232"/>
        <c:crosses val="autoZero"/>
        <c:auto val="1"/>
        <c:lblAlgn val="ctr"/>
        <c:lblOffset val="100"/>
        <c:noMultiLvlLbl val="0"/>
      </c:catAx>
      <c:valAx>
        <c:axId val="1494196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comments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90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graph!T1</c:f>
              <c:strCache>
                <c:ptCount val="1"/>
                <c:pt idx="0">
                  <c:v>mean</c:v>
                </c:pt>
              </c:strCache>
            </c:strRef>
          </c:tx>
          <c:spPr>
            <a:solidFill>
              <a:schemeClr val="accent1"/>
            </a:solidFill>
            <a:ln>
              <a:noFill/>
            </a:ln>
            <a:effectLst/>
          </c:spPr>
          <c:invertIfNegative val="0"/>
          <c:cat>
            <c:strRef>
              <c:f>graph!$S$2:$S$9</c:f>
              <c:strCache>
                <c:ptCount val="8"/>
                <c:pt idx="0">
                  <c:v>mean_familial_based</c:v>
                </c:pt>
                <c:pt idx="1">
                  <c:v>mean_legality_based</c:v>
                </c:pt>
                <c:pt idx="2">
                  <c:v>mean_case_related</c:v>
                </c:pt>
                <c:pt idx="3">
                  <c:v>mean_authority_based</c:v>
                </c:pt>
                <c:pt idx="4">
                  <c:v>mean_moral_condemnation</c:v>
                </c:pt>
                <c:pt idx="5">
                  <c:v>mean_class_based</c:v>
                </c:pt>
                <c:pt idx="6">
                  <c:v>mean_crime_based</c:v>
                </c:pt>
                <c:pt idx="7">
                  <c:v>mean_intelligence_based</c:v>
                </c:pt>
              </c:strCache>
            </c:strRef>
          </c:cat>
          <c:val>
            <c:numRef>
              <c:f>graph!$T$2:$T$9</c:f>
              <c:numCache>
                <c:formatCode>General</c:formatCode>
                <c:ptCount val="8"/>
                <c:pt idx="0">
                  <c:v>0</c:v>
                </c:pt>
                <c:pt idx="1">
                  <c:v>1.0080645161290322E-3</c:v>
                </c:pt>
                <c:pt idx="2">
                  <c:v>2.0161290322580645E-3</c:v>
                </c:pt>
                <c:pt idx="3">
                  <c:v>8.0645161290322578E-3</c:v>
                </c:pt>
                <c:pt idx="4">
                  <c:v>2.2177419354838711E-2</c:v>
                </c:pt>
                <c:pt idx="5">
                  <c:v>0.17943548387096775</c:v>
                </c:pt>
                <c:pt idx="6">
                  <c:v>7.5772849461693548E-2</c:v>
                </c:pt>
                <c:pt idx="7">
                  <c:v>0.24059139784879033</c:v>
                </c:pt>
              </c:numCache>
            </c:numRef>
          </c:val>
          <c:extLst>
            <c:ext xmlns:c16="http://schemas.microsoft.com/office/drawing/2014/chart" uri="{C3380CC4-5D6E-409C-BE32-E72D297353CC}">
              <c16:uniqueId val="{99F9EACE-6352-4EB3-A2B7-7E818A2F2847}"/>
            </c:ext>
          </c:extLst>
        </c:ser>
        <c:dLbls>
          <c:showLegendKey val="0"/>
          <c:showVal val="0"/>
          <c:showCatName val="0"/>
          <c:showSerName val="0"/>
          <c:showPercent val="0"/>
          <c:showBubbleSize val="0"/>
        </c:dLbls>
        <c:gapWidth val="33"/>
        <c:overlap val="-30"/>
        <c:axId val="848903"/>
        <c:axId val="5166599"/>
      </c:barChart>
      <c:catAx>
        <c:axId val="848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599"/>
        <c:crosses val="autoZero"/>
        <c:auto val="1"/>
        <c:lblAlgn val="ctr"/>
        <c:lblOffset val="100"/>
        <c:noMultiLvlLbl val="0"/>
      </c:catAx>
      <c:valAx>
        <c:axId val="5166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median term'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Sheet5!B39</c:f>
              <c:strCache>
                <c:ptCount val="1"/>
                <c:pt idx="0">
                  <c:v>Average of median term</c:v>
                </c:pt>
              </c:strCache>
            </c:strRef>
          </c:tx>
          <c:spPr>
            <a:solidFill>
              <a:schemeClr val="accent1"/>
            </a:solidFill>
            <a:ln>
              <a:noFill/>
            </a:ln>
            <a:effectLst/>
          </c:spPr>
          <c:invertIfNegative val="0"/>
          <c:cat>
            <c:strRef>
              <c:f>Sheet5!$A$40:$A$47</c:f>
              <c:strCache>
                <c:ptCount val="8"/>
                <c:pt idx="0">
                  <c:v>Case Related</c:v>
                </c:pt>
                <c:pt idx="1">
                  <c:v>Familial based</c:v>
                </c:pt>
                <c:pt idx="2">
                  <c:v>Legality based</c:v>
                </c:pt>
                <c:pt idx="3">
                  <c:v>Authority based</c:v>
                </c:pt>
                <c:pt idx="4">
                  <c:v>Crime based</c:v>
                </c:pt>
                <c:pt idx="5">
                  <c:v>Intelligence based</c:v>
                </c:pt>
                <c:pt idx="6">
                  <c:v>Moral condemnation</c:v>
                </c:pt>
                <c:pt idx="7">
                  <c:v>Class based</c:v>
                </c:pt>
              </c:strCache>
            </c:strRef>
          </c:cat>
          <c:val>
            <c:numRef>
              <c:f>Sheet5!$B$40:$B$47</c:f>
              <c:numCache>
                <c:formatCode>General</c:formatCode>
                <c:ptCount val="8"/>
                <c:pt idx="0">
                  <c:v>0</c:v>
                </c:pt>
                <c:pt idx="1">
                  <c:v>0</c:v>
                </c:pt>
                <c:pt idx="2">
                  <c:v>8.9285714285714281E-3</c:v>
                </c:pt>
                <c:pt idx="3">
                  <c:v>0.2857142857142857</c:v>
                </c:pt>
                <c:pt idx="4">
                  <c:v>0.45945945945945948</c:v>
                </c:pt>
                <c:pt idx="5">
                  <c:v>1.5679012345679013</c:v>
                </c:pt>
                <c:pt idx="6">
                  <c:v>2.75</c:v>
                </c:pt>
                <c:pt idx="7">
                  <c:v>3.0833333333333335</c:v>
                </c:pt>
              </c:numCache>
            </c:numRef>
          </c:val>
          <c:extLst>
            <c:ext xmlns:c16="http://schemas.microsoft.com/office/drawing/2014/chart" uri="{C3380CC4-5D6E-409C-BE32-E72D297353CC}">
              <c16:uniqueId val="{5F2446B6-429A-42BF-AC5A-E410B5FE1BF9}"/>
            </c:ext>
          </c:extLst>
        </c:ser>
        <c:dLbls>
          <c:showLegendKey val="0"/>
          <c:showVal val="0"/>
          <c:showCatName val="0"/>
          <c:showSerName val="0"/>
          <c:showPercent val="0"/>
          <c:showBubbleSize val="0"/>
        </c:dLbls>
        <c:gapWidth val="33"/>
        <c:overlap val="-30"/>
        <c:axId val="202247"/>
        <c:axId val="204295"/>
      </c:barChart>
      <c:catAx>
        <c:axId val="202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95"/>
        <c:crosses val="autoZero"/>
        <c:auto val="1"/>
        <c:lblAlgn val="ctr"/>
        <c:lblOffset val="100"/>
        <c:noMultiLvlLbl val="0"/>
      </c:catAx>
      <c:valAx>
        <c:axId val="204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of median term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 Hate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[1]Sheet2!$B$2</c:f>
              <c:strCache>
                <c:ptCount val="1"/>
              </c:strCache>
            </c:strRef>
          </c:tx>
          <c:spPr>
            <a:solidFill>
              <a:schemeClr val="accent1"/>
            </a:solidFill>
            <a:ln>
              <a:noFill/>
            </a:ln>
            <a:effectLst/>
          </c:spPr>
          <c:invertIfNegative val="0"/>
          <c:cat>
            <c:strLit>
              <c:ptCount val="8"/>
              <c:pt idx="0">
                <c:v>Class based</c:v>
              </c:pt>
              <c:pt idx="1">
                <c:v>Intelligence based</c:v>
              </c:pt>
              <c:pt idx="2">
                <c:v>Moral condemnation</c:v>
              </c:pt>
              <c:pt idx="3">
                <c:v>Authority based</c:v>
              </c:pt>
              <c:pt idx="4">
                <c:v>Crime based</c:v>
              </c:pt>
              <c:pt idx="5">
                <c:v>Case Related</c:v>
              </c:pt>
              <c:pt idx="6">
                <c:v>Legality based</c:v>
              </c:pt>
              <c:pt idx="7">
                <c:v>Familial based</c:v>
              </c:pt>
            </c:strLit>
          </c:cat>
          <c:val>
            <c:numLit>
              <c:formatCode>General</c:formatCode>
              <c:ptCount val="8"/>
              <c:pt idx="0">
                <c:v>3.25</c:v>
              </c:pt>
              <c:pt idx="1">
                <c:v>2.5714285714285716</c:v>
              </c:pt>
              <c:pt idx="2">
                <c:v>2.3636363636363638</c:v>
              </c:pt>
              <c:pt idx="3">
                <c:v>1.25</c:v>
              </c:pt>
              <c:pt idx="4">
                <c:v>0.59090909090909094</c:v>
              </c:pt>
              <c:pt idx="5">
                <c:v>0.1</c:v>
              </c:pt>
              <c:pt idx="6">
                <c:v>9.0909090909090912E-2</c:v>
              </c:pt>
              <c:pt idx="7">
                <c:v>0</c:v>
              </c:pt>
            </c:numLit>
          </c:val>
          <c:extLst>
            <c:ext xmlns:c16="http://schemas.microsoft.com/office/drawing/2014/chart" uri="{C3380CC4-5D6E-409C-BE32-E72D297353CC}">
              <c16:uniqueId val="{00000000-195E-4671-B2D4-5A4EB5A31169}"/>
            </c:ext>
          </c:extLst>
        </c:ser>
        <c:dLbls>
          <c:showLegendKey val="0"/>
          <c:showVal val="0"/>
          <c:showCatName val="0"/>
          <c:showSerName val="0"/>
          <c:showPercent val="0"/>
          <c:showBubbleSize val="0"/>
        </c:dLbls>
        <c:gapWidth val="33"/>
        <c:overlap val="-30"/>
        <c:axId val="1226176520"/>
        <c:axId val="1647251464"/>
      </c:barChart>
      <c:catAx>
        <c:axId val="1226176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51464"/>
        <c:crosses val="autoZero"/>
        <c:auto val="1"/>
        <c:lblAlgn val="ctr"/>
        <c:lblOffset val="100"/>
        <c:noMultiLvlLbl val="0"/>
      </c:catAx>
      <c:valAx>
        <c:axId val="1647251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 Hate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76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542925</xdr:colOff>
      <xdr:row>25</xdr:row>
      <xdr:rowOff>152400</xdr:rowOff>
    </xdr:from>
    <xdr:to>
      <xdr:col>23</xdr:col>
      <xdr:colOff>209550</xdr:colOff>
      <xdr:row>46</xdr:row>
      <xdr:rowOff>142875</xdr:rowOff>
    </xdr:to>
    <xdr:graphicFrame macro="">
      <xdr:nvGraphicFramePr>
        <xdr:cNvPr id="2" name="Chart 1" descr="Chart type: Clustered Column. 'Number of comments'&#10;&#10;Description automatically generated">
          <a:extLst>
            <a:ext uri="{FF2B5EF4-FFF2-40B4-BE49-F238E27FC236}">
              <a16:creationId xmlns:a16="http://schemas.microsoft.com/office/drawing/2014/main" id="{944CFEBC-11D4-B67C-67D6-F381CB7AB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495300</xdr:colOff>
      <xdr:row>9</xdr:row>
      <xdr:rowOff>142875</xdr:rowOff>
    </xdr:from>
    <xdr:to>
      <xdr:col>21</xdr:col>
      <xdr:colOff>295275</xdr:colOff>
      <xdr:row>24</xdr:row>
      <xdr:rowOff>28575</xdr:rowOff>
    </xdr:to>
    <xdr:graphicFrame macro="">
      <xdr:nvGraphicFramePr>
        <xdr:cNvPr id="5" name="Chart 4" descr="Chart type: Clustered Column. 'mean'&#10;&#10;Description automatically generated">
          <a:extLst>
            <a:ext uri="{FF2B5EF4-FFF2-40B4-BE49-F238E27FC236}">
              <a16:creationId xmlns:a16="http://schemas.microsoft.com/office/drawing/2014/main" id="{DB6D29E0-5A90-42A0-E2D0-802EBC525B06}"/>
            </a:ext>
            <a:ext uri="{147F2762-F138-4A5C-976F-8EAC2B608ADB}">
              <a16:predDERef xmlns:a16="http://schemas.microsoft.com/office/drawing/2014/main" pred="{944CFEBC-11D4-B67C-67D6-F381CB7AB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38</xdr:row>
      <xdr:rowOff>142875</xdr:rowOff>
    </xdr:from>
    <xdr:to>
      <xdr:col>5</xdr:col>
      <xdr:colOff>1447800</xdr:colOff>
      <xdr:row>55</xdr:row>
      <xdr:rowOff>152400</xdr:rowOff>
    </xdr:to>
    <xdr:graphicFrame macro="">
      <xdr:nvGraphicFramePr>
        <xdr:cNvPr id="2" name="Chart 1" descr="Chart type: Clustered Column. 'Average of median term'&#10;&#10;Description automatically generated">
          <a:extLst>
            <a:ext uri="{FF2B5EF4-FFF2-40B4-BE49-F238E27FC236}">
              <a16:creationId xmlns:a16="http://schemas.microsoft.com/office/drawing/2014/main" id="{E76D1F79-7DE4-0640-272F-32B3671BB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76200</xdr:rowOff>
    </xdr:to>
    <xdr:graphicFrame macro="">
      <xdr:nvGraphicFramePr>
        <xdr:cNvPr id="2" name="Chart 1" descr="Chart type: Clustered Bar. 'Media Hate Value' by 'category'&#10;&#10;Description automatically generated">
          <a:extLst>
            <a:ext uri="{FF2B5EF4-FFF2-40B4-BE49-F238E27FC236}">
              <a16:creationId xmlns:a16="http://schemas.microsoft.com/office/drawing/2014/main" id="{11506A4E-A065-44D4-A34B-DCC88A9B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boo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1.562432638886" createdVersion="8" refreshedVersion="8" minRefreshableVersion="3" recordCount="918" xr:uid="{0110C8A0-6F57-4A09-B1F8-EBC9776FC6B2}">
  <cacheSource type="worksheet">
    <worksheetSource ref="V1:W918" sheet="CANVA"/>
  </cacheSource>
  <cacheFields count="2">
    <cacheField name="terms" numFmtId="0">
      <sharedItems/>
    </cacheField>
    <cacheField name="categories" numFmtId="0">
      <sharedItems count="9">
        <s v="Authority based"/>
        <s v="Case Related"/>
        <s v="categories"/>
        <s v="Class based"/>
        <s v="Crime based"/>
        <s v="Familial based"/>
        <s v="Intelligence based"/>
        <s v="Legality based"/>
        <s v="Moral condemna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1.833370486114" createdVersion="8" refreshedVersion="8" minRefreshableVersion="3" recordCount="918" xr:uid="{B14EB8F9-CB36-4D1F-B652-D5F19BF45DAB}">
  <cacheSource type="worksheet">
    <worksheetSource ref="C6:F924" sheet="Detail1"/>
  </cacheSource>
  <cacheFields count="4">
    <cacheField name="terms" numFmtId="0">
      <sharedItems count="69">
        <s v="AFP"/>
        <s v="Corrupt"/>
        <s v="schapelle corby"/>
        <s v="australian"/>
        <s v="australia"/>
        <s v="smuggling"/>
        <s v="conviction"/>
        <s v="boogie board"/>
        <s v="media circus"/>
        <s v="cannabis"/>
        <s v="indonesia"/>
        <s v="terms"/>
        <s v="bogan"/>
        <s v="bitch"/>
        <s v="defensive"/>
        <s v="trashy"/>
        <s v="feral"/>
        <s v="redneck"/>
        <s v="white trash"/>
        <s v="trash"/>
        <s v="drug smuggler"/>
        <s v="convicted drug smuggler"/>
        <s v="bribed"/>
        <s v="drugs"/>
        <s v="drug trafficking"/>
        <s v="jail"/>
        <s v="criminal"/>
        <s v="narcotics"/>
        <s v="weed"/>
        <s v="possession"/>
        <s v="trafficker"/>
        <s v="drug dealers"/>
        <s v="set up"/>
        <s v="proof"/>
        <s v="scandal"/>
        <s v="marijuana"/>
        <s v="bribe"/>
        <s v="corby"/>
        <s v="sister"/>
        <s v="sisters"/>
        <s v="brother"/>
        <s v="mercedes"/>
        <s v="Mercedes Corby"/>
        <s v="father"/>
        <s v="whole family"/>
        <s v="af"/>
        <s v="dumb"/>
        <s v="stupid"/>
        <s v="idiot"/>
        <s v="moron"/>
        <s v="idiots"/>
        <s v="fucked"/>
        <s v="convicted"/>
        <s v="import"/>
        <s v="innocent"/>
        <s v="reasonable doubt"/>
        <s v="parole"/>
        <s v="sentenced"/>
        <s v="guilty"/>
        <s v="arrested"/>
        <s v="served"/>
        <s v="guilty af"/>
        <s v="export"/>
        <s v="charged"/>
        <s v="Indonesian law"/>
        <s v="sentence"/>
        <s v="law"/>
        <s v="disgusting"/>
        <s v="sucks"/>
      </sharedItems>
    </cacheField>
    <cacheField name="categories" numFmtId="0">
      <sharedItems count="9">
        <s v="Authority based"/>
        <s v="Case Related"/>
        <s v="categories"/>
        <s v="Class based"/>
        <s v="Crime based"/>
        <s v="Familial based"/>
        <s v="Intelligence based"/>
        <s v="Legality based"/>
        <s v="Moral condemnation"/>
      </sharedItems>
    </cacheField>
    <cacheField name="Field3" numFmtId="0">
      <sharedItems containsNonDate="0" containsString="0" containsBlank="1" count="1">
        <m/>
      </sharedItems>
    </cacheField>
    <cacheField name="median term"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1.843890046293" createdVersion="8" refreshedVersion="8" minRefreshableVersion="3" recordCount="918" xr:uid="{EF5A2F96-D6EE-40A1-BA0F-CB211D165990}">
  <cacheSource type="worksheet">
    <worksheetSource ref="V1:X919" sheet="CANVA"/>
  </cacheSource>
  <cacheFields count="3">
    <cacheField name="terms" numFmtId="0">
      <sharedItems/>
    </cacheField>
    <cacheField name="categories" numFmtId="0">
      <sharedItems count="9">
        <s v="Authority based"/>
        <s v="Case Related"/>
        <s v="categories"/>
        <s v="Class based"/>
        <s v="Crime based"/>
        <s v="Familial based"/>
        <s v="Intelligence based"/>
        <s v="Legality based"/>
        <s v="Moral condemnation"/>
      </sharedItems>
    </cacheField>
    <cacheField name="median term"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3.606328819442" createdVersion="8" refreshedVersion="8" minRefreshableVersion="3" recordCount="512" xr:uid="{DA5C46C5-71FE-4506-8BF7-7FD17CCBAEA1}">
  <cacheSource type="worksheet">
    <worksheetSource ref="AO1:AO1048576" sheet="CANVA"/>
  </cacheSource>
  <cacheFields count="1">
    <cacheField name="categories" numFmtId="0">
      <sharedItems containsBlank="1" count="56">
        <s v="Case Related, Crime based, Familial based"/>
        <s v="Case Related, Familial based"/>
        <s v="Case Related, Intelligence based, Familial based"/>
        <s v="Case Related, Crime based, Familial based, Legality based"/>
        <s v="Case Related, Familial based, Legality based"/>
        <s v="Legality based"/>
        <s v="Case Related, Intelligence based, Familial based, Authority based"/>
        <s v="Case Related, Intelligence based, Familial based, Class based, Legality based"/>
        <s v=""/>
        <s v="Class based"/>
        <s v="Case Related, Crime based, Intelligence based, Familial based, Legality based"/>
        <s v="Case Related, Familial based, Class based"/>
        <s v="Familial based"/>
        <s v="Case Related, Crime based, Intelligence based, Familial based"/>
        <s v="Case Related, Intelligence based, Familial based, Legality based"/>
        <s v="Intelligence based, Familial based, Authority based"/>
        <s v="Intelligence based"/>
        <s v="Case Related, Intelligence based, Authority based, Legality based"/>
        <s v="Crime based, Intelligence based, Authority based, Legality based"/>
        <s v="Case Related, Intelligence based, Authority based"/>
        <s v="Crime based"/>
        <s v="Case Related"/>
        <s v="Crime based, Legality based"/>
        <s v="Crime based, Class based"/>
        <s v="Case Related, Class based, Legality based"/>
        <s v="Case Related, Crime based, Legality based"/>
        <s v="Case Related, Crime based"/>
        <s v="Intelligence based, Legality based"/>
        <s v="Intelligence based, Class based, Legality based"/>
        <s v="Crime based, Familial based"/>
        <s v="Crime based, Intelligence based, Familial based, Legality based"/>
        <s v="Crime based, Intelligence based"/>
        <s v="Case Related, Class based"/>
        <s v="Case Related, Crime based, Familial based, Moral condemnation, Legality based"/>
        <s v="Familial based, Class based"/>
        <s v="Intelligence based, Familial based"/>
        <s v="Intelligence based, Familial based, Class based"/>
        <s v="Familial based, Moral condemnation"/>
        <s v="Familial based, Legality based"/>
        <s v="Case Related, Crime based, Familial based, Authority based, Legality based"/>
        <s v="Case Related, Intelligence based"/>
        <s v="Familial based, Class based, Legality based"/>
        <s v="Intelligence based, Moral condemnation, Legality based"/>
        <s v="Crime based, Familial based, Class based"/>
        <s v="Crime based, Familial based, Class based, Legality based"/>
        <s v="Crime based, Intelligence based, Legality based"/>
        <s v="Intelligence based, Authority based"/>
        <s v="Case Related, Crime based, Intelligence based, Legality based"/>
        <s v="Case Related, Crime based, Intelligence based"/>
        <s v="Crime based, Intelligence based, Authority based"/>
        <s v="Intelligence based, Authority based, Legality based"/>
        <s v="Intelligence based, Class based"/>
        <s v="Crime based, Intelligence based, Class based"/>
        <s v="Crime based, Familial based, Legality based"/>
        <s v="Case Related, Crime based, Intelligence based, Familial based, Authority based, Legality based"/>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3.884278472222" createdVersion="8" refreshedVersion="8" minRefreshableVersion="3" recordCount="917" xr:uid="{224FAC00-4DCC-4EBC-AA7F-B954E62DB288}">
  <cacheSource type="worksheet">
    <worksheetSource ref="V1:X918" sheet="CANVA"/>
  </cacheSource>
  <cacheFields count="3">
    <cacheField name="terms" numFmtId="0">
      <sharedItems count="68">
        <s v="AFP"/>
        <s v="Corrupt"/>
        <s v="australia"/>
        <s v="australian"/>
        <s v="boogie board"/>
        <s v="cannabis"/>
        <s v="conviction"/>
        <s v="indonesia"/>
        <s v="media circus"/>
        <s v="schapelle corby"/>
        <s v="smuggling"/>
        <s v="bitch"/>
        <s v="bogan"/>
        <s v="defensive"/>
        <s v="feral"/>
        <s v="redneck"/>
        <s v="trash"/>
        <s v="trashy"/>
        <s v="white trash"/>
        <s v="bribe"/>
        <s v="bribed"/>
        <s v="convicted drug smuggler"/>
        <s v="criminal"/>
        <s v="drug dealers"/>
        <s v="drug smuggler"/>
        <s v="drug trafficking"/>
        <s v="drugs"/>
        <s v="jail"/>
        <s v="marijuana"/>
        <s v="narcotics"/>
        <s v="possession"/>
        <s v="proof"/>
        <s v="scandal"/>
        <s v="set up"/>
        <s v="trafficker"/>
        <s v="weed"/>
        <s v="brother"/>
        <s v="corby"/>
        <s v="father"/>
        <s v="mercedes"/>
        <s v="Mercedes Corby"/>
        <s v="sister"/>
        <s v="sisters"/>
        <s v="whole family"/>
        <s v="af"/>
        <s v="dumb"/>
        <s v="fucked"/>
        <s v="idiot"/>
        <s v="idiots"/>
        <s v="moron"/>
        <s v="stupid"/>
        <s v="arrested"/>
        <s v="charged"/>
        <s v="convicted"/>
        <s v="export"/>
        <s v="guilty"/>
        <s v="guilty af"/>
        <s v="import"/>
        <s v="Indonesian law"/>
        <s v="innocent"/>
        <s v="law"/>
        <s v="parole"/>
        <s v="reasonable doubt"/>
        <s v="sentence"/>
        <s v="sentenced"/>
        <s v="served"/>
        <s v="disgusting"/>
        <s v="sucks"/>
      </sharedItems>
    </cacheField>
    <cacheField name="categories" numFmtId="0">
      <sharedItems count="8">
        <s v="Authority based"/>
        <s v="Case Related"/>
        <s v="Class based"/>
        <s v="crime based"/>
        <s v="Familial based"/>
        <s v="Intelligence based"/>
        <s v="Legality based"/>
        <s v="Moral condemnation"/>
      </sharedItems>
    </cacheField>
    <cacheField name="median term"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s v="AFP"/>
    <x v="0"/>
  </r>
  <r>
    <s v="AFP"/>
    <x v="0"/>
  </r>
  <r>
    <s v="AFP"/>
    <x v="0"/>
  </r>
  <r>
    <s v="AFP"/>
    <x v="0"/>
  </r>
  <r>
    <s v="AFP"/>
    <x v="0"/>
  </r>
  <r>
    <s v="AFP"/>
    <x v="0"/>
  </r>
  <r>
    <s v="Corrupt"/>
    <x v="0"/>
  </r>
  <r>
    <s v="Corrupt"/>
    <x v="0"/>
  </r>
  <r>
    <s v="AFP"/>
    <x v="0"/>
  </r>
  <r>
    <s v="AFP"/>
    <x v="0"/>
  </r>
  <r>
    <s v="AFP"/>
    <x v="0"/>
  </r>
  <r>
    <s v="AFP"/>
    <x v="0"/>
  </r>
  <r>
    <s v="AFP"/>
    <x v="0"/>
  </r>
  <r>
    <s v="AFP"/>
    <x v="0"/>
  </r>
  <r>
    <s v="schapelle corby"/>
    <x v="1"/>
  </r>
  <r>
    <s v="schapelle corby"/>
    <x v="1"/>
  </r>
  <r>
    <s v="schapelle corby"/>
    <x v="1"/>
  </r>
  <r>
    <s v="australian"/>
    <x v="1"/>
  </r>
  <r>
    <s v="australia"/>
    <x v="1"/>
  </r>
  <r>
    <s v="schapelle corby"/>
    <x v="1"/>
  </r>
  <r>
    <s v="schapelle corby"/>
    <x v="1"/>
  </r>
  <r>
    <s v="australian"/>
    <x v="1"/>
  </r>
  <r>
    <s v="smuggling"/>
    <x v="1"/>
  </r>
  <r>
    <s v="conviction"/>
    <x v="1"/>
  </r>
  <r>
    <s v="australia"/>
    <x v="1"/>
  </r>
  <r>
    <s v="conviction"/>
    <x v="1"/>
  </r>
  <r>
    <s v="schapelle corby"/>
    <x v="1"/>
  </r>
  <r>
    <s v="schapelle corby"/>
    <x v="1"/>
  </r>
  <r>
    <s v="schapelle corby"/>
    <x v="1"/>
  </r>
  <r>
    <s v="schapelle corby"/>
    <x v="1"/>
  </r>
  <r>
    <s v="australia"/>
    <x v="1"/>
  </r>
  <r>
    <s v="schapelle corby"/>
    <x v="1"/>
  </r>
  <r>
    <s v="schapelle corby"/>
    <x v="1"/>
  </r>
  <r>
    <s v="australian"/>
    <x v="1"/>
  </r>
  <r>
    <s v="australia"/>
    <x v="1"/>
  </r>
  <r>
    <s v="schapelle corby"/>
    <x v="1"/>
  </r>
  <r>
    <s v="schapelle corby"/>
    <x v="1"/>
  </r>
  <r>
    <s v="schapelle corby"/>
    <x v="1"/>
  </r>
  <r>
    <s v="schapelle corby"/>
    <x v="1"/>
  </r>
  <r>
    <s v="australian"/>
    <x v="1"/>
  </r>
  <r>
    <s v="australia"/>
    <x v="1"/>
  </r>
  <r>
    <s v="schapelle corby"/>
    <x v="1"/>
  </r>
  <r>
    <s v="schapelle corby"/>
    <x v="1"/>
  </r>
  <r>
    <s v="schapelle corby"/>
    <x v="1"/>
  </r>
  <r>
    <s v="boogie board"/>
    <x v="1"/>
  </r>
  <r>
    <s v="schapelle corby"/>
    <x v="1"/>
  </r>
  <r>
    <s v="schapelle corby"/>
    <x v="1"/>
  </r>
  <r>
    <s v="schapelle corby"/>
    <x v="1"/>
  </r>
  <r>
    <s v="schapelle corby"/>
    <x v="1"/>
  </r>
  <r>
    <s v="schapelle corby"/>
    <x v="1"/>
  </r>
  <r>
    <s v="boogie board"/>
    <x v="1"/>
  </r>
  <r>
    <s v="schapelle corby"/>
    <x v="1"/>
  </r>
  <r>
    <s v="schapelle corby"/>
    <x v="1"/>
  </r>
  <r>
    <s v="australian"/>
    <x v="1"/>
  </r>
  <r>
    <s v="australia"/>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australian"/>
    <x v="1"/>
  </r>
  <r>
    <s v="australia"/>
    <x v="1"/>
  </r>
  <r>
    <s v="schapelle corby"/>
    <x v="1"/>
  </r>
  <r>
    <s v="schapelle corby"/>
    <x v="1"/>
  </r>
  <r>
    <s v="schapelle corby"/>
    <x v="1"/>
  </r>
  <r>
    <s v="australian"/>
    <x v="1"/>
  </r>
  <r>
    <s v="australia"/>
    <x v="1"/>
  </r>
  <r>
    <s v="schapelle corby"/>
    <x v="1"/>
  </r>
  <r>
    <s v="australian"/>
    <x v="1"/>
  </r>
  <r>
    <s v="australia"/>
    <x v="1"/>
  </r>
  <r>
    <s v="schapelle corby"/>
    <x v="1"/>
  </r>
  <r>
    <s v="australian"/>
    <x v="1"/>
  </r>
  <r>
    <s v="australia"/>
    <x v="1"/>
  </r>
  <r>
    <s v="schapelle corby"/>
    <x v="1"/>
  </r>
  <r>
    <s v="schapelle corby"/>
    <x v="1"/>
  </r>
  <r>
    <s v="schapelle corby"/>
    <x v="1"/>
  </r>
  <r>
    <s v="australian"/>
    <x v="1"/>
  </r>
  <r>
    <s v="australia"/>
    <x v="1"/>
  </r>
  <r>
    <s v="schapelle corby"/>
    <x v="1"/>
  </r>
  <r>
    <s v="schapelle corby"/>
    <x v="1"/>
  </r>
  <r>
    <s v="schapelle corby"/>
    <x v="1"/>
  </r>
  <r>
    <s v="schapelle corby"/>
    <x v="1"/>
  </r>
  <r>
    <s v="boogie board"/>
    <x v="1"/>
  </r>
  <r>
    <s v="schapelle corby"/>
    <x v="1"/>
  </r>
  <r>
    <s v="schapelle corby"/>
    <x v="1"/>
  </r>
  <r>
    <s v="schapelle corby"/>
    <x v="1"/>
  </r>
  <r>
    <s v="schapelle corby"/>
    <x v="1"/>
  </r>
  <r>
    <s v="schapelle corby"/>
    <x v="1"/>
  </r>
  <r>
    <s v="schapelle corby"/>
    <x v="1"/>
  </r>
  <r>
    <s v="schapelle corby"/>
    <x v="1"/>
  </r>
  <r>
    <s v="schapelle corby"/>
    <x v="1"/>
  </r>
  <r>
    <s v="australia"/>
    <x v="1"/>
  </r>
  <r>
    <s v="schapelle corby"/>
    <x v="1"/>
  </r>
  <r>
    <s v="australian"/>
    <x v="1"/>
  </r>
  <r>
    <s v="australia"/>
    <x v="1"/>
  </r>
  <r>
    <s v="schapelle corby"/>
    <x v="1"/>
  </r>
  <r>
    <s v="schapelle corby"/>
    <x v="1"/>
  </r>
  <r>
    <s v="schapelle corby"/>
    <x v="1"/>
  </r>
  <r>
    <s v="schapelle corby"/>
    <x v="1"/>
  </r>
  <r>
    <s v="schapelle corby"/>
    <x v="1"/>
  </r>
  <r>
    <s v="schapelle corby"/>
    <x v="1"/>
  </r>
  <r>
    <s v="australian"/>
    <x v="1"/>
  </r>
  <r>
    <s v="australia"/>
    <x v="1"/>
  </r>
  <r>
    <s v="schapelle corby"/>
    <x v="1"/>
  </r>
  <r>
    <s v="media circus"/>
    <x v="1"/>
  </r>
  <r>
    <s v="schapelle corby"/>
    <x v="1"/>
  </r>
  <r>
    <s v="australia"/>
    <x v="1"/>
  </r>
  <r>
    <s v="schapelle corby"/>
    <x v="1"/>
  </r>
  <r>
    <s v="schapelle corby"/>
    <x v="1"/>
  </r>
  <r>
    <s v="schapelle corby"/>
    <x v="1"/>
  </r>
  <r>
    <s v="schapelle corby"/>
    <x v="1"/>
  </r>
  <r>
    <s v="australia"/>
    <x v="1"/>
  </r>
  <r>
    <s v="schapelle corby"/>
    <x v="1"/>
  </r>
  <r>
    <s v="conviction"/>
    <x v="1"/>
  </r>
  <r>
    <s v="conviction"/>
    <x v="1"/>
  </r>
  <r>
    <s v="schapelle corby"/>
    <x v="1"/>
  </r>
  <r>
    <s v="schapelle corby"/>
    <x v="1"/>
  </r>
  <r>
    <s v="schapelle corby"/>
    <x v="1"/>
  </r>
  <r>
    <s v="schapelle corby"/>
    <x v="1"/>
  </r>
  <r>
    <s v="schapelle corby"/>
    <x v="1"/>
  </r>
  <r>
    <s v="schapelle corby"/>
    <x v="1"/>
  </r>
  <r>
    <s v="australia"/>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schapelle corby"/>
    <x v="1"/>
  </r>
  <r>
    <s v="australia"/>
    <x v="1"/>
  </r>
  <r>
    <s v="schapelle corby"/>
    <x v="1"/>
  </r>
  <r>
    <s v="australian"/>
    <x v="1"/>
  </r>
  <r>
    <s v="australia"/>
    <x v="1"/>
  </r>
  <r>
    <s v="schapelle corby"/>
    <x v="1"/>
  </r>
  <r>
    <s v="schapelle corby"/>
    <x v="1"/>
  </r>
  <r>
    <s v="schapelle corby"/>
    <x v="1"/>
  </r>
  <r>
    <s v="schapelle corby"/>
    <x v="1"/>
  </r>
  <r>
    <s v="australia"/>
    <x v="1"/>
  </r>
  <r>
    <s v="schapelle corby"/>
    <x v="1"/>
  </r>
  <r>
    <s v="schapelle corby"/>
    <x v="1"/>
  </r>
  <r>
    <s v="australia"/>
    <x v="1"/>
  </r>
  <r>
    <s v="schapelle corby"/>
    <x v="1"/>
  </r>
  <r>
    <s v="schapelle corby"/>
    <x v="1"/>
  </r>
  <r>
    <s v="australia"/>
    <x v="1"/>
  </r>
  <r>
    <s v="schapelle corby"/>
    <x v="1"/>
  </r>
  <r>
    <s v="australia"/>
    <x v="1"/>
  </r>
  <r>
    <s v="schapelle corby"/>
    <x v="1"/>
  </r>
  <r>
    <s v="australia"/>
    <x v="1"/>
  </r>
  <r>
    <s v="schapelle corby"/>
    <x v="1"/>
  </r>
  <r>
    <s v="australia"/>
    <x v="1"/>
  </r>
  <r>
    <s v="schapelle corby"/>
    <x v="1"/>
  </r>
  <r>
    <s v="australia"/>
    <x v="1"/>
  </r>
  <r>
    <s v="schapelle corby"/>
    <x v="1"/>
  </r>
  <r>
    <s v="schapelle corby"/>
    <x v="1"/>
  </r>
  <r>
    <s v="schapelle corby"/>
    <x v="1"/>
  </r>
  <r>
    <s v="schapelle corby"/>
    <x v="1"/>
  </r>
  <r>
    <s v="schapelle corby"/>
    <x v="1"/>
  </r>
  <r>
    <s v="schapelle corby"/>
    <x v="1"/>
  </r>
  <r>
    <s v="australia"/>
    <x v="1"/>
  </r>
  <r>
    <s v="schapelle corby"/>
    <x v="1"/>
  </r>
  <r>
    <s v="schapelle corby"/>
    <x v="1"/>
  </r>
  <r>
    <s v="australia"/>
    <x v="1"/>
  </r>
  <r>
    <s v="schapelle corby"/>
    <x v="1"/>
  </r>
  <r>
    <s v="schapelle corby"/>
    <x v="1"/>
  </r>
  <r>
    <s v="smuggling"/>
    <x v="1"/>
  </r>
  <r>
    <s v="australia"/>
    <x v="1"/>
  </r>
  <r>
    <s v="schapelle corby"/>
    <x v="1"/>
  </r>
  <r>
    <s v="schapelle corby"/>
    <x v="1"/>
  </r>
  <r>
    <s v="schapelle corby"/>
    <x v="1"/>
  </r>
  <r>
    <s v="australia"/>
    <x v="1"/>
  </r>
  <r>
    <s v="schapelle corby"/>
    <x v="1"/>
  </r>
  <r>
    <s v="australia"/>
    <x v="1"/>
  </r>
  <r>
    <s v="schapelle corby"/>
    <x v="1"/>
  </r>
  <r>
    <s v="australia"/>
    <x v="1"/>
  </r>
  <r>
    <s v="schapelle corby"/>
    <x v="1"/>
  </r>
  <r>
    <s v="schapelle corby"/>
    <x v="1"/>
  </r>
  <r>
    <s v="australia"/>
    <x v="1"/>
  </r>
  <r>
    <s v="schapelle corby"/>
    <x v="1"/>
  </r>
  <r>
    <s v="schapelle corby"/>
    <x v="1"/>
  </r>
  <r>
    <s v="schapelle corby"/>
    <x v="1"/>
  </r>
  <r>
    <s v="australia"/>
    <x v="1"/>
  </r>
  <r>
    <s v="schapelle corby"/>
    <x v="1"/>
  </r>
  <r>
    <s v="australia"/>
    <x v="1"/>
  </r>
  <r>
    <s v="schapelle corby"/>
    <x v="1"/>
  </r>
  <r>
    <s v="australia"/>
    <x v="1"/>
  </r>
  <r>
    <s v="schapelle corby"/>
    <x v="1"/>
  </r>
  <r>
    <s v="schapelle corby"/>
    <x v="1"/>
  </r>
  <r>
    <s v="schapelle corby"/>
    <x v="1"/>
  </r>
  <r>
    <s v="schapelle corby"/>
    <x v="1"/>
  </r>
  <r>
    <s v="australia"/>
    <x v="1"/>
  </r>
  <r>
    <s v="schapelle corby"/>
    <x v="1"/>
  </r>
  <r>
    <s v="schapelle corby"/>
    <x v="1"/>
  </r>
  <r>
    <s v="australia"/>
    <x v="1"/>
  </r>
  <r>
    <s v="schapelle corby"/>
    <x v="1"/>
  </r>
  <r>
    <s v="schapelle corby"/>
    <x v="1"/>
  </r>
  <r>
    <s v="schapelle corby"/>
    <x v="1"/>
  </r>
  <r>
    <s v="schapelle corby"/>
    <x v="1"/>
  </r>
  <r>
    <s v="schapelle corby"/>
    <x v="1"/>
  </r>
  <r>
    <s v="schapelle corby"/>
    <x v="1"/>
  </r>
  <r>
    <s v="schapelle corby"/>
    <x v="1"/>
  </r>
  <r>
    <s v="schapelle corby"/>
    <x v="1"/>
  </r>
  <r>
    <s v="schapelle corby"/>
    <x v="1"/>
  </r>
  <r>
    <s v="australian"/>
    <x v="1"/>
  </r>
  <r>
    <s v="australia"/>
    <x v="1"/>
  </r>
  <r>
    <s v="australia"/>
    <x v="1"/>
  </r>
  <r>
    <s v="australia"/>
    <x v="1"/>
  </r>
  <r>
    <s v="australian"/>
    <x v="1"/>
  </r>
  <r>
    <s v="australia"/>
    <x v="1"/>
  </r>
  <r>
    <s v="australian"/>
    <x v="1"/>
  </r>
  <r>
    <s v="australia"/>
    <x v="1"/>
  </r>
  <r>
    <s v="schapelle corby"/>
    <x v="1"/>
  </r>
  <r>
    <s v="australia"/>
    <x v="1"/>
  </r>
  <r>
    <s v="australia"/>
    <x v="1"/>
  </r>
  <r>
    <s v="cannabis"/>
    <x v="1"/>
  </r>
  <r>
    <s v="cannabis"/>
    <x v="1"/>
  </r>
  <r>
    <s v="schapelle corby"/>
    <x v="1"/>
  </r>
  <r>
    <s v="australian"/>
    <x v="1"/>
  </r>
  <r>
    <s v="australia"/>
    <x v="1"/>
  </r>
  <r>
    <s v="smuggling"/>
    <x v="1"/>
  </r>
  <r>
    <s v="australia"/>
    <x v="1"/>
  </r>
  <r>
    <s v="australian"/>
    <x v="1"/>
  </r>
  <r>
    <s v="australia"/>
    <x v="1"/>
  </r>
  <r>
    <s v="australia"/>
    <x v="1"/>
  </r>
  <r>
    <s v="australian"/>
    <x v="1"/>
  </r>
  <r>
    <s v="australia"/>
    <x v="1"/>
  </r>
  <r>
    <s v="australian"/>
    <x v="1"/>
  </r>
  <r>
    <s v="australia"/>
    <x v="1"/>
  </r>
  <r>
    <s v="australia"/>
    <x v="1"/>
  </r>
  <r>
    <s v="australia"/>
    <x v="1"/>
  </r>
  <r>
    <s v="australia"/>
    <x v="1"/>
  </r>
  <r>
    <s v="australian"/>
    <x v="1"/>
  </r>
  <r>
    <s v="australia"/>
    <x v="1"/>
  </r>
  <r>
    <s v="australia"/>
    <x v="1"/>
  </r>
  <r>
    <s v="australian"/>
    <x v="1"/>
  </r>
  <r>
    <s v="australia"/>
    <x v="1"/>
  </r>
  <r>
    <s v="australian"/>
    <x v="1"/>
  </r>
  <r>
    <s v="australia"/>
    <x v="1"/>
  </r>
  <r>
    <s v="australian"/>
    <x v="1"/>
  </r>
  <r>
    <s v="australia"/>
    <x v="1"/>
  </r>
  <r>
    <s v="schapelle corby"/>
    <x v="1"/>
  </r>
  <r>
    <s v="australia"/>
    <x v="1"/>
  </r>
  <r>
    <s v="smuggling"/>
    <x v="1"/>
  </r>
  <r>
    <s v="smuggling"/>
    <x v="1"/>
  </r>
  <r>
    <s v="australian"/>
    <x v="1"/>
  </r>
  <r>
    <s v="australia"/>
    <x v="1"/>
  </r>
  <r>
    <s v="australian"/>
    <x v="1"/>
  </r>
  <r>
    <s v="australia"/>
    <x v="1"/>
  </r>
  <r>
    <s v="australia"/>
    <x v="1"/>
  </r>
  <r>
    <s v="media circus"/>
    <x v="1"/>
  </r>
  <r>
    <s v="australia"/>
    <x v="1"/>
  </r>
  <r>
    <s v="boogie board"/>
    <x v="1"/>
  </r>
  <r>
    <s v="australia"/>
    <x v="1"/>
  </r>
  <r>
    <s v="australian"/>
    <x v="1"/>
  </r>
  <r>
    <s v="australia"/>
    <x v="1"/>
  </r>
  <r>
    <s v="australian"/>
    <x v="1"/>
  </r>
  <r>
    <s v="australia"/>
    <x v="1"/>
  </r>
  <r>
    <s v="australia"/>
    <x v="1"/>
  </r>
  <r>
    <s v="australia"/>
    <x v="1"/>
  </r>
  <r>
    <s v="australia"/>
    <x v="1"/>
  </r>
  <r>
    <s v="australia"/>
    <x v="1"/>
  </r>
  <r>
    <s v="australian"/>
    <x v="1"/>
  </r>
  <r>
    <s v="smuggling"/>
    <x v="1"/>
  </r>
  <r>
    <s v="australia"/>
    <x v="1"/>
  </r>
  <r>
    <s v="australia"/>
    <x v="1"/>
  </r>
  <r>
    <s v="australia"/>
    <x v="1"/>
  </r>
  <r>
    <s v="boogie board"/>
    <x v="1"/>
  </r>
  <r>
    <s v="australian"/>
    <x v="1"/>
  </r>
  <r>
    <s v="smuggling"/>
    <x v="1"/>
  </r>
  <r>
    <s v="australia"/>
    <x v="1"/>
  </r>
  <r>
    <s v="boogie board"/>
    <x v="1"/>
  </r>
  <r>
    <s v="boogie board"/>
    <x v="1"/>
  </r>
  <r>
    <s v="boogie board"/>
    <x v="1"/>
  </r>
  <r>
    <s v="australian"/>
    <x v="1"/>
  </r>
  <r>
    <s v="smuggling"/>
    <x v="1"/>
  </r>
  <r>
    <s v="australia"/>
    <x v="1"/>
  </r>
  <r>
    <s v="schapelle corby"/>
    <x v="1"/>
  </r>
  <r>
    <s v="schapelle corby"/>
    <x v="1"/>
  </r>
  <r>
    <s v="boogie board"/>
    <x v="1"/>
  </r>
  <r>
    <s v="australian"/>
    <x v="1"/>
  </r>
  <r>
    <s v="australia"/>
    <x v="1"/>
  </r>
  <r>
    <s v="schapelle corby"/>
    <x v="1"/>
  </r>
  <r>
    <s v="cannabis"/>
    <x v="1"/>
  </r>
  <r>
    <s v="smuggling"/>
    <x v="1"/>
  </r>
  <r>
    <s v="cannabis"/>
    <x v="1"/>
  </r>
  <r>
    <s v="schapelle corby"/>
    <x v="1"/>
  </r>
  <r>
    <s v="schapelle corby"/>
    <x v="1"/>
  </r>
  <r>
    <s v="schapelle corby"/>
    <x v="1"/>
  </r>
  <r>
    <s v="boogie board"/>
    <x v="1"/>
  </r>
  <r>
    <s v="australia"/>
    <x v="1"/>
  </r>
  <r>
    <s v="schapelle corby"/>
    <x v="1"/>
  </r>
  <r>
    <s v="schapelle corby"/>
    <x v="1"/>
  </r>
  <r>
    <s v="australian"/>
    <x v="1"/>
  </r>
  <r>
    <s v="cannabis"/>
    <x v="1"/>
  </r>
  <r>
    <s v="smuggling"/>
    <x v="1"/>
  </r>
  <r>
    <s v="conviction"/>
    <x v="1"/>
  </r>
  <r>
    <s v="australia"/>
    <x v="1"/>
  </r>
  <r>
    <s v="cannabis"/>
    <x v="1"/>
  </r>
  <r>
    <s v="conviction"/>
    <x v="1"/>
  </r>
  <r>
    <s v="schapelle corby"/>
    <x v="1"/>
  </r>
  <r>
    <s v="boogie board"/>
    <x v="1"/>
  </r>
  <r>
    <s v="schapelle corby"/>
    <x v="1"/>
  </r>
  <r>
    <s v="australian"/>
    <x v="1"/>
  </r>
  <r>
    <s v="australia"/>
    <x v="1"/>
  </r>
  <r>
    <s v="schapelle corby"/>
    <x v="1"/>
  </r>
  <r>
    <s v="australia"/>
    <x v="1"/>
  </r>
  <r>
    <s v="schapelle corby"/>
    <x v="1"/>
  </r>
  <r>
    <s v="cannabis"/>
    <x v="1"/>
  </r>
  <r>
    <s v="smuggling"/>
    <x v="1"/>
  </r>
  <r>
    <s v="cannabis"/>
    <x v="1"/>
  </r>
  <r>
    <s v="indonesia"/>
    <x v="1"/>
  </r>
  <r>
    <s v="indonesia"/>
    <x v="1"/>
  </r>
  <r>
    <s v="indonesia"/>
    <x v="1"/>
  </r>
  <r>
    <s v="indonesia"/>
    <x v="1"/>
  </r>
  <r>
    <s v="indonesia"/>
    <x v="1"/>
  </r>
  <r>
    <s v="indonesia"/>
    <x v="1"/>
  </r>
  <r>
    <s v="indonesia"/>
    <x v="1"/>
  </r>
  <r>
    <s v="indonesia"/>
    <x v="1"/>
  </r>
  <r>
    <s v="indonesia"/>
    <x v="1"/>
  </r>
  <r>
    <s v="indonesia"/>
    <x v="1"/>
  </r>
  <r>
    <s v="terms"/>
    <x v="2"/>
  </r>
  <r>
    <s v="bogan"/>
    <x v="3"/>
  </r>
  <r>
    <s v="bitch"/>
    <x v="3"/>
  </r>
  <r>
    <s v="defensive"/>
    <x v="3"/>
  </r>
  <r>
    <s v="bogan"/>
    <x v="3"/>
  </r>
  <r>
    <s v="bogan"/>
    <x v="3"/>
  </r>
  <r>
    <s v="bogan"/>
    <x v="3"/>
  </r>
  <r>
    <s v="bitch"/>
    <x v="3"/>
  </r>
  <r>
    <s v="bitch"/>
    <x v="3"/>
  </r>
  <r>
    <s v="bogan"/>
    <x v="3"/>
  </r>
  <r>
    <s v="bogan"/>
    <x v="3"/>
  </r>
  <r>
    <s v="bogan"/>
    <x v="3"/>
  </r>
  <r>
    <s v="bogan"/>
    <x v="3"/>
  </r>
  <r>
    <s v="bogan"/>
    <x v="3"/>
  </r>
  <r>
    <s v="bogan"/>
    <x v="3"/>
  </r>
  <r>
    <s v="bogan"/>
    <x v="3"/>
  </r>
  <r>
    <s v="bogan"/>
    <x v="3"/>
  </r>
  <r>
    <s v="bogan"/>
    <x v="3"/>
  </r>
  <r>
    <s v="trashy"/>
    <x v="3"/>
  </r>
  <r>
    <s v="feral"/>
    <x v="3"/>
  </r>
  <r>
    <s v="bogan"/>
    <x v="3"/>
  </r>
  <r>
    <s v="bogan"/>
    <x v="3"/>
  </r>
  <r>
    <s v="bogan"/>
    <x v="3"/>
  </r>
  <r>
    <s v="bogan"/>
    <x v="3"/>
  </r>
  <r>
    <s v="redneck"/>
    <x v="3"/>
  </r>
  <r>
    <s v="bogan"/>
    <x v="3"/>
  </r>
  <r>
    <s v="bogan"/>
    <x v="3"/>
  </r>
  <r>
    <s v="redneck"/>
    <x v="3"/>
  </r>
  <r>
    <s v="white trash"/>
    <x v="3"/>
  </r>
  <r>
    <s v="bogan"/>
    <x v="3"/>
  </r>
  <r>
    <s v="bogan"/>
    <x v="3"/>
  </r>
  <r>
    <s v="bogan"/>
    <x v="3"/>
  </r>
  <r>
    <s v="bitch"/>
    <x v="3"/>
  </r>
  <r>
    <s v="bogan"/>
    <x v="3"/>
  </r>
  <r>
    <s v="bitch"/>
    <x v="3"/>
  </r>
  <r>
    <s v="trash"/>
    <x v="3"/>
  </r>
  <r>
    <s v="trash"/>
    <x v="3"/>
  </r>
  <r>
    <s v="drug smuggler"/>
    <x v="4"/>
  </r>
  <r>
    <s v="convicted drug smuggler"/>
    <x v="4"/>
  </r>
  <r>
    <s v="drug smuggler"/>
    <x v="4"/>
  </r>
  <r>
    <s v="bribed"/>
    <x v="4"/>
  </r>
  <r>
    <s v="drugs"/>
    <x v="4"/>
  </r>
  <r>
    <s v="drug trafficking"/>
    <x v="4"/>
  </r>
  <r>
    <s v="drugs"/>
    <x v="4"/>
  </r>
  <r>
    <s v="drug trafficking"/>
    <x v="4"/>
  </r>
  <r>
    <s v="bribed"/>
    <x v="4"/>
  </r>
  <r>
    <s v="convicted drug smuggler"/>
    <x v="4"/>
  </r>
  <r>
    <s v="drug smuggler"/>
    <x v="4"/>
  </r>
  <r>
    <s v="convicted drug smuggler"/>
    <x v="4"/>
  </r>
  <r>
    <s v="drug smuggler"/>
    <x v="4"/>
  </r>
  <r>
    <s v="jail"/>
    <x v="4"/>
  </r>
  <r>
    <s v="drug trafficking"/>
    <x v="4"/>
  </r>
  <r>
    <s v="drug smuggler"/>
    <x v="4"/>
  </r>
  <r>
    <s v="drug trafficking"/>
    <x v="4"/>
  </r>
  <r>
    <s v="convicted drug smuggler"/>
    <x v="4"/>
  </r>
  <r>
    <s v="drug smuggler"/>
    <x v="4"/>
  </r>
  <r>
    <s v="jail"/>
    <x v="4"/>
  </r>
  <r>
    <s v="convicted drug smuggler"/>
    <x v="4"/>
  </r>
  <r>
    <s v="drug smuggler"/>
    <x v="4"/>
  </r>
  <r>
    <s v="convicted drug smuggler"/>
    <x v="4"/>
  </r>
  <r>
    <s v="drug smuggler"/>
    <x v="4"/>
  </r>
  <r>
    <s v="drug smuggler"/>
    <x v="4"/>
  </r>
  <r>
    <s v="convicted drug smuggler"/>
    <x v="4"/>
  </r>
  <r>
    <s v="drug smuggler"/>
    <x v="4"/>
  </r>
  <r>
    <s v="drugs"/>
    <x v="4"/>
  </r>
  <r>
    <s v="drug smuggler"/>
    <x v="4"/>
  </r>
  <r>
    <s v="convicted drug smuggler"/>
    <x v="4"/>
  </r>
  <r>
    <s v="drug smuggler"/>
    <x v="4"/>
  </r>
  <r>
    <s v="convicted drug smuggler"/>
    <x v="4"/>
  </r>
  <r>
    <s v="drug smuggler"/>
    <x v="4"/>
  </r>
  <r>
    <s v="jail"/>
    <x v="4"/>
  </r>
  <r>
    <s v="jail"/>
    <x v="4"/>
  </r>
  <r>
    <s v="criminal"/>
    <x v="4"/>
  </r>
  <r>
    <s v="drug smuggler"/>
    <x v="4"/>
  </r>
  <r>
    <s v="drugs"/>
    <x v="4"/>
  </r>
  <r>
    <s v="convicted drug smuggler"/>
    <x v="4"/>
  </r>
  <r>
    <s v="drug smuggler"/>
    <x v="4"/>
  </r>
  <r>
    <s v="jail"/>
    <x v="4"/>
  </r>
  <r>
    <s v="drugs"/>
    <x v="4"/>
  </r>
  <r>
    <s v="narcotics"/>
    <x v="4"/>
  </r>
  <r>
    <s v="drugs"/>
    <x v="4"/>
  </r>
  <r>
    <s v="narcotics"/>
    <x v="4"/>
  </r>
  <r>
    <s v="drugs"/>
    <x v="4"/>
  </r>
  <r>
    <s v="weed"/>
    <x v="4"/>
  </r>
  <r>
    <s v="criminal"/>
    <x v="4"/>
  </r>
  <r>
    <s v="drugs"/>
    <x v="4"/>
  </r>
  <r>
    <s v="drugs"/>
    <x v="4"/>
  </r>
  <r>
    <s v="criminal"/>
    <x v="4"/>
  </r>
  <r>
    <s v="criminal"/>
    <x v="4"/>
  </r>
  <r>
    <s v="criminal"/>
    <x v="4"/>
  </r>
  <r>
    <s v="criminal"/>
    <x v="4"/>
  </r>
  <r>
    <s v="criminal"/>
    <x v="4"/>
  </r>
  <r>
    <s v="criminal"/>
    <x v="4"/>
  </r>
  <r>
    <s v="criminal"/>
    <x v="4"/>
  </r>
  <r>
    <s v="criminal"/>
    <x v="4"/>
  </r>
  <r>
    <s v="possession"/>
    <x v="4"/>
  </r>
  <r>
    <s v="narcotics"/>
    <x v="4"/>
  </r>
  <r>
    <s v="trafficker"/>
    <x v="4"/>
  </r>
  <r>
    <s v="weed"/>
    <x v="4"/>
  </r>
  <r>
    <s v="drug dealers"/>
    <x v="4"/>
  </r>
  <r>
    <s v="drugs"/>
    <x v="4"/>
  </r>
  <r>
    <s v="convicted drug smuggler"/>
    <x v="4"/>
  </r>
  <r>
    <s v="drug smuggler"/>
    <x v="4"/>
  </r>
  <r>
    <s v="set up"/>
    <x v="4"/>
  </r>
  <r>
    <s v="weed"/>
    <x v="4"/>
  </r>
  <r>
    <s v="drugs"/>
    <x v="4"/>
  </r>
  <r>
    <s v="drugs"/>
    <x v="4"/>
  </r>
  <r>
    <s v="criminal"/>
    <x v="4"/>
  </r>
  <r>
    <s v="proof"/>
    <x v="4"/>
  </r>
  <r>
    <s v="trafficker"/>
    <x v="4"/>
  </r>
  <r>
    <s v="criminal"/>
    <x v="4"/>
  </r>
  <r>
    <s v="drugs"/>
    <x v="4"/>
  </r>
  <r>
    <s v="drugs"/>
    <x v="4"/>
  </r>
  <r>
    <s v="bribed"/>
    <x v="4"/>
  </r>
  <r>
    <s v="weed"/>
    <x v="4"/>
  </r>
  <r>
    <s v="drugs"/>
    <x v="4"/>
  </r>
  <r>
    <s v="drugs"/>
    <x v="4"/>
  </r>
  <r>
    <s v="weed"/>
    <x v="4"/>
  </r>
  <r>
    <s v="weed"/>
    <x v="4"/>
  </r>
  <r>
    <s v="drugs"/>
    <x v="4"/>
  </r>
  <r>
    <s v="drugs"/>
    <x v="4"/>
  </r>
  <r>
    <s v="drug trafficking"/>
    <x v="4"/>
  </r>
  <r>
    <s v="drugs"/>
    <x v="4"/>
  </r>
  <r>
    <s v="proof"/>
    <x v="4"/>
  </r>
  <r>
    <s v="proof"/>
    <x v="4"/>
  </r>
  <r>
    <s v="possession"/>
    <x v="4"/>
  </r>
  <r>
    <s v="trafficker"/>
    <x v="4"/>
  </r>
  <r>
    <s v="jail"/>
    <x v="4"/>
  </r>
  <r>
    <s v="scandal"/>
    <x v="4"/>
  </r>
  <r>
    <s v="criminal"/>
    <x v="4"/>
  </r>
  <r>
    <s v="drugs"/>
    <x v="4"/>
  </r>
  <r>
    <s v="criminal"/>
    <x v="4"/>
  </r>
  <r>
    <s v="drug smuggler"/>
    <x v="4"/>
  </r>
  <r>
    <s v="scandal"/>
    <x v="4"/>
  </r>
  <r>
    <s v="marijuana"/>
    <x v="4"/>
  </r>
  <r>
    <s v="marijuana"/>
    <x v="4"/>
  </r>
  <r>
    <s v="marijuana"/>
    <x v="4"/>
  </r>
  <r>
    <s v="marijuana"/>
    <x v="4"/>
  </r>
  <r>
    <s v="bribe"/>
    <x v="4"/>
  </r>
  <r>
    <s v="bribe"/>
    <x v="4"/>
  </r>
  <r>
    <s v="marijuana"/>
    <x v="4"/>
  </r>
  <r>
    <s v="marijuana"/>
    <x v="4"/>
  </r>
  <r>
    <s v="marijuana"/>
    <x v="4"/>
  </r>
  <r>
    <s v="marijuana"/>
    <x v="4"/>
  </r>
  <r>
    <s v="marijuana"/>
    <x v="4"/>
  </r>
  <r>
    <s v="marijuana"/>
    <x v="4"/>
  </r>
  <r>
    <s v="marijuana"/>
    <x v="4"/>
  </r>
  <r>
    <s v="marijuana"/>
    <x v="4"/>
  </r>
  <r>
    <s v="corby"/>
    <x v="5"/>
  </r>
  <r>
    <s v="sister"/>
    <x v="5"/>
  </r>
  <r>
    <s v="sisters"/>
    <x v="5"/>
  </r>
  <r>
    <s v="corby"/>
    <x v="5"/>
  </r>
  <r>
    <s v="brother"/>
    <x v="5"/>
  </r>
  <r>
    <s v="corby"/>
    <x v="5"/>
  </r>
  <r>
    <s v="corby"/>
    <x v="5"/>
  </r>
  <r>
    <s v="corby"/>
    <x v="5"/>
  </r>
  <r>
    <s v="corby"/>
    <x v="5"/>
  </r>
  <r>
    <s v="corby"/>
    <x v="5"/>
  </r>
  <r>
    <s v="corby"/>
    <x v="5"/>
  </r>
  <r>
    <s v="corby"/>
    <x v="5"/>
  </r>
  <r>
    <s v="corby"/>
    <x v="5"/>
  </r>
  <r>
    <s v="corby"/>
    <x v="5"/>
  </r>
  <r>
    <s v="corby"/>
    <x v="5"/>
  </r>
  <r>
    <s v="corby"/>
    <x v="5"/>
  </r>
  <r>
    <s v="corby"/>
    <x v="5"/>
  </r>
  <r>
    <s v="corby"/>
    <x v="5"/>
  </r>
  <r>
    <s v="sister"/>
    <x v="5"/>
  </r>
  <r>
    <s v="mercedes"/>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Mercedes Corby"/>
    <x v="5"/>
  </r>
  <r>
    <s v="mercedes"/>
    <x v="5"/>
  </r>
  <r>
    <s v="corby"/>
    <x v="5"/>
  </r>
  <r>
    <s v="corby"/>
    <x v="5"/>
  </r>
  <r>
    <s v="corby"/>
    <x v="5"/>
  </r>
  <r>
    <s v="corby"/>
    <x v="5"/>
  </r>
  <r>
    <s v="corby"/>
    <x v="5"/>
  </r>
  <r>
    <s v="corby"/>
    <x v="5"/>
  </r>
  <r>
    <s v="brother"/>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corby"/>
    <x v="5"/>
  </r>
  <r>
    <s v="mercedes"/>
    <x v="5"/>
  </r>
  <r>
    <s v="corby"/>
    <x v="5"/>
  </r>
  <r>
    <s v="corby"/>
    <x v="5"/>
  </r>
  <r>
    <s v="corby"/>
    <x v="5"/>
  </r>
  <r>
    <s v="corby"/>
    <x v="5"/>
  </r>
  <r>
    <s v="corby"/>
    <x v="5"/>
  </r>
  <r>
    <s v="corby"/>
    <x v="5"/>
  </r>
  <r>
    <s v="corby"/>
    <x v="5"/>
  </r>
  <r>
    <s v="corby"/>
    <x v="5"/>
  </r>
  <r>
    <s v="father"/>
    <x v="5"/>
  </r>
  <r>
    <s v="father"/>
    <x v="5"/>
  </r>
  <r>
    <s v="corby"/>
    <x v="5"/>
  </r>
  <r>
    <s v="brother"/>
    <x v="5"/>
  </r>
  <r>
    <s v="sister"/>
    <x v="5"/>
  </r>
  <r>
    <s v="mercedes"/>
    <x v="5"/>
  </r>
  <r>
    <s v="sister"/>
    <x v="5"/>
  </r>
  <r>
    <s v="mercedes"/>
    <x v="5"/>
  </r>
  <r>
    <s v="Mercedes Corby"/>
    <x v="5"/>
  </r>
  <r>
    <s v="mercedes"/>
    <x v="5"/>
  </r>
  <r>
    <s v="corby"/>
    <x v="5"/>
  </r>
  <r>
    <s v="mercedes"/>
    <x v="5"/>
  </r>
  <r>
    <s v="mercedes"/>
    <x v="5"/>
  </r>
  <r>
    <s v="mercedes"/>
    <x v="5"/>
  </r>
  <r>
    <s v="mercedes"/>
    <x v="5"/>
  </r>
  <r>
    <s v="mercedes"/>
    <x v="5"/>
  </r>
  <r>
    <s v="mercedes"/>
    <x v="5"/>
  </r>
  <r>
    <s v="brother"/>
    <x v="5"/>
  </r>
  <r>
    <s v="sister"/>
    <x v="5"/>
  </r>
  <r>
    <s v="brother"/>
    <x v="5"/>
  </r>
  <r>
    <s v="corby"/>
    <x v="5"/>
  </r>
  <r>
    <s v="mercedes"/>
    <x v="5"/>
  </r>
  <r>
    <s v="sister"/>
    <x v="5"/>
  </r>
  <r>
    <s v="brother"/>
    <x v="5"/>
  </r>
  <r>
    <s v="sister"/>
    <x v="5"/>
  </r>
  <r>
    <s v="corby"/>
    <x v="5"/>
  </r>
  <r>
    <s v="brother"/>
    <x v="5"/>
  </r>
  <r>
    <s v="whole family"/>
    <x v="5"/>
  </r>
  <r>
    <s v="brother"/>
    <x v="5"/>
  </r>
  <r>
    <s v="Mercedes Corby"/>
    <x v="5"/>
  </r>
  <r>
    <s v="mercedes"/>
    <x v="5"/>
  </r>
  <r>
    <s v="corby"/>
    <x v="5"/>
  </r>
  <r>
    <s v="sister"/>
    <x v="5"/>
  </r>
  <r>
    <s v="whole family"/>
    <x v="5"/>
  </r>
  <r>
    <s v="brother"/>
    <x v="5"/>
  </r>
  <r>
    <s v="whole family"/>
    <x v="5"/>
  </r>
  <r>
    <s v="brother"/>
    <x v="5"/>
  </r>
  <r>
    <s v="father"/>
    <x v="5"/>
  </r>
  <r>
    <s v="sister"/>
    <x v="5"/>
  </r>
  <r>
    <s v="corby"/>
    <x v="5"/>
  </r>
  <r>
    <s v="mercedes"/>
    <x v="5"/>
  </r>
  <r>
    <s v="Mercedes Corby"/>
    <x v="5"/>
  </r>
  <r>
    <s v="mercedes"/>
    <x v="5"/>
  </r>
  <r>
    <s v="corby"/>
    <x v="5"/>
  </r>
  <r>
    <s v="corby"/>
    <x v="5"/>
  </r>
  <r>
    <s v="corby"/>
    <x v="5"/>
  </r>
  <r>
    <s v="brother"/>
    <x v="5"/>
  </r>
  <r>
    <s v="corby"/>
    <x v="5"/>
  </r>
  <r>
    <s v="corby"/>
    <x v="5"/>
  </r>
  <r>
    <s v="corby"/>
    <x v="5"/>
  </r>
  <r>
    <s v="sister"/>
    <x v="5"/>
  </r>
  <r>
    <s v="sisters"/>
    <x v="5"/>
  </r>
  <r>
    <s v="corby"/>
    <x v="5"/>
  </r>
  <r>
    <s v="corby"/>
    <x v="5"/>
  </r>
  <r>
    <s v="corby"/>
    <x v="5"/>
  </r>
  <r>
    <s v="corby"/>
    <x v="5"/>
  </r>
  <r>
    <s v="sister"/>
    <x v="5"/>
  </r>
  <r>
    <s v="corby"/>
    <x v="5"/>
  </r>
  <r>
    <s v="corby"/>
    <x v="5"/>
  </r>
  <r>
    <s v="brother"/>
    <x v="5"/>
  </r>
  <r>
    <s v="corby"/>
    <x v="5"/>
  </r>
  <r>
    <s v="corby"/>
    <x v="5"/>
  </r>
  <r>
    <s v="corby"/>
    <x v="5"/>
  </r>
  <r>
    <s v="corby"/>
    <x v="5"/>
  </r>
  <r>
    <s v="corby"/>
    <x v="5"/>
  </r>
  <r>
    <s v="corby"/>
    <x v="5"/>
  </r>
  <r>
    <s v="brother"/>
    <x v="5"/>
  </r>
  <r>
    <s v="corby"/>
    <x v="5"/>
  </r>
  <r>
    <s v="af"/>
    <x v="6"/>
  </r>
  <r>
    <s v="af"/>
    <x v="6"/>
  </r>
  <r>
    <s v="dumb"/>
    <x v="6"/>
  </r>
  <r>
    <s v="af"/>
    <x v="6"/>
  </r>
  <r>
    <s v="af"/>
    <x v="6"/>
  </r>
  <r>
    <s v="af"/>
    <x v="6"/>
  </r>
  <r>
    <s v="af"/>
    <x v="6"/>
  </r>
  <r>
    <s v="af"/>
    <x v="6"/>
  </r>
  <r>
    <s v="af"/>
    <x v="6"/>
  </r>
  <r>
    <s v="af"/>
    <x v="6"/>
  </r>
  <r>
    <s v="af"/>
    <x v="6"/>
  </r>
  <r>
    <s v="af"/>
    <x v="6"/>
  </r>
  <r>
    <s v="af"/>
    <x v="6"/>
  </r>
  <r>
    <s v="af"/>
    <x v="6"/>
  </r>
  <r>
    <s v="af"/>
    <x v="6"/>
  </r>
  <r>
    <s v="af"/>
    <x v="6"/>
  </r>
  <r>
    <s v="af"/>
    <x v="6"/>
  </r>
  <r>
    <s v="af"/>
    <x v="6"/>
  </r>
  <r>
    <s v="af"/>
    <x v="6"/>
  </r>
  <r>
    <s v="af"/>
    <x v="6"/>
  </r>
  <r>
    <s v="af"/>
    <x v="6"/>
  </r>
  <r>
    <s v="dumb"/>
    <x v="6"/>
  </r>
  <r>
    <s v="stupid"/>
    <x v="6"/>
  </r>
  <r>
    <s v="idiot"/>
    <x v="6"/>
  </r>
  <r>
    <s v="idiot"/>
    <x v="6"/>
  </r>
  <r>
    <s v="af"/>
    <x v="6"/>
  </r>
  <r>
    <s v="af"/>
    <x v="6"/>
  </r>
  <r>
    <s v="af"/>
    <x v="6"/>
  </r>
  <r>
    <s v="af"/>
    <x v="6"/>
  </r>
  <r>
    <s v="af"/>
    <x v="6"/>
  </r>
  <r>
    <s v="af"/>
    <x v="6"/>
  </r>
  <r>
    <s v="dumb"/>
    <x v="6"/>
  </r>
  <r>
    <s v="af"/>
    <x v="6"/>
  </r>
  <r>
    <s v="af"/>
    <x v="6"/>
  </r>
  <r>
    <s v="af"/>
    <x v="6"/>
  </r>
  <r>
    <s v="af"/>
    <x v="6"/>
  </r>
  <r>
    <s v="af"/>
    <x v="6"/>
  </r>
  <r>
    <s v="af"/>
    <x v="6"/>
  </r>
  <r>
    <s v="moron"/>
    <x v="6"/>
  </r>
  <r>
    <s v="stupid"/>
    <x v="6"/>
  </r>
  <r>
    <s v="dumb"/>
    <x v="6"/>
  </r>
  <r>
    <s v="af"/>
    <x v="6"/>
  </r>
  <r>
    <s v="af"/>
    <x v="6"/>
  </r>
  <r>
    <s v="af"/>
    <x v="6"/>
  </r>
  <r>
    <s v="idiot"/>
    <x v="6"/>
  </r>
  <r>
    <s v="idiot"/>
    <x v="6"/>
  </r>
  <r>
    <s v="idiots"/>
    <x v="6"/>
  </r>
  <r>
    <s v="af"/>
    <x v="6"/>
  </r>
  <r>
    <s v="af"/>
    <x v="6"/>
  </r>
  <r>
    <s v="af"/>
    <x v="6"/>
  </r>
  <r>
    <s v="stupid"/>
    <x v="6"/>
  </r>
  <r>
    <s v="idiot"/>
    <x v="6"/>
  </r>
  <r>
    <s v="idiot"/>
    <x v="6"/>
  </r>
  <r>
    <s v="idiots"/>
    <x v="6"/>
  </r>
  <r>
    <s v="dumb"/>
    <x v="6"/>
  </r>
  <r>
    <s v="stupid"/>
    <x v="6"/>
  </r>
  <r>
    <s v="af"/>
    <x v="6"/>
  </r>
  <r>
    <s v="af"/>
    <x v="6"/>
  </r>
  <r>
    <s v="af"/>
    <x v="6"/>
  </r>
  <r>
    <s v="af"/>
    <x v="6"/>
  </r>
  <r>
    <s v="af"/>
    <x v="6"/>
  </r>
  <r>
    <s v="af"/>
    <x v="6"/>
  </r>
  <r>
    <s v="af"/>
    <x v="6"/>
  </r>
  <r>
    <s v="dumb"/>
    <x v="6"/>
  </r>
  <r>
    <s v="af"/>
    <x v="6"/>
  </r>
  <r>
    <s v="af"/>
    <x v="6"/>
  </r>
  <r>
    <s v="fucked"/>
    <x v="6"/>
  </r>
  <r>
    <s v="af"/>
    <x v="6"/>
  </r>
  <r>
    <s v="idiot"/>
    <x v="6"/>
  </r>
  <r>
    <s v="stupid"/>
    <x v="6"/>
  </r>
  <r>
    <s v="af"/>
    <x v="6"/>
  </r>
  <r>
    <s v="af"/>
    <x v="6"/>
  </r>
  <r>
    <s v="af"/>
    <x v="6"/>
  </r>
  <r>
    <s v="fucked"/>
    <x v="6"/>
  </r>
  <r>
    <s v="af"/>
    <x v="6"/>
  </r>
  <r>
    <s v="af"/>
    <x v="6"/>
  </r>
  <r>
    <s v="af"/>
    <x v="6"/>
  </r>
  <r>
    <s v="af"/>
    <x v="6"/>
  </r>
  <r>
    <s v="af"/>
    <x v="6"/>
  </r>
  <r>
    <s v="af"/>
    <x v="6"/>
  </r>
  <r>
    <s v="af"/>
    <x v="6"/>
  </r>
  <r>
    <s v="convicted"/>
    <x v="7"/>
  </r>
  <r>
    <s v="import"/>
    <x v="7"/>
  </r>
  <r>
    <s v="convicted"/>
    <x v="7"/>
  </r>
  <r>
    <s v="innocent"/>
    <x v="7"/>
  </r>
  <r>
    <s v="innocent"/>
    <x v="7"/>
  </r>
  <r>
    <s v="reasonable doubt"/>
    <x v="7"/>
  </r>
  <r>
    <s v="innocent"/>
    <x v="7"/>
  </r>
  <r>
    <s v="reasonable doubt"/>
    <x v="7"/>
  </r>
  <r>
    <s v="import"/>
    <x v="7"/>
  </r>
  <r>
    <s v="parole"/>
    <x v="7"/>
  </r>
  <r>
    <s v="convicted"/>
    <x v="7"/>
  </r>
  <r>
    <s v="convicted"/>
    <x v="7"/>
  </r>
  <r>
    <s v="innocent"/>
    <x v="7"/>
  </r>
  <r>
    <s v="parole"/>
    <x v="7"/>
  </r>
  <r>
    <s v="convicted"/>
    <x v="7"/>
  </r>
  <r>
    <s v="convicted"/>
    <x v="7"/>
  </r>
  <r>
    <s v="convicted"/>
    <x v="7"/>
  </r>
  <r>
    <s v="convicted"/>
    <x v="7"/>
  </r>
  <r>
    <s v="innocent"/>
    <x v="7"/>
  </r>
  <r>
    <s v="convicted"/>
    <x v="7"/>
  </r>
  <r>
    <s v="convicted"/>
    <x v="7"/>
  </r>
  <r>
    <s v="innocent"/>
    <x v="7"/>
  </r>
  <r>
    <s v="sentenced"/>
    <x v="7"/>
  </r>
  <r>
    <s v="guilty"/>
    <x v="7"/>
  </r>
  <r>
    <s v="guilty"/>
    <x v="7"/>
  </r>
  <r>
    <s v="arrested"/>
    <x v="7"/>
  </r>
  <r>
    <s v="guilty"/>
    <x v="7"/>
  </r>
  <r>
    <s v="guilty"/>
    <x v="7"/>
  </r>
  <r>
    <s v="innocent"/>
    <x v="7"/>
  </r>
  <r>
    <s v="guilty"/>
    <x v="7"/>
  </r>
  <r>
    <s v="arrested"/>
    <x v="7"/>
  </r>
  <r>
    <s v="convicted"/>
    <x v="7"/>
  </r>
  <r>
    <s v="innocent"/>
    <x v="7"/>
  </r>
  <r>
    <s v="guilty"/>
    <x v="7"/>
  </r>
  <r>
    <s v="served"/>
    <x v="7"/>
  </r>
  <r>
    <s v="import"/>
    <x v="7"/>
  </r>
  <r>
    <s v="guilty"/>
    <x v="7"/>
  </r>
  <r>
    <s v="innocent"/>
    <x v="7"/>
  </r>
  <r>
    <s v="guilty"/>
    <x v="7"/>
  </r>
  <r>
    <s v="guilty af"/>
    <x v="7"/>
  </r>
  <r>
    <s v="served"/>
    <x v="7"/>
  </r>
  <r>
    <s v="guilty"/>
    <x v="7"/>
  </r>
  <r>
    <s v="import"/>
    <x v="7"/>
  </r>
  <r>
    <s v="export"/>
    <x v="7"/>
  </r>
  <r>
    <s v="guilty"/>
    <x v="7"/>
  </r>
  <r>
    <s v="guilty"/>
    <x v="7"/>
  </r>
  <r>
    <s v="guilty"/>
    <x v="7"/>
  </r>
  <r>
    <s v="guilty"/>
    <x v="7"/>
  </r>
  <r>
    <s v="guilty"/>
    <x v="7"/>
  </r>
  <r>
    <s v="charged"/>
    <x v="7"/>
  </r>
  <r>
    <s v="guilty"/>
    <x v="7"/>
  </r>
  <r>
    <s v="innocent"/>
    <x v="7"/>
  </r>
  <r>
    <s v="guilty"/>
    <x v="7"/>
  </r>
  <r>
    <s v="served"/>
    <x v="7"/>
  </r>
  <r>
    <s v="Indonesian law"/>
    <x v="7"/>
  </r>
  <r>
    <s v="import"/>
    <x v="7"/>
  </r>
  <r>
    <s v="export"/>
    <x v="7"/>
  </r>
  <r>
    <s v="guilty"/>
    <x v="7"/>
  </r>
  <r>
    <s v="served"/>
    <x v="7"/>
  </r>
  <r>
    <s v="served"/>
    <x v="7"/>
  </r>
  <r>
    <s v="charged"/>
    <x v="7"/>
  </r>
  <r>
    <s v="guilty"/>
    <x v="7"/>
  </r>
  <r>
    <s v="guilty"/>
    <x v="7"/>
  </r>
  <r>
    <s v="parole"/>
    <x v="7"/>
  </r>
  <r>
    <s v="convicted"/>
    <x v="7"/>
  </r>
  <r>
    <s v="served"/>
    <x v="7"/>
  </r>
  <r>
    <s v="arrested"/>
    <x v="7"/>
  </r>
  <r>
    <s v="import"/>
    <x v="7"/>
  </r>
  <r>
    <s v="guilty"/>
    <x v="7"/>
  </r>
  <r>
    <s v="import"/>
    <x v="7"/>
  </r>
  <r>
    <s v="parole"/>
    <x v="7"/>
  </r>
  <r>
    <s v="convicted"/>
    <x v="7"/>
  </r>
  <r>
    <s v="sentenced"/>
    <x v="7"/>
  </r>
  <r>
    <s v="arrested"/>
    <x v="7"/>
  </r>
  <r>
    <s v="parole"/>
    <x v="7"/>
  </r>
  <r>
    <s v="parole"/>
    <x v="7"/>
  </r>
  <r>
    <s v="innocent"/>
    <x v="7"/>
  </r>
  <r>
    <s v="parole"/>
    <x v="7"/>
  </r>
  <r>
    <s v="guilty"/>
    <x v="7"/>
  </r>
  <r>
    <s v="guilty"/>
    <x v="7"/>
  </r>
  <r>
    <s v="guilty"/>
    <x v="7"/>
  </r>
  <r>
    <s v="guilty"/>
    <x v="7"/>
  </r>
  <r>
    <s v="arrested"/>
    <x v="7"/>
  </r>
  <r>
    <s v="parole"/>
    <x v="7"/>
  </r>
  <r>
    <s v="convicted"/>
    <x v="7"/>
  </r>
  <r>
    <s v="sentenced"/>
    <x v="7"/>
  </r>
  <r>
    <s v="convicted"/>
    <x v="7"/>
  </r>
  <r>
    <s v="arrested"/>
    <x v="7"/>
  </r>
  <r>
    <s v="guilty"/>
    <x v="7"/>
  </r>
  <r>
    <s v="import"/>
    <x v="7"/>
  </r>
  <r>
    <s v="parole"/>
    <x v="7"/>
  </r>
  <r>
    <s v="convicted"/>
    <x v="7"/>
  </r>
  <r>
    <s v="import"/>
    <x v="7"/>
  </r>
  <r>
    <s v="arrested"/>
    <x v="7"/>
  </r>
  <r>
    <s v="sentenced"/>
    <x v="7"/>
  </r>
  <r>
    <s v="convicted"/>
    <x v="7"/>
  </r>
  <r>
    <s v="convicted"/>
    <x v="7"/>
  </r>
  <r>
    <s v="import"/>
    <x v="7"/>
  </r>
  <r>
    <s v="convicted"/>
    <x v="7"/>
  </r>
  <r>
    <s v="sentence"/>
    <x v="7"/>
  </r>
  <r>
    <s v="law"/>
    <x v="7"/>
  </r>
  <r>
    <s v="sentence"/>
    <x v="7"/>
  </r>
  <r>
    <s v="law"/>
    <x v="7"/>
  </r>
  <r>
    <s v="sentence"/>
    <x v="7"/>
  </r>
  <r>
    <s v="sentence"/>
    <x v="7"/>
  </r>
  <r>
    <s v="sentence"/>
    <x v="7"/>
  </r>
  <r>
    <s v="law"/>
    <x v="7"/>
  </r>
  <r>
    <s v="sentence"/>
    <x v="7"/>
  </r>
  <r>
    <s v="law"/>
    <x v="7"/>
  </r>
  <r>
    <s v="law"/>
    <x v="7"/>
  </r>
  <r>
    <s v="law"/>
    <x v="7"/>
  </r>
  <r>
    <s v="law"/>
    <x v="7"/>
  </r>
  <r>
    <s v="disgusting"/>
    <x v="8"/>
  </r>
  <r>
    <s v="sucks"/>
    <x v="8"/>
  </r>
  <r>
    <s v="disgusting"/>
    <x v="8"/>
  </r>
  <r>
    <s v="disgusting"/>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x v="0"/>
    <x v="0"/>
    <n v="0"/>
  </r>
  <r>
    <x v="0"/>
    <x v="0"/>
    <x v="0"/>
    <n v="0"/>
  </r>
  <r>
    <x v="0"/>
    <x v="0"/>
    <x v="0"/>
    <n v="0"/>
  </r>
  <r>
    <x v="0"/>
    <x v="0"/>
    <x v="0"/>
    <n v="0"/>
  </r>
  <r>
    <x v="0"/>
    <x v="0"/>
    <x v="0"/>
    <n v="0"/>
  </r>
  <r>
    <x v="0"/>
    <x v="0"/>
    <x v="0"/>
    <n v="0"/>
  </r>
  <r>
    <x v="1"/>
    <x v="0"/>
    <x v="0"/>
    <n v="2"/>
  </r>
  <r>
    <x v="1"/>
    <x v="0"/>
    <x v="0"/>
    <n v="2"/>
  </r>
  <r>
    <x v="0"/>
    <x v="0"/>
    <x v="0"/>
    <n v="0"/>
  </r>
  <r>
    <x v="0"/>
    <x v="0"/>
    <x v="0"/>
    <n v="0"/>
  </r>
  <r>
    <x v="0"/>
    <x v="0"/>
    <x v="0"/>
    <n v="0"/>
  </r>
  <r>
    <x v="0"/>
    <x v="0"/>
    <x v="0"/>
    <n v="0"/>
  </r>
  <r>
    <x v="0"/>
    <x v="0"/>
    <x v="0"/>
    <n v="0"/>
  </r>
  <r>
    <x v="0"/>
    <x v="0"/>
    <x v="0"/>
    <n v="0"/>
  </r>
  <r>
    <x v="2"/>
    <x v="1"/>
    <x v="0"/>
    <n v="0"/>
  </r>
  <r>
    <x v="2"/>
    <x v="1"/>
    <x v="0"/>
    <n v="0"/>
  </r>
  <r>
    <x v="2"/>
    <x v="1"/>
    <x v="0"/>
    <n v="0"/>
  </r>
  <r>
    <x v="3"/>
    <x v="1"/>
    <x v="0"/>
    <n v="0"/>
  </r>
  <r>
    <x v="4"/>
    <x v="1"/>
    <x v="0"/>
    <n v="0"/>
  </r>
  <r>
    <x v="2"/>
    <x v="1"/>
    <x v="0"/>
    <n v="0"/>
  </r>
  <r>
    <x v="2"/>
    <x v="1"/>
    <x v="0"/>
    <n v="0"/>
  </r>
  <r>
    <x v="3"/>
    <x v="1"/>
    <x v="0"/>
    <n v="0"/>
  </r>
  <r>
    <x v="5"/>
    <x v="1"/>
    <x v="0"/>
    <n v="0"/>
  </r>
  <r>
    <x v="6"/>
    <x v="1"/>
    <x v="0"/>
    <n v="0"/>
  </r>
  <r>
    <x v="4"/>
    <x v="1"/>
    <x v="0"/>
    <n v="0"/>
  </r>
  <r>
    <x v="6"/>
    <x v="1"/>
    <x v="0"/>
    <n v="0"/>
  </r>
  <r>
    <x v="2"/>
    <x v="1"/>
    <x v="0"/>
    <n v="0"/>
  </r>
  <r>
    <x v="2"/>
    <x v="1"/>
    <x v="0"/>
    <n v="0"/>
  </r>
  <r>
    <x v="2"/>
    <x v="1"/>
    <x v="0"/>
    <n v="0"/>
  </r>
  <r>
    <x v="2"/>
    <x v="1"/>
    <x v="0"/>
    <n v="0"/>
  </r>
  <r>
    <x v="4"/>
    <x v="1"/>
    <x v="0"/>
    <n v="0"/>
  </r>
  <r>
    <x v="2"/>
    <x v="1"/>
    <x v="0"/>
    <n v="0"/>
  </r>
  <r>
    <x v="2"/>
    <x v="1"/>
    <x v="0"/>
    <n v="0"/>
  </r>
  <r>
    <x v="3"/>
    <x v="1"/>
    <x v="0"/>
    <n v="0"/>
  </r>
  <r>
    <x v="4"/>
    <x v="1"/>
    <x v="0"/>
    <n v="0"/>
  </r>
  <r>
    <x v="2"/>
    <x v="1"/>
    <x v="0"/>
    <n v="0"/>
  </r>
  <r>
    <x v="2"/>
    <x v="1"/>
    <x v="0"/>
    <n v="0"/>
  </r>
  <r>
    <x v="2"/>
    <x v="1"/>
    <x v="0"/>
    <n v="0"/>
  </r>
  <r>
    <x v="2"/>
    <x v="1"/>
    <x v="0"/>
    <n v="0"/>
  </r>
  <r>
    <x v="3"/>
    <x v="1"/>
    <x v="0"/>
    <n v="0"/>
  </r>
  <r>
    <x v="4"/>
    <x v="1"/>
    <x v="0"/>
    <n v="0"/>
  </r>
  <r>
    <x v="2"/>
    <x v="1"/>
    <x v="0"/>
    <n v="0"/>
  </r>
  <r>
    <x v="2"/>
    <x v="1"/>
    <x v="0"/>
    <n v="0"/>
  </r>
  <r>
    <x v="2"/>
    <x v="1"/>
    <x v="0"/>
    <n v="0"/>
  </r>
  <r>
    <x v="7"/>
    <x v="1"/>
    <x v="0"/>
    <n v="0"/>
  </r>
  <r>
    <x v="2"/>
    <x v="1"/>
    <x v="0"/>
    <n v="0"/>
  </r>
  <r>
    <x v="2"/>
    <x v="1"/>
    <x v="0"/>
    <n v="0"/>
  </r>
  <r>
    <x v="2"/>
    <x v="1"/>
    <x v="0"/>
    <n v="0"/>
  </r>
  <r>
    <x v="2"/>
    <x v="1"/>
    <x v="0"/>
    <n v="0"/>
  </r>
  <r>
    <x v="2"/>
    <x v="1"/>
    <x v="0"/>
    <n v="0"/>
  </r>
  <r>
    <x v="7"/>
    <x v="1"/>
    <x v="0"/>
    <n v="0"/>
  </r>
  <r>
    <x v="2"/>
    <x v="1"/>
    <x v="0"/>
    <n v="0"/>
  </r>
  <r>
    <x v="2"/>
    <x v="1"/>
    <x v="0"/>
    <n v="0"/>
  </r>
  <r>
    <x v="3"/>
    <x v="1"/>
    <x v="0"/>
    <n v="0"/>
  </r>
  <r>
    <x v="4"/>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3"/>
    <x v="1"/>
    <x v="0"/>
    <n v="0"/>
  </r>
  <r>
    <x v="4"/>
    <x v="1"/>
    <x v="0"/>
    <n v="0"/>
  </r>
  <r>
    <x v="2"/>
    <x v="1"/>
    <x v="0"/>
    <n v="0"/>
  </r>
  <r>
    <x v="2"/>
    <x v="1"/>
    <x v="0"/>
    <n v="0"/>
  </r>
  <r>
    <x v="2"/>
    <x v="1"/>
    <x v="0"/>
    <n v="0"/>
  </r>
  <r>
    <x v="3"/>
    <x v="1"/>
    <x v="0"/>
    <n v="0"/>
  </r>
  <r>
    <x v="4"/>
    <x v="1"/>
    <x v="0"/>
    <n v="0"/>
  </r>
  <r>
    <x v="2"/>
    <x v="1"/>
    <x v="0"/>
    <n v="0"/>
  </r>
  <r>
    <x v="3"/>
    <x v="1"/>
    <x v="0"/>
    <n v="0"/>
  </r>
  <r>
    <x v="4"/>
    <x v="1"/>
    <x v="0"/>
    <n v="0"/>
  </r>
  <r>
    <x v="2"/>
    <x v="1"/>
    <x v="0"/>
    <n v="0"/>
  </r>
  <r>
    <x v="3"/>
    <x v="1"/>
    <x v="0"/>
    <n v="0"/>
  </r>
  <r>
    <x v="4"/>
    <x v="1"/>
    <x v="0"/>
    <n v="0"/>
  </r>
  <r>
    <x v="2"/>
    <x v="1"/>
    <x v="0"/>
    <n v="0"/>
  </r>
  <r>
    <x v="2"/>
    <x v="1"/>
    <x v="0"/>
    <n v="0"/>
  </r>
  <r>
    <x v="2"/>
    <x v="1"/>
    <x v="0"/>
    <n v="0"/>
  </r>
  <r>
    <x v="3"/>
    <x v="1"/>
    <x v="0"/>
    <n v="0"/>
  </r>
  <r>
    <x v="4"/>
    <x v="1"/>
    <x v="0"/>
    <n v="0"/>
  </r>
  <r>
    <x v="2"/>
    <x v="1"/>
    <x v="0"/>
    <n v="0"/>
  </r>
  <r>
    <x v="2"/>
    <x v="1"/>
    <x v="0"/>
    <n v="0"/>
  </r>
  <r>
    <x v="2"/>
    <x v="1"/>
    <x v="0"/>
    <n v="0"/>
  </r>
  <r>
    <x v="2"/>
    <x v="1"/>
    <x v="0"/>
    <n v="0"/>
  </r>
  <r>
    <x v="7"/>
    <x v="1"/>
    <x v="0"/>
    <n v="0"/>
  </r>
  <r>
    <x v="2"/>
    <x v="1"/>
    <x v="0"/>
    <n v="0"/>
  </r>
  <r>
    <x v="2"/>
    <x v="1"/>
    <x v="0"/>
    <n v="0"/>
  </r>
  <r>
    <x v="2"/>
    <x v="1"/>
    <x v="0"/>
    <n v="0"/>
  </r>
  <r>
    <x v="2"/>
    <x v="1"/>
    <x v="0"/>
    <n v="0"/>
  </r>
  <r>
    <x v="2"/>
    <x v="1"/>
    <x v="0"/>
    <n v="0"/>
  </r>
  <r>
    <x v="2"/>
    <x v="1"/>
    <x v="0"/>
    <n v="0"/>
  </r>
  <r>
    <x v="2"/>
    <x v="1"/>
    <x v="0"/>
    <n v="0"/>
  </r>
  <r>
    <x v="2"/>
    <x v="1"/>
    <x v="0"/>
    <n v="0"/>
  </r>
  <r>
    <x v="4"/>
    <x v="1"/>
    <x v="0"/>
    <n v="0"/>
  </r>
  <r>
    <x v="2"/>
    <x v="1"/>
    <x v="0"/>
    <n v="0"/>
  </r>
  <r>
    <x v="3"/>
    <x v="1"/>
    <x v="0"/>
    <n v="0"/>
  </r>
  <r>
    <x v="4"/>
    <x v="1"/>
    <x v="0"/>
    <n v="0"/>
  </r>
  <r>
    <x v="2"/>
    <x v="1"/>
    <x v="0"/>
    <n v="0"/>
  </r>
  <r>
    <x v="2"/>
    <x v="1"/>
    <x v="0"/>
    <n v="0"/>
  </r>
  <r>
    <x v="2"/>
    <x v="1"/>
    <x v="0"/>
    <n v="0"/>
  </r>
  <r>
    <x v="2"/>
    <x v="1"/>
    <x v="0"/>
    <n v="0"/>
  </r>
  <r>
    <x v="2"/>
    <x v="1"/>
    <x v="0"/>
    <n v="0"/>
  </r>
  <r>
    <x v="2"/>
    <x v="1"/>
    <x v="0"/>
    <n v="0"/>
  </r>
  <r>
    <x v="3"/>
    <x v="1"/>
    <x v="0"/>
    <n v="0"/>
  </r>
  <r>
    <x v="4"/>
    <x v="1"/>
    <x v="0"/>
    <n v="0"/>
  </r>
  <r>
    <x v="2"/>
    <x v="1"/>
    <x v="0"/>
    <n v="0"/>
  </r>
  <r>
    <x v="8"/>
    <x v="1"/>
    <x v="0"/>
    <n v="0"/>
  </r>
  <r>
    <x v="2"/>
    <x v="1"/>
    <x v="0"/>
    <n v="0"/>
  </r>
  <r>
    <x v="4"/>
    <x v="1"/>
    <x v="0"/>
    <n v="0"/>
  </r>
  <r>
    <x v="2"/>
    <x v="1"/>
    <x v="0"/>
    <n v="0"/>
  </r>
  <r>
    <x v="2"/>
    <x v="1"/>
    <x v="0"/>
    <n v="0"/>
  </r>
  <r>
    <x v="2"/>
    <x v="1"/>
    <x v="0"/>
    <n v="0"/>
  </r>
  <r>
    <x v="2"/>
    <x v="1"/>
    <x v="0"/>
    <n v="0"/>
  </r>
  <r>
    <x v="4"/>
    <x v="1"/>
    <x v="0"/>
    <n v="0"/>
  </r>
  <r>
    <x v="2"/>
    <x v="1"/>
    <x v="0"/>
    <n v="0"/>
  </r>
  <r>
    <x v="6"/>
    <x v="1"/>
    <x v="0"/>
    <n v="0"/>
  </r>
  <r>
    <x v="6"/>
    <x v="1"/>
    <x v="0"/>
    <n v="0"/>
  </r>
  <r>
    <x v="2"/>
    <x v="1"/>
    <x v="0"/>
    <n v="0"/>
  </r>
  <r>
    <x v="2"/>
    <x v="1"/>
    <x v="0"/>
    <n v="0"/>
  </r>
  <r>
    <x v="2"/>
    <x v="1"/>
    <x v="0"/>
    <n v="0"/>
  </r>
  <r>
    <x v="2"/>
    <x v="1"/>
    <x v="0"/>
    <n v="0"/>
  </r>
  <r>
    <x v="2"/>
    <x v="1"/>
    <x v="0"/>
    <n v="0"/>
  </r>
  <r>
    <x v="2"/>
    <x v="1"/>
    <x v="0"/>
    <n v="0"/>
  </r>
  <r>
    <x v="4"/>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2"/>
    <x v="1"/>
    <x v="0"/>
    <n v="0"/>
  </r>
  <r>
    <x v="4"/>
    <x v="1"/>
    <x v="0"/>
    <n v="0"/>
  </r>
  <r>
    <x v="2"/>
    <x v="1"/>
    <x v="0"/>
    <n v="0"/>
  </r>
  <r>
    <x v="3"/>
    <x v="1"/>
    <x v="0"/>
    <n v="0"/>
  </r>
  <r>
    <x v="4"/>
    <x v="1"/>
    <x v="0"/>
    <n v="0"/>
  </r>
  <r>
    <x v="2"/>
    <x v="1"/>
    <x v="0"/>
    <n v="0"/>
  </r>
  <r>
    <x v="2"/>
    <x v="1"/>
    <x v="0"/>
    <n v="0"/>
  </r>
  <r>
    <x v="2"/>
    <x v="1"/>
    <x v="0"/>
    <n v="0"/>
  </r>
  <r>
    <x v="2"/>
    <x v="1"/>
    <x v="0"/>
    <n v="0"/>
  </r>
  <r>
    <x v="4"/>
    <x v="1"/>
    <x v="0"/>
    <n v="0"/>
  </r>
  <r>
    <x v="2"/>
    <x v="1"/>
    <x v="0"/>
    <n v="0"/>
  </r>
  <r>
    <x v="2"/>
    <x v="1"/>
    <x v="0"/>
    <n v="0"/>
  </r>
  <r>
    <x v="4"/>
    <x v="1"/>
    <x v="0"/>
    <n v="0"/>
  </r>
  <r>
    <x v="2"/>
    <x v="1"/>
    <x v="0"/>
    <n v="0"/>
  </r>
  <r>
    <x v="2"/>
    <x v="1"/>
    <x v="0"/>
    <n v="0"/>
  </r>
  <r>
    <x v="4"/>
    <x v="1"/>
    <x v="0"/>
    <n v="0"/>
  </r>
  <r>
    <x v="2"/>
    <x v="1"/>
    <x v="0"/>
    <n v="0"/>
  </r>
  <r>
    <x v="4"/>
    <x v="1"/>
    <x v="0"/>
    <n v="0"/>
  </r>
  <r>
    <x v="2"/>
    <x v="1"/>
    <x v="0"/>
    <n v="0"/>
  </r>
  <r>
    <x v="4"/>
    <x v="1"/>
    <x v="0"/>
    <n v="0"/>
  </r>
  <r>
    <x v="2"/>
    <x v="1"/>
    <x v="0"/>
    <n v="0"/>
  </r>
  <r>
    <x v="4"/>
    <x v="1"/>
    <x v="0"/>
    <n v="0"/>
  </r>
  <r>
    <x v="2"/>
    <x v="1"/>
    <x v="0"/>
    <n v="0"/>
  </r>
  <r>
    <x v="4"/>
    <x v="1"/>
    <x v="0"/>
    <n v="0"/>
  </r>
  <r>
    <x v="2"/>
    <x v="1"/>
    <x v="0"/>
    <n v="0"/>
  </r>
  <r>
    <x v="2"/>
    <x v="1"/>
    <x v="0"/>
    <n v="0"/>
  </r>
  <r>
    <x v="2"/>
    <x v="1"/>
    <x v="0"/>
    <n v="0"/>
  </r>
  <r>
    <x v="2"/>
    <x v="1"/>
    <x v="0"/>
    <n v="0"/>
  </r>
  <r>
    <x v="2"/>
    <x v="1"/>
    <x v="0"/>
    <n v="0"/>
  </r>
  <r>
    <x v="2"/>
    <x v="1"/>
    <x v="0"/>
    <n v="0"/>
  </r>
  <r>
    <x v="4"/>
    <x v="1"/>
    <x v="0"/>
    <n v="0"/>
  </r>
  <r>
    <x v="2"/>
    <x v="1"/>
    <x v="0"/>
    <n v="0"/>
  </r>
  <r>
    <x v="2"/>
    <x v="1"/>
    <x v="0"/>
    <n v="0"/>
  </r>
  <r>
    <x v="4"/>
    <x v="1"/>
    <x v="0"/>
    <n v="0"/>
  </r>
  <r>
    <x v="2"/>
    <x v="1"/>
    <x v="0"/>
    <n v="0"/>
  </r>
  <r>
    <x v="2"/>
    <x v="1"/>
    <x v="0"/>
    <n v="0"/>
  </r>
  <r>
    <x v="5"/>
    <x v="1"/>
    <x v="0"/>
    <n v="0"/>
  </r>
  <r>
    <x v="4"/>
    <x v="1"/>
    <x v="0"/>
    <n v="0"/>
  </r>
  <r>
    <x v="2"/>
    <x v="1"/>
    <x v="0"/>
    <n v="0"/>
  </r>
  <r>
    <x v="2"/>
    <x v="1"/>
    <x v="0"/>
    <n v="0"/>
  </r>
  <r>
    <x v="2"/>
    <x v="1"/>
    <x v="0"/>
    <n v="0"/>
  </r>
  <r>
    <x v="4"/>
    <x v="1"/>
    <x v="0"/>
    <n v="0"/>
  </r>
  <r>
    <x v="2"/>
    <x v="1"/>
    <x v="0"/>
    <n v="0"/>
  </r>
  <r>
    <x v="4"/>
    <x v="1"/>
    <x v="0"/>
    <n v="0"/>
  </r>
  <r>
    <x v="2"/>
    <x v="1"/>
    <x v="0"/>
    <n v="0"/>
  </r>
  <r>
    <x v="4"/>
    <x v="1"/>
    <x v="0"/>
    <n v="0"/>
  </r>
  <r>
    <x v="2"/>
    <x v="1"/>
    <x v="0"/>
    <n v="0"/>
  </r>
  <r>
    <x v="2"/>
    <x v="1"/>
    <x v="0"/>
    <n v="0"/>
  </r>
  <r>
    <x v="4"/>
    <x v="1"/>
    <x v="0"/>
    <n v="0"/>
  </r>
  <r>
    <x v="2"/>
    <x v="1"/>
    <x v="0"/>
    <n v="0"/>
  </r>
  <r>
    <x v="2"/>
    <x v="1"/>
    <x v="0"/>
    <n v="0"/>
  </r>
  <r>
    <x v="2"/>
    <x v="1"/>
    <x v="0"/>
    <n v="0"/>
  </r>
  <r>
    <x v="4"/>
    <x v="1"/>
    <x v="0"/>
    <n v="0"/>
  </r>
  <r>
    <x v="2"/>
    <x v="1"/>
    <x v="0"/>
    <n v="0"/>
  </r>
  <r>
    <x v="4"/>
    <x v="1"/>
    <x v="0"/>
    <n v="0"/>
  </r>
  <r>
    <x v="2"/>
    <x v="1"/>
    <x v="0"/>
    <n v="0"/>
  </r>
  <r>
    <x v="4"/>
    <x v="1"/>
    <x v="0"/>
    <n v="0"/>
  </r>
  <r>
    <x v="2"/>
    <x v="1"/>
    <x v="0"/>
    <n v="0"/>
  </r>
  <r>
    <x v="2"/>
    <x v="1"/>
    <x v="0"/>
    <n v="0"/>
  </r>
  <r>
    <x v="2"/>
    <x v="1"/>
    <x v="0"/>
    <n v="0"/>
  </r>
  <r>
    <x v="2"/>
    <x v="1"/>
    <x v="0"/>
    <n v="0"/>
  </r>
  <r>
    <x v="4"/>
    <x v="1"/>
    <x v="0"/>
    <n v="0"/>
  </r>
  <r>
    <x v="2"/>
    <x v="1"/>
    <x v="0"/>
    <n v="0"/>
  </r>
  <r>
    <x v="2"/>
    <x v="1"/>
    <x v="0"/>
    <n v="0"/>
  </r>
  <r>
    <x v="4"/>
    <x v="1"/>
    <x v="0"/>
    <n v="0"/>
  </r>
  <r>
    <x v="2"/>
    <x v="1"/>
    <x v="0"/>
    <n v="0"/>
  </r>
  <r>
    <x v="2"/>
    <x v="1"/>
    <x v="0"/>
    <n v="0"/>
  </r>
  <r>
    <x v="2"/>
    <x v="1"/>
    <x v="0"/>
    <n v="0"/>
  </r>
  <r>
    <x v="2"/>
    <x v="1"/>
    <x v="0"/>
    <n v="0"/>
  </r>
  <r>
    <x v="2"/>
    <x v="1"/>
    <x v="0"/>
    <n v="0"/>
  </r>
  <r>
    <x v="2"/>
    <x v="1"/>
    <x v="0"/>
    <n v="0"/>
  </r>
  <r>
    <x v="2"/>
    <x v="1"/>
    <x v="0"/>
    <n v="0"/>
  </r>
  <r>
    <x v="2"/>
    <x v="1"/>
    <x v="0"/>
    <n v="0"/>
  </r>
  <r>
    <x v="2"/>
    <x v="1"/>
    <x v="0"/>
    <n v="0"/>
  </r>
  <r>
    <x v="3"/>
    <x v="1"/>
    <x v="0"/>
    <n v="0"/>
  </r>
  <r>
    <x v="4"/>
    <x v="1"/>
    <x v="0"/>
    <n v="0"/>
  </r>
  <r>
    <x v="4"/>
    <x v="1"/>
    <x v="0"/>
    <n v="0"/>
  </r>
  <r>
    <x v="4"/>
    <x v="1"/>
    <x v="0"/>
    <n v="0"/>
  </r>
  <r>
    <x v="3"/>
    <x v="1"/>
    <x v="0"/>
    <n v="0"/>
  </r>
  <r>
    <x v="4"/>
    <x v="1"/>
    <x v="0"/>
    <n v="0"/>
  </r>
  <r>
    <x v="3"/>
    <x v="1"/>
    <x v="0"/>
    <n v="0"/>
  </r>
  <r>
    <x v="4"/>
    <x v="1"/>
    <x v="0"/>
    <n v="0"/>
  </r>
  <r>
    <x v="2"/>
    <x v="1"/>
    <x v="0"/>
    <n v="0"/>
  </r>
  <r>
    <x v="4"/>
    <x v="1"/>
    <x v="0"/>
    <n v="0"/>
  </r>
  <r>
    <x v="4"/>
    <x v="1"/>
    <x v="0"/>
    <n v="0"/>
  </r>
  <r>
    <x v="9"/>
    <x v="1"/>
    <x v="0"/>
    <n v="0"/>
  </r>
  <r>
    <x v="9"/>
    <x v="1"/>
    <x v="0"/>
    <n v="0"/>
  </r>
  <r>
    <x v="2"/>
    <x v="1"/>
    <x v="0"/>
    <n v="0"/>
  </r>
  <r>
    <x v="3"/>
    <x v="1"/>
    <x v="0"/>
    <n v="0"/>
  </r>
  <r>
    <x v="4"/>
    <x v="1"/>
    <x v="0"/>
    <n v="0"/>
  </r>
  <r>
    <x v="5"/>
    <x v="1"/>
    <x v="0"/>
    <n v="0"/>
  </r>
  <r>
    <x v="4"/>
    <x v="1"/>
    <x v="0"/>
    <n v="0"/>
  </r>
  <r>
    <x v="3"/>
    <x v="1"/>
    <x v="0"/>
    <n v="0"/>
  </r>
  <r>
    <x v="4"/>
    <x v="1"/>
    <x v="0"/>
    <n v="0"/>
  </r>
  <r>
    <x v="4"/>
    <x v="1"/>
    <x v="0"/>
    <n v="0"/>
  </r>
  <r>
    <x v="3"/>
    <x v="1"/>
    <x v="0"/>
    <n v="0"/>
  </r>
  <r>
    <x v="4"/>
    <x v="1"/>
    <x v="0"/>
    <n v="0"/>
  </r>
  <r>
    <x v="3"/>
    <x v="1"/>
    <x v="0"/>
    <n v="0"/>
  </r>
  <r>
    <x v="4"/>
    <x v="1"/>
    <x v="0"/>
    <n v="0"/>
  </r>
  <r>
    <x v="4"/>
    <x v="1"/>
    <x v="0"/>
    <n v="0"/>
  </r>
  <r>
    <x v="4"/>
    <x v="1"/>
    <x v="0"/>
    <n v="0"/>
  </r>
  <r>
    <x v="4"/>
    <x v="1"/>
    <x v="0"/>
    <n v="0"/>
  </r>
  <r>
    <x v="3"/>
    <x v="1"/>
    <x v="0"/>
    <n v="0"/>
  </r>
  <r>
    <x v="4"/>
    <x v="1"/>
    <x v="0"/>
    <n v="0"/>
  </r>
  <r>
    <x v="4"/>
    <x v="1"/>
    <x v="0"/>
    <n v="0"/>
  </r>
  <r>
    <x v="3"/>
    <x v="1"/>
    <x v="0"/>
    <n v="0"/>
  </r>
  <r>
    <x v="4"/>
    <x v="1"/>
    <x v="0"/>
    <n v="0"/>
  </r>
  <r>
    <x v="3"/>
    <x v="1"/>
    <x v="0"/>
    <n v="0"/>
  </r>
  <r>
    <x v="4"/>
    <x v="1"/>
    <x v="0"/>
    <n v="0"/>
  </r>
  <r>
    <x v="3"/>
    <x v="1"/>
    <x v="0"/>
    <n v="0"/>
  </r>
  <r>
    <x v="4"/>
    <x v="1"/>
    <x v="0"/>
    <n v="0"/>
  </r>
  <r>
    <x v="2"/>
    <x v="1"/>
    <x v="0"/>
    <n v="0"/>
  </r>
  <r>
    <x v="4"/>
    <x v="1"/>
    <x v="0"/>
    <n v="0"/>
  </r>
  <r>
    <x v="5"/>
    <x v="1"/>
    <x v="0"/>
    <n v="0"/>
  </r>
  <r>
    <x v="5"/>
    <x v="1"/>
    <x v="0"/>
    <n v="0"/>
  </r>
  <r>
    <x v="3"/>
    <x v="1"/>
    <x v="0"/>
    <n v="0"/>
  </r>
  <r>
    <x v="4"/>
    <x v="1"/>
    <x v="0"/>
    <n v="0"/>
  </r>
  <r>
    <x v="3"/>
    <x v="1"/>
    <x v="0"/>
    <n v="0"/>
  </r>
  <r>
    <x v="4"/>
    <x v="1"/>
    <x v="0"/>
    <n v="0"/>
  </r>
  <r>
    <x v="4"/>
    <x v="1"/>
    <x v="0"/>
    <n v="0"/>
  </r>
  <r>
    <x v="8"/>
    <x v="1"/>
    <x v="0"/>
    <n v="0"/>
  </r>
  <r>
    <x v="4"/>
    <x v="1"/>
    <x v="0"/>
    <n v="0"/>
  </r>
  <r>
    <x v="7"/>
    <x v="1"/>
    <x v="0"/>
    <n v="0"/>
  </r>
  <r>
    <x v="4"/>
    <x v="1"/>
    <x v="0"/>
    <n v="0"/>
  </r>
  <r>
    <x v="3"/>
    <x v="1"/>
    <x v="0"/>
    <n v="0"/>
  </r>
  <r>
    <x v="4"/>
    <x v="1"/>
    <x v="0"/>
    <n v="0"/>
  </r>
  <r>
    <x v="3"/>
    <x v="1"/>
    <x v="0"/>
    <n v="0"/>
  </r>
  <r>
    <x v="4"/>
    <x v="1"/>
    <x v="0"/>
    <n v="0"/>
  </r>
  <r>
    <x v="4"/>
    <x v="1"/>
    <x v="0"/>
    <n v="0"/>
  </r>
  <r>
    <x v="4"/>
    <x v="1"/>
    <x v="0"/>
    <n v="0"/>
  </r>
  <r>
    <x v="4"/>
    <x v="1"/>
    <x v="0"/>
    <n v="0"/>
  </r>
  <r>
    <x v="4"/>
    <x v="1"/>
    <x v="0"/>
    <n v="0"/>
  </r>
  <r>
    <x v="3"/>
    <x v="1"/>
    <x v="0"/>
    <n v="0"/>
  </r>
  <r>
    <x v="5"/>
    <x v="1"/>
    <x v="0"/>
    <n v="0"/>
  </r>
  <r>
    <x v="4"/>
    <x v="1"/>
    <x v="0"/>
    <n v="0"/>
  </r>
  <r>
    <x v="4"/>
    <x v="1"/>
    <x v="0"/>
    <n v="0"/>
  </r>
  <r>
    <x v="4"/>
    <x v="1"/>
    <x v="0"/>
    <n v="0"/>
  </r>
  <r>
    <x v="7"/>
    <x v="1"/>
    <x v="0"/>
    <n v="0"/>
  </r>
  <r>
    <x v="3"/>
    <x v="1"/>
    <x v="0"/>
    <n v="0"/>
  </r>
  <r>
    <x v="5"/>
    <x v="1"/>
    <x v="0"/>
    <n v="0"/>
  </r>
  <r>
    <x v="4"/>
    <x v="1"/>
    <x v="0"/>
    <n v="0"/>
  </r>
  <r>
    <x v="7"/>
    <x v="1"/>
    <x v="0"/>
    <n v="0"/>
  </r>
  <r>
    <x v="7"/>
    <x v="1"/>
    <x v="0"/>
    <n v="0"/>
  </r>
  <r>
    <x v="7"/>
    <x v="1"/>
    <x v="0"/>
    <n v="0"/>
  </r>
  <r>
    <x v="3"/>
    <x v="1"/>
    <x v="0"/>
    <n v="0"/>
  </r>
  <r>
    <x v="5"/>
    <x v="1"/>
    <x v="0"/>
    <n v="0"/>
  </r>
  <r>
    <x v="4"/>
    <x v="1"/>
    <x v="0"/>
    <n v="0"/>
  </r>
  <r>
    <x v="2"/>
    <x v="1"/>
    <x v="0"/>
    <n v="0"/>
  </r>
  <r>
    <x v="2"/>
    <x v="1"/>
    <x v="0"/>
    <n v="0"/>
  </r>
  <r>
    <x v="7"/>
    <x v="1"/>
    <x v="0"/>
    <n v="0"/>
  </r>
  <r>
    <x v="3"/>
    <x v="1"/>
    <x v="0"/>
    <n v="0"/>
  </r>
  <r>
    <x v="4"/>
    <x v="1"/>
    <x v="0"/>
    <n v="0"/>
  </r>
  <r>
    <x v="2"/>
    <x v="1"/>
    <x v="0"/>
    <n v="0"/>
  </r>
  <r>
    <x v="9"/>
    <x v="1"/>
    <x v="0"/>
    <n v="0"/>
  </r>
  <r>
    <x v="5"/>
    <x v="1"/>
    <x v="0"/>
    <n v="0"/>
  </r>
  <r>
    <x v="9"/>
    <x v="1"/>
    <x v="0"/>
    <n v="0"/>
  </r>
  <r>
    <x v="2"/>
    <x v="1"/>
    <x v="0"/>
    <n v="0"/>
  </r>
  <r>
    <x v="2"/>
    <x v="1"/>
    <x v="0"/>
    <n v="0"/>
  </r>
  <r>
    <x v="2"/>
    <x v="1"/>
    <x v="0"/>
    <n v="0"/>
  </r>
  <r>
    <x v="7"/>
    <x v="1"/>
    <x v="0"/>
    <n v="0"/>
  </r>
  <r>
    <x v="4"/>
    <x v="1"/>
    <x v="0"/>
    <n v="0"/>
  </r>
  <r>
    <x v="2"/>
    <x v="1"/>
    <x v="0"/>
    <n v="0"/>
  </r>
  <r>
    <x v="2"/>
    <x v="1"/>
    <x v="0"/>
    <n v="0"/>
  </r>
  <r>
    <x v="3"/>
    <x v="1"/>
    <x v="0"/>
    <n v="0"/>
  </r>
  <r>
    <x v="9"/>
    <x v="1"/>
    <x v="0"/>
    <n v="0"/>
  </r>
  <r>
    <x v="5"/>
    <x v="1"/>
    <x v="0"/>
    <n v="0"/>
  </r>
  <r>
    <x v="6"/>
    <x v="1"/>
    <x v="0"/>
    <n v="0"/>
  </r>
  <r>
    <x v="4"/>
    <x v="1"/>
    <x v="0"/>
    <n v="0"/>
  </r>
  <r>
    <x v="9"/>
    <x v="1"/>
    <x v="0"/>
    <n v="0"/>
  </r>
  <r>
    <x v="6"/>
    <x v="1"/>
    <x v="0"/>
    <n v="0"/>
  </r>
  <r>
    <x v="2"/>
    <x v="1"/>
    <x v="0"/>
    <n v="0"/>
  </r>
  <r>
    <x v="7"/>
    <x v="1"/>
    <x v="0"/>
    <n v="0"/>
  </r>
  <r>
    <x v="2"/>
    <x v="1"/>
    <x v="0"/>
    <n v="0"/>
  </r>
  <r>
    <x v="3"/>
    <x v="1"/>
    <x v="0"/>
    <n v="0"/>
  </r>
  <r>
    <x v="4"/>
    <x v="1"/>
    <x v="0"/>
    <n v="0"/>
  </r>
  <r>
    <x v="2"/>
    <x v="1"/>
    <x v="0"/>
    <n v="0"/>
  </r>
  <r>
    <x v="4"/>
    <x v="1"/>
    <x v="0"/>
    <n v="0"/>
  </r>
  <r>
    <x v="2"/>
    <x v="1"/>
    <x v="0"/>
    <n v="0"/>
  </r>
  <r>
    <x v="9"/>
    <x v="1"/>
    <x v="0"/>
    <n v="0"/>
  </r>
  <r>
    <x v="5"/>
    <x v="1"/>
    <x v="0"/>
    <n v="0"/>
  </r>
  <r>
    <x v="9"/>
    <x v="1"/>
    <x v="0"/>
    <n v="0"/>
  </r>
  <r>
    <x v="10"/>
    <x v="1"/>
    <x v="0"/>
    <n v="0"/>
  </r>
  <r>
    <x v="10"/>
    <x v="1"/>
    <x v="0"/>
    <n v="0"/>
  </r>
  <r>
    <x v="10"/>
    <x v="1"/>
    <x v="0"/>
    <n v="0"/>
  </r>
  <r>
    <x v="10"/>
    <x v="1"/>
    <x v="0"/>
    <n v="0"/>
  </r>
  <r>
    <x v="10"/>
    <x v="1"/>
    <x v="0"/>
    <n v="0"/>
  </r>
  <r>
    <x v="10"/>
    <x v="1"/>
    <x v="0"/>
    <n v="0"/>
  </r>
  <r>
    <x v="10"/>
    <x v="1"/>
    <x v="0"/>
    <n v="0"/>
  </r>
  <r>
    <x v="10"/>
    <x v="1"/>
    <x v="0"/>
    <n v="0"/>
  </r>
  <r>
    <x v="10"/>
    <x v="1"/>
    <x v="0"/>
    <n v="0"/>
  </r>
  <r>
    <x v="10"/>
    <x v="1"/>
    <x v="0"/>
    <n v="0"/>
  </r>
  <r>
    <x v="11"/>
    <x v="2"/>
    <x v="0"/>
    <n v="0"/>
  </r>
  <r>
    <x v="12"/>
    <x v="3"/>
    <x v="0"/>
    <n v="3"/>
  </r>
  <r>
    <x v="13"/>
    <x v="3"/>
    <x v="0"/>
    <n v="3"/>
  </r>
  <r>
    <x v="14"/>
    <x v="3"/>
    <x v="0"/>
    <n v="1"/>
  </r>
  <r>
    <x v="12"/>
    <x v="3"/>
    <x v="0"/>
    <n v="3"/>
  </r>
  <r>
    <x v="12"/>
    <x v="3"/>
    <x v="0"/>
    <n v="3"/>
  </r>
  <r>
    <x v="12"/>
    <x v="3"/>
    <x v="0"/>
    <n v="3"/>
  </r>
  <r>
    <x v="13"/>
    <x v="3"/>
    <x v="0"/>
    <n v="3"/>
  </r>
  <r>
    <x v="13"/>
    <x v="3"/>
    <x v="0"/>
    <n v="3"/>
  </r>
  <r>
    <x v="12"/>
    <x v="3"/>
    <x v="0"/>
    <n v="3"/>
  </r>
  <r>
    <x v="12"/>
    <x v="3"/>
    <x v="0"/>
    <n v="3"/>
  </r>
  <r>
    <x v="12"/>
    <x v="3"/>
    <x v="0"/>
    <n v="3"/>
  </r>
  <r>
    <x v="12"/>
    <x v="3"/>
    <x v="0"/>
    <n v="3"/>
  </r>
  <r>
    <x v="12"/>
    <x v="3"/>
    <x v="0"/>
    <n v="3"/>
  </r>
  <r>
    <x v="12"/>
    <x v="3"/>
    <x v="0"/>
    <n v="3"/>
  </r>
  <r>
    <x v="12"/>
    <x v="3"/>
    <x v="0"/>
    <n v="3"/>
  </r>
  <r>
    <x v="12"/>
    <x v="3"/>
    <x v="0"/>
    <n v="3"/>
  </r>
  <r>
    <x v="12"/>
    <x v="3"/>
    <x v="0"/>
    <n v="3"/>
  </r>
  <r>
    <x v="15"/>
    <x v="3"/>
    <x v="0"/>
    <n v="4"/>
  </r>
  <r>
    <x v="16"/>
    <x v="3"/>
    <x v="0"/>
    <n v="4"/>
  </r>
  <r>
    <x v="12"/>
    <x v="3"/>
    <x v="0"/>
    <n v="3"/>
  </r>
  <r>
    <x v="12"/>
    <x v="3"/>
    <x v="0"/>
    <n v="3"/>
  </r>
  <r>
    <x v="12"/>
    <x v="3"/>
    <x v="0"/>
    <n v="3"/>
  </r>
  <r>
    <x v="12"/>
    <x v="3"/>
    <x v="0"/>
    <n v="3"/>
  </r>
  <r>
    <x v="17"/>
    <x v="3"/>
    <x v="0"/>
    <n v="3"/>
  </r>
  <r>
    <x v="12"/>
    <x v="3"/>
    <x v="0"/>
    <n v="3"/>
  </r>
  <r>
    <x v="12"/>
    <x v="3"/>
    <x v="0"/>
    <n v="3"/>
  </r>
  <r>
    <x v="17"/>
    <x v="3"/>
    <x v="0"/>
    <n v="3"/>
  </r>
  <r>
    <x v="18"/>
    <x v="3"/>
    <x v="0"/>
    <n v="4"/>
  </r>
  <r>
    <x v="12"/>
    <x v="3"/>
    <x v="0"/>
    <n v="3"/>
  </r>
  <r>
    <x v="12"/>
    <x v="3"/>
    <x v="0"/>
    <n v="3"/>
  </r>
  <r>
    <x v="12"/>
    <x v="3"/>
    <x v="0"/>
    <n v="3"/>
  </r>
  <r>
    <x v="13"/>
    <x v="3"/>
    <x v="0"/>
    <n v="3"/>
  </r>
  <r>
    <x v="12"/>
    <x v="3"/>
    <x v="0"/>
    <n v="3"/>
  </r>
  <r>
    <x v="13"/>
    <x v="3"/>
    <x v="0"/>
    <n v="3"/>
  </r>
  <r>
    <x v="19"/>
    <x v="3"/>
    <x v="0"/>
    <n v="4"/>
  </r>
  <r>
    <x v="19"/>
    <x v="3"/>
    <x v="0"/>
    <n v="4"/>
  </r>
  <r>
    <x v="20"/>
    <x v="4"/>
    <x v="0"/>
    <n v="1"/>
  </r>
  <r>
    <x v="21"/>
    <x v="4"/>
    <x v="0"/>
    <n v="0"/>
  </r>
  <r>
    <x v="20"/>
    <x v="4"/>
    <x v="0"/>
    <n v="1"/>
  </r>
  <r>
    <x v="22"/>
    <x v="4"/>
    <x v="0"/>
    <n v="2"/>
  </r>
  <r>
    <x v="23"/>
    <x v="4"/>
    <x v="0"/>
    <n v="0"/>
  </r>
  <r>
    <x v="24"/>
    <x v="4"/>
    <x v="0"/>
    <n v="1"/>
  </r>
  <r>
    <x v="23"/>
    <x v="4"/>
    <x v="0"/>
    <n v="0"/>
  </r>
  <r>
    <x v="24"/>
    <x v="4"/>
    <x v="0"/>
    <n v="1"/>
  </r>
  <r>
    <x v="22"/>
    <x v="4"/>
    <x v="0"/>
    <n v="2"/>
  </r>
  <r>
    <x v="21"/>
    <x v="4"/>
    <x v="0"/>
    <n v="0"/>
  </r>
  <r>
    <x v="20"/>
    <x v="4"/>
    <x v="0"/>
    <n v="1"/>
  </r>
  <r>
    <x v="21"/>
    <x v="4"/>
    <x v="0"/>
    <n v="0"/>
  </r>
  <r>
    <x v="20"/>
    <x v="4"/>
    <x v="0"/>
    <n v="1"/>
  </r>
  <r>
    <x v="25"/>
    <x v="4"/>
    <x v="0"/>
    <n v="0"/>
  </r>
  <r>
    <x v="24"/>
    <x v="4"/>
    <x v="0"/>
    <n v="1"/>
  </r>
  <r>
    <x v="20"/>
    <x v="4"/>
    <x v="0"/>
    <n v="1"/>
  </r>
  <r>
    <x v="24"/>
    <x v="4"/>
    <x v="0"/>
    <n v="1"/>
  </r>
  <r>
    <x v="21"/>
    <x v="4"/>
    <x v="0"/>
    <n v="0"/>
  </r>
  <r>
    <x v="20"/>
    <x v="4"/>
    <x v="0"/>
    <n v="1"/>
  </r>
  <r>
    <x v="25"/>
    <x v="4"/>
    <x v="0"/>
    <n v="0"/>
  </r>
  <r>
    <x v="21"/>
    <x v="4"/>
    <x v="0"/>
    <n v="0"/>
  </r>
  <r>
    <x v="20"/>
    <x v="4"/>
    <x v="0"/>
    <n v="1"/>
  </r>
  <r>
    <x v="21"/>
    <x v="4"/>
    <x v="0"/>
    <n v="0"/>
  </r>
  <r>
    <x v="20"/>
    <x v="4"/>
    <x v="0"/>
    <n v="1"/>
  </r>
  <r>
    <x v="20"/>
    <x v="4"/>
    <x v="0"/>
    <n v="1"/>
  </r>
  <r>
    <x v="21"/>
    <x v="4"/>
    <x v="0"/>
    <n v="0"/>
  </r>
  <r>
    <x v="20"/>
    <x v="4"/>
    <x v="0"/>
    <n v="1"/>
  </r>
  <r>
    <x v="23"/>
    <x v="4"/>
    <x v="0"/>
    <n v="0"/>
  </r>
  <r>
    <x v="20"/>
    <x v="4"/>
    <x v="0"/>
    <n v="1"/>
  </r>
  <r>
    <x v="21"/>
    <x v="4"/>
    <x v="0"/>
    <n v="0"/>
  </r>
  <r>
    <x v="20"/>
    <x v="4"/>
    <x v="0"/>
    <n v="1"/>
  </r>
  <r>
    <x v="21"/>
    <x v="4"/>
    <x v="0"/>
    <n v="0"/>
  </r>
  <r>
    <x v="20"/>
    <x v="4"/>
    <x v="0"/>
    <n v="1"/>
  </r>
  <r>
    <x v="25"/>
    <x v="4"/>
    <x v="0"/>
    <n v="0"/>
  </r>
  <r>
    <x v="25"/>
    <x v="4"/>
    <x v="0"/>
    <n v="0"/>
  </r>
  <r>
    <x v="26"/>
    <x v="4"/>
    <x v="0"/>
    <n v="1"/>
  </r>
  <r>
    <x v="20"/>
    <x v="4"/>
    <x v="0"/>
    <n v="1"/>
  </r>
  <r>
    <x v="23"/>
    <x v="4"/>
    <x v="0"/>
    <n v="0"/>
  </r>
  <r>
    <x v="21"/>
    <x v="4"/>
    <x v="0"/>
    <n v="0"/>
  </r>
  <r>
    <x v="20"/>
    <x v="4"/>
    <x v="0"/>
    <n v="1"/>
  </r>
  <r>
    <x v="25"/>
    <x v="4"/>
    <x v="0"/>
    <n v="0"/>
  </r>
  <r>
    <x v="23"/>
    <x v="4"/>
    <x v="0"/>
    <n v="0"/>
  </r>
  <r>
    <x v="27"/>
    <x v="4"/>
    <x v="0"/>
    <n v="0"/>
  </r>
  <r>
    <x v="23"/>
    <x v="4"/>
    <x v="0"/>
    <n v="0"/>
  </r>
  <r>
    <x v="27"/>
    <x v="4"/>
    <x v="0"/>
    <n v="0"/>
  </r>
  <r>
    <x v="23"/>
    <x v="4"/>
    <x v="0"/>
    <n v="0"/>
  </r>
  <r>
    <x v="28"/>
    <x v="4"/>
    <x v="0"/>
    <n v="0"/>
  </r>
  <r>
    <x v="26"/>
    <x v="4"/>
    <x v="0"/>
    <n v="1"/>
  </r>
  <r>
    <x v="23"/>
    <x v="4"/>
    <x v="0"/>
    <n v="0"/>
  </r>
  <r>
    <x v="23"/>
    <x v="4"/>
    <x v="0"/>
    <n v="0"/>
  </r>
  <r>
    <x v="26"/>
    <x v="4"/>
    <x v="0"/>
    <n v="1"/>
  </r>
  <r>
    <x v="26"/>
    <x v="4"/>
    <x v="0"/>
    <n v="1"/>
  </r>
  <r>
    <x v="26"/>
    <x v="4"/>
    <x v="0"/>
    <n v="1"/>
  </r>
  <r>
    <x v="26"/>
    <x v="4"/>
    <x v="0"/>
    <n v="1"/>
  </r>
  <r>
    <x v="26"/>
    <x v="4"/>
    <x v="0"/>
    <n v="1"/>
  </r>
  <r>
    <x v="26"/>
    <x v="4"/>
    <x v="0"/>
    <n v="1"/>
  </r>
  <r>
    <x v="26"/>
    <x v="4"/>
    <x v="0"/>
    <n v="1"/>
  </r>
  <r>
    <x v="26"/>
    <x v="4"/>
    <x v="0"/>
    <n v="1"/>
  </r>
  <r>
    <x v="29"/>
    <x v="4"/>
    <x v="0"/>
    <n v="0"/>
  </r>
  <r>
    <x v="27"/>
    <x v="4"/>
    <x v="0"/>
    <n v="0"/>
  </r>
  <r>
    <x v="30"/>
    <x v="4"/>
    <x v="0"/>
    <n v="2"/>
  </r>
  <r>
    <x v="28"/>
    <x v="4"/>
    <x v="0"/>
    <n v="0"/>
  </r>
  <r>
    <x v="31"/>
    <x v="4"/>
    <x v="0"/>
    <n v="1"/>
  </r>
  <r>
    <x v="23"/>
    <x v="4"/>
    <x v="0"/>
    <n v="0"/>
  </r>
  <r>
    <x v="21"/>
    <x v="4"/>
    <x v="0"/>
    <n v="0"/>
  </r>
  <r>
    <x v="20"/>
    <x v="4"/>
    <x v="0"/>
    <n v="1"/>
  </r>
  <r>
    <x v="32"/>
    <x v="4"/>
    <x v="0"/>
    <n v="0"/>
  </r>
  <r>
    <x v="28"/>
    <x v="4"/>
    <x v="0"/>
    <n v="0"/>
  </r>
  <r>
    <x v="23"/>
    <x v="4"/>
    <x v="0"/>
    <n v="0"/>
  </r>
  <r>
    <x v="23"/>
    <x v="4"/>
    <x v="0"/>
    <n v="0"/>
  </r>
  <r>
    <x v="26"/>
    <x v="4"/>
    <x v="0"/>
    <n v="1"/>
  </r>
  <r>
    <x v="33"/>
    <x v="4"/>
    <x v="0"/>
    <n v="0"/>
  </r>
  <r>
    <x v="30"/>
    <x v="4"/>
    <x v="0"/>
    <n v="2"/>
  </r>
  <r>
    <x v="26"/>
    <x v="4"/>
    <x v="0"/>
    <n v="1"/>
  </r>
  <r>
    <x v="23"/>
    <x v="4"/>
    <x v="0"/>
    <n v="0"/>
  </r>
  <r>
    <x v="23"/>
    <x v="4"/>
    <x v="0"/>
    <n v="0"/>
  </r>
  <r>
    <x v="22"/>
    <x v="4"/>
    <x v="0"/>
    <n v="2"/>
  </r>
  <r>
    <x v="28"/>
    <x v="4"/>
    <x v="0"/>
    <n v="0"/>
  </r>
  <r>
    <x v="23"/>
    <x v="4"/>
    <x v="0"/>
    <n v="0"/>
  </r>
  <r>
    <x v="23"/>
    <x v="4"/>
    <x v="0"/>
    <n v="0"/>
  </r>
  <r>
    <x v="28"/>
    <x v="4"/>
    <x v="0"/>
    <n v="0"/>
  </r>
  <r>
    <x v="28"/>
    <x v="4"/>
    <x v="0"/>
    <n v="0"/>
  </r>
  <r>
    <x v="23"/>
    <x v="4"/>
    <x v="0"/>
    <n v="0"/>
  </r>
  <r>
    <x v="23"/>
    <x v="4"/>
    <x v="0"/>
    <n v="0"/>
  </r>
  <r>
    <x v="24"/>
    <x v="4"/>
    <x v="0"/>
    <n v="1"/>
  </r>
  <r>
    <x v="23"/>
    <x v="4"/>
    <x v="0"/>
    <n v="0"/>
  </r>
  <r>
    <x v="33"/>
    <x v="4"/>
    <x v="0"/>
    <n v="0"/>
  </r>
  <r>
    <x v="33"/>
    <x v="4"/>
    <x v="0"/>
    <n v="0"/>
  </r>
  <r>
    <x v="29"/>
    <x v="4"/>
    <x v="0"/>
    <n v="0"/>
  </r>
  <r>
    <x v="30"/>
    <x v="4"/>
    <x v="0"/>
    <n v="2"/>
  </r>
  <r>
    <x v="25"/>
    <x v="4"/>
    <x v="0"/>
    <n v="0"/>
  </r>
  <r>
    <x v="34"/>
    <x v="4"/>
    <x v="0"/>
    <n v="0"/>
  </r>
  <r>
    <x v="26"/>
    <x v="4"/>
    <x v="0"/>
    <n v="1"/>
  </r>
  <r>
    <x v="23"/>
    <x v="4"/>
    <x v="0"/>
    <n v="0"/>
  </r>
  <r>
    <x v="26"/>
    <x v="4"/>
    <x v="0"/>
    <n v="1"/>
  </r>
  <r>
    <x v="20"/>
    <x v="4"/>
    <x v="0"/>
    <n v="1"/>
  </r>
  <r>
    <x v="34"/>
    <x v="4"/>
    <x v="0"/>
    <n v="0"/>
  </r>
  <r>
    <x v="35"/>
    <x v="4"/>
    <x v="0"/>
    <n v="0"/>
  </r>
  <r>
    <x v="35"/>
    <x v="4"/>
    <x v="0"/>
    <n v="0"/>
  </r>
  <r>
    <x v="35"/>
    <x v="4"/>
    <x v="0"/>
    <n v="0"/>
  </r>
  <r>
    <x v="35"/>
    <x v="4"/>
    <x v="0"/>
    <n v="0"/>
  </r>
  <r>
    <x v="36"/>
    <x v="4"/>
    <x v="0"/>
    <n v="1"/>
  </r>
  <r>
    <x v="36"/>
    <x v="4"/>
    <x v="0"/>
    <n v="1"/>
  </r>
  <r>
    <x v="35"/>
    <x v="4"/>
    <x v="0"/>
    <n v="0"/>
  </r>
  <r>
    <x v="35"/>
    <x v="4"/>
    <x v="0"/>
    <n v="0"/>
  </r>
  <r>
    <x v="35"/>
    <x v="4"/>
    <x v="0"/>
    <n v="0"/>
  </r>
  <r>
    <x v="35"/>
    <x v="4"/>
    <x v="0"/>
    <n v="0"/>
  </r>
  <r>
    <x v="35"/>
    <x v="4"/>
    <x v="0"/>
    <n v="0"/>
  </r>
  <r>
    <x v="35"/>
    <x v="4"/>
    <x v="0"/>
    <n v="0"/>
  </r>
  <r>
    <x v="35"/>
    <x v="4"/>
    <x v="0"/>
    <n v="0"/>
  </r>
  <r>
    <x v="35"/>
    <x v="4"/>
    <x v="0"/>
    <n v="0"/>
  </r>
  <r>
    <x v="37"/>
    <x v="5"/>
    <x v="0"/>
    <n v="0"/>
  </r>
  <r>
    <x v="38"/>
    <x v="5"/>
    <x v="0"/>
    <n v="0"/>
  </r>
  <r>
    <x v="39"/>
    <x v="5"/>
    <x v="0"/>
    <n v="0"/>
  </r>
  <r>
    <x v="37"/>
    <x v="5"/>
    <x v="0"/>
    <n v="0"/>
  </r>
  <r>
    <x v="40"/>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8"/>
    <x v="5"/>
    <x v="0"/>
    <n v="0"/>
  </r>
  <r>
    <x v="41"/>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42"/>
    <x v="5"/>
    <x v="0"/>
    <n v="0"/>
  </r>
  <r>
    <x v="41"/>
    <x v="5"/>
    <x v="0"/>
    <n v="0"/>
  </r>
  <r>
    <x v="37"/>
    <x v="5"/>
    <x v="0"/>
    <n v="0"/>
  </r>
  <r>
    <x v="37"/>
    <x v="5"/>
    <x v="0"/>
    <n v="0"/>
  </r>
  <r>
    <x v="37"/>
    <x v="5"/>
    <x v="0"/>
    <n v="0"/>
  </r>
  <r>
    <x v="37"/>
    <x v="5"/>
    <x v="0"/>
    <n v="0"/>
  </r>
  <r>
    <x v="37"/>
    <x v="5"/>
    <x v="0"/>
    <n v="0"/>
  </r>
  <r>
    <x v="37"/>
    <x v="5"/>
    <x v="0"/>
    <n v="0"/>
  </r>
  <r>
    <x v="40"/>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37"/>
    <x v="5"/>
    <x v="0"/>
    <n v="0"/>
  </r>
  <r>
    <x v="41"/>
    <x v="5"/>
    <x v="0"/>
    <n v="0"/>
  </r>
  <r>
    <x v="37"/>
    <x v="5"/>
    <x v="0"/>
    <n v="0"/>
  </r>
  <r>
    <x v="37"/>
    <x v="5"/>
    <x v="0"/>
    <n v="0"/>
  </r>
  <r>
    <x v="37"/>
    <x v="5"/>
    <x v="0"/>
    <n v="0"/>
  </r>
  <r>
    <x v="37"/>
    <x v="5"/>
    <x v="0"/>
    <n v="0"/>
  </r>
  <r>
    <x v="37"/>
    <x v="5"/>
    <x v="0"/>
    <n v="0"/>
  </r>
  <r>
    <x v="37"/>
    <x v="5"/>
    <x v="0"/>
    <n v="0"/>
  </r>
  <r>
    <x v="37"/>
    <x v="5"/>
    <x v="0"/>
    <n v="0"/>
  </r>
  <r>
    <x v="37"/>
    <x v="5"/>
    <x v="0"/>
    <n v="0"/>
  </r>
  <r>
    <x v="43"/>
    <x v="5"/>
    <x v="0"/>
    <n v="0"/>
  </r>
  <r>
    <x v="43"/>
    <x v="5"/>
    <x v="0"/>
    <n v="0"/>
  </r>
  <r>
    <x v="37"/>
    <x v="5"/>
    <x v="0"/>
    <n v="0"/>
  </r>
  <r>
    <x v="40"/>
    <x v="5"/>
    <x v="0"/>
    <n v="0"/>
  </r>
  <r>
    <x v="38"/>
    <x v="5"/>
    <x v="0"/>
    <n v="0"/>
  </r>
  <r>
    <x v="41"/>
    <x v="5"/>
    <x v="0"/>
    <n v="0"/>
  </r>
  <r>
    <x v="38"/>
    <x v="5"/>
    <x v="0"/>
    <n v="0"/>
  </r>
  <r>
    <x v="41"/>
    <x v="5"/>
    <x v="0"/>
    <n v="0"/>
  </r>
  <r>
    <x v="42"/>
    <x v="5"/>
    <x v="0"/>
    <n v="0"/>
  </r>
  <r>
    <x v="41"/>
    <x v="5"/>
    <x v="0"/>
    <n v="0"/>
  </r>
  <r>
    <x v="37"/>
    <x v="5"/>
    <x v="0"/>
    <n v="0"/>
  </r>
  <r>
    <x v="41"/>
    <x v="5"/>
    <x v="0"/>
    <n v="0"/>
  </r>
  <r>
    <x v="41"/>
    <x v="5"/>
    <x v="0"/>
    <n v="0"/>
  </r>
  <r>
    <x v="41"/>
    <x v="5"/>
    <x v="0"/>
    <n v="0"/>
  </r>
  <r>
    <x v="41"/>
    <x v="5"/>
    <x v="0"/>
    <n v="0"/>
  </r>
  <r>
    <x v="41"/>
    <x v="5"/>
    <x v="0"/>
    <n v="0"/>
  </r>
  <r>
    <x v="41"/>
    <x v="5"/>
    <x v="0"/>
    <n v="0"/>
  </r>
  <r>
    <x v="40"/>
    <x v="5"/>
    <x v="0"/>
    <n v="0"/>
  </r>
  <r>
    <x v="38"/>
    <x v="5"/>
    <x v="0"/>
    <n v="0"/>
  </r>
  <r>
    <x v="40"/>
    <x v="5"/>
    <x v="0"/>
    <n v="0"/>
  </r>
  <r>
    <x v="37"/>
    <x v="5"/>
    <x v="0"/>
    <n v="0"/>
  </r>
  <r>
    <x v="41"/>
    <x v="5"/>
    <x v="0"/>
    <n v="0"/>
  </r>
  <r>
    <x v="38"/>
    <x v="5"/>
    <x v="0"/>
    <n v="0"/>
  </r>
  <r>
    <x v="40"/>
    <x v="5"/>
    <x v="0"/>
    <n v="0"/>
  </r>
  <r>
    <x v="38"/>
    <x v="5"/>
    <x v="0"/>
    <n v="0"/>
  </r>
  <r>
    <x v="37"/>
    <x v="5"/>
    <x v="0"/>
    <n v="0"/>
  </r>
  <r>
    <x v="40"/>
    <x v="5"/>
    <x v="0"/>
    <n v="0"/>
  </r>
  <r>
    <x v="44"/>
    <x v="5"/>
    <x v="0"/>
    <n v="0"/>
  </r>
  <r>
    <x v="40"/>
    <x v="5"/>
    <x v="0"/>
    <n v="0"/>
  </r>
  <r>
    <x v="42"/>
    <x v="5"/>
    <x v="0"/>
    <n v="0"/>
  </r>
  <r>
    <x v="41"/>
    <x v="5"/>
    <x v="0"/>
    <n v="0"/>
  </r>
  <r>
    <x v="37"/>
    <x v="5"/>
    <x v="0"/>
    <n v="0"/>
  </r>
  <r>
    <x v="38"/>
    <x v="5"/>
    <x v="0"/>
    <n v="0"/>
  </r>
  <r>
    <x v="44"/>
    <x v="5"/>
    <x v="0"/>
    <n v="0"/>
  </r>
  <r>
    <x v="40"/>
    <x v="5"/>
    <x v="0"/>
    <n v="0"/>
  </r>
  <r>
    <x v="44"/>
    <x v="5"/>
    <x v="0"/>
    <n v="0"/>
  </r>
  <r>
    <x v="40"/>
    <x v="5"/>
    <x v="0"/>
    <n v="0"/>
  </r>
  <r>
    <x v="43"/>
    <x v="5"/>
    <x v="0"/>
    <n v="0"/>
  </r>
  <r>
    <x v="38"/>
    <x v="5"/>
    <x v="0"/>
    <n v="0"/>
  </r>
  <r>
    <x v="37"/>
    <x v="5"/>
    <x v="0"/>
    <n v="0"/>
  </r>
  <r>
    <x v="41"/>
    <x v="5"/>
    <x v="0"/>
    <n v="0"/>
  </r>
  <r>
    <x v="42"/>
    <x v="5"/>
    <x v="0"/>
    <n v="0"/>
  </r>
  <r>
    <x v="41"/>
    <x v="5"/>
    <x v="0"/>
    <n v="0"/>
  </r>
  <r>
    <x v="37"/>
    <x v="5"/>
    <x v="0"/>
    <n v="0"/>
  </r>
  <r>
    <x v="37"/>
    <x v="5"/>
    <x v="0"/>
    <n v="0"/>
  </r>
  <r>
    <x v="37"/>
    <x v="5"/>
    <x v="0"/>
    <n v="0"/>
  </r>
  <r>
    <x v="40"/>
    <x v="5"/>
    <x v="0"/>
    <n v="0"/>
  </r>
  <r>
    <x v="37"/>
    <x v="5"/>
    <x v="0"/>
    <n v="0"/>
  </r>
  <r>
    <x v="37"/>
    <x v="5"/>
    <x v="0"/>
    <n v="0"/>
  </r>
  <r>
    <x v="37"/>
    <x v="5"/>
    <x v="0"/>
    <n v="0"/>
  </r>
  <r>
    <x v="38"/>
    <x v="5"/>
    <x v="0"/>
    <n v="0"/>
  </r>
  <r>
    <x v="39"/>
    <x v="5"/>
    <x v="0"/>
    <n v="0"/>
  </r>
  <r>
    <x v="37"/>
    <x v="5"/>
    <x v="0"/>
    <n v="0"/>
  </r>
  <r>
    <x v="37"/>
    <x v="5"/>
    <x v="0"/>
    <n v="0"/>
  </r>
  <r>
    <x v="37"/>
    <x v="5"/>
    <x v="0"/>
    <n v="0"/>
  </r>
  <r>
    <x v="37"/>
    <x v="5"/>
    <x v="0"/>
    <n v="0"/>
  </r>
  <r>
    <x v="38"/>
    <x v="5"/>
    <x v="0"/>
    <n v="0"/>
  </r>
  <r>
    <x v="37"/>
    <x v="5"/>
    <x v="0"/>
    <n v="0"/>
  </r>
  <r>
    <x v="37"/>
    <x v="5"/>
    <x v="0"/>
    <n v="0"/>
  </r>
  <r>
    <x v="40"/>
    <x v="5"/>
    <x v="0"/>
    <n v="0"/>
  </r>
  <r>
    <x v="37"/>
    <x v="5"/>
    <x v="0"/>
    <n v="0"/>
  </r>
  <r>
    <x v="37"/>
    <x v="5"/>
    <x v="0"/>
    <n v="0"/>
  </r>
  <r>
    <x v="37"/>
    <x v="5"/>
    <x v="0"/>
    <n v="0"/>
  </r>
  <r>
    <x v="37"/>
    <x v="5"/>
    <x v="0"/>
    <n v="0"/>
  </r>
  <r>
    <x v="37"/>
    <x v="5"/>
    <x v="0"/>
    <n v="0"/>
  </r>
  <r>
    <x v="37"/>
    <x v="5"/>
    <x v="0"/>
    <n v="0"/>
  </r>
  <r>
    <x v="40"/>
    <x v="5"/>
    <x v="0"/>
    <n v="0"/>
  </r>
  <r>
    <x v="37"/>
    <x v="5"/>
    <x v="0"/>
    <n v="0"/>
  </r>
  <r>
    <x v="45"/>
    <x v="6"/>
    <x v="0"/>
    <n v="1"/>
  </r>
  <r>
    <x v="45"/>
    <x v="6"/>
    <x v="0"/>
    <n v="1"/>
  </r>
  <r>
    <x v="46"/>
    <x v="6"/>
    <x v="0"/>
    <n v="3"/>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5"/>
    <x v="6"/>
    <x v="0"/>
    <n v="1"/>
  </r>
  <r>
    <x v="46"/>
    <x v="6"/>
    <x v="0"/>
    <n v="3"/>
  </r>
  <r>
    <x v="47"/>
    <x v="6"/>
    <x v="0"/>
    <n v="3"/>
  </r>
  <r>
    <x v="48"/>
    <x v="6"/>
    <x v="0"/>
    <n v="3"/>
  </r>
  <r>
    <x v="48"/>
    <x v="6"/>
    <x v="0"/>
    <n v="3"/>
  </r>
  <r>
    <x v="45"/>
    <x v="6"/>
    <x v="0"/>
    <n v="1"/>
  </r>
  <r>
    <x v="45"/>
    <x v="6"/>
    <x v="0"/>
    <n v="1"/>
  </r>
  <r>
    <x v="45"/>
    <x v="6"/>
    <x v="0"/>
    <n v="1"/>
  </r>
  <r>
    <x v="45"/>
    <x v="6"/>
    <x v="0"/>
    <n v="1"/>
  </r>
  <r>
    <x v="45"/>
    <x v="6"/>
    <x v="0"/>
    <n v="1"/>
  </r>
  <r>
    <x v="45"/>
    <x v="6"/>
    <x v="0"/>
    <n v="1"/>
  </r>
  <r>
    <x v="46"/>
    <x v="6"/>
    <x v="0"/>
    <n v="3"/>
  </r>
  <r>
    <x v="45"/>
    <x v="6"/>
    <x v="0"/>
    <n v="1"/>
  </r>
  <r>
    <x v="45"/>
    <x v="6"/>
    <x v="0"/>
    <n v="1"/>
  </r>
  <r>
    <x v="45"/>
    <x v="6"/>
    <x v="0"/>
    <n v="1"/>
  </r>
  <r>
    <x v="45"/>
    <x v="6"/>
    <x v="0"/>
    <n v="1"/>
  </r>
  <r>
    <x v="45"/>
    <x v="6"/>
    <x v="0"/>
    <n v="1"/>
  </r>
  <r>
    <x v="45"/>
    <x v="6"/>
    <x v="0"/>
    <n v="1"/>
  </r>
  <r>
    <x v="49"/>
    <x v="6"/>
    <x v="0"/>
    <n v="3"/>
  </r>
  <r>
    <x v="47"/>
    <x v="6"/>
    <x v="0"/>
    <n v="3"/>
  </r>
  <r>
    <x v="46"/>
    <x v="6"/>
    <x v="0"/>
    <n v="3"/>
  </r>
  <r>
    <x v="45"/>
    <x v="6"/>
    <x v="0"/>
    <n v="1"/>
  </r>
  <r>
    <x v="45"/>
    <x v="6"/>
    <x v="0"/>
    <n v="1"/>
  </r>
  <r>
    <x v="45"/>
    <x v="6"/>
    <x v="0"/>
    <n v="1"/>
  </r>
  <r>
    <x v="48"/>
    <x v="6"/>
    <x v="0"/>
    <n v="3"/>
  </r>
  <r>
    <x v="48"/>
    <x v="6"/>
    <x v="0"/>
    <n v="3"/>
  </r>
  <r>
    <x v="50"/>
    <x v="6"/>
    <x v="0"/>
    <n v="3"/>
  </r>
  <r>
    <x v="45"/>
    <x v="6"/>
    <x v="0"/>
    <n v="1"/>
  </r>
  <r>
    <x v="45"/>
    <x v="6"/>
    <x v="0"/>
    <n v="1"/>
  </r>
  <r>
    <x v="45"/>
    <x v="6"/>
    <x v="0"/>
    <n v="1"/>
  </r>
  <r>
    <x v="47"/>
    <x v="6"/>
    <x v="0"/>
    <n v="3"/>
  </r>
  <r>
    <x v="48"/>
    <x v="6"/>
    <x v="0"/>
    <n v="3"/>
  </r>
  <r>
    <x v="48"/>
    <x v="6"/>
    <x v="0"/>
    <n v="3"/>
  </r>
  <r>
    <x v="50"/>
    <x v="6"/>
    <x v="0"/>
    <n v="3"/>
  </r>
  <r>
    <x v="46"/>
    <x v="6"/>
    <x v="0"/>
    <n v="3"/>
  </r>
  <r>
    <x v="47"/>
    <x v="6"/>
    <x v="0"/>
    <n v="3"/>
  </r>
  <r>
    <x v="45"/>
    <x v="6"/>
    <x v="0"/>
    <n v="1"/>
  </r>
  <r>
    <x v="45"/>
    <x v="6"/>
    <x v="0"/>
    <n v="1"/>
  </r>
  <r>
    <x v="45"/>
    <x v="6"/>
    <x v="0"/>
    <n v="1"/>
  </r>
  <r>
    <x v="45"/>
    <x v="6"/>
    <x v="0"/>
    <n v="1"/>
  </r>
  <r>
    <x v="45"/>
    <x v="6"/>
    <x v="0"/>
    <n v="1"/>
  </r>
  <r>
    <x v="45"/>
    <x v="6"/>
    <x v="0"/>
    <n v="1"/>
  </r>
  <r>
    <x v="45"/>
    <x v="6"/>
    <x v="0"/>
    <n v="1"/>
  </r>
  <r>
    <x v="46"/>
    <x v="6"/>
    <x v="0"/>
    <n v="3"/>
  </r>
  <r>
    <x v="45"/>
    <x v="6"/>
    <x v="0"/>
    <n v="1"/>
  </r>
  <r>
    <x v="45"/>
    <x v="6"/>
    <x v="0"/>
    <n v="1"/>
  </r>
  <r>
    <x v="51"/>
    <x v="6"/>
    <x v="0"/>
    <n v="3"/>
  </r>
  <r>
    <x v="45"/>
    <x v="6"/>
    <x v="0"/>
    <n v="1"/>
  </r>
  <r>
    <x v="48"/>
    <x v="6"/>
    <x v="0"/>
    <n v="3"/>
  </r>
  <r>
    <x v="47"/>
    <x v="6"/>
    <x v="0"/>
    <n v="3"/>
  </r>
  <r>
    <x v="45"/>
    <x v="6"/>
    <x v="0"/>
    <n v="1"/>
  </r>
  <r>
    <x v="45"/>
    <x v="6"/>
    <x v="0"/>
    <n v="1"/>
  </r>
  <r>
    <x v="45"/>
    <x v="6"/>
    <x v="0"/>
    <n v="1"/>
  </r>
  <r>
    <x v="51"/>
    <x v="6"/>
    <x v="0"/>
    <n v="3"/>
  </r>
  <r>
    <x v="45"/>
    <x v="6"/>
    <x v="0"/>
    <n v="1"/>
  </r>
  <r>
    <x v="45"/>
    <x v="6"/>
    <x v="0"/>
    <n v="1"/>
  </r>
  <r>
    <x v="45"/>
    <x v="6"/>
    <x v="0"/>
    <n v="1"/>
  </r>
  <r>
    <x v="45"/>
    <x v="6"/>
    <x v="0"/>
    <n v="1"/>
  </r>
  <r>
    <x v="45"/>
    <x v="6"/>
    <x v="0"/>
    <n v="1"/>
  </r>
  <r>
    <x v="45"/>
    <x v="6"/>
    <x v="0"/>
    <n v="1"/>
  </r>
  <r>
    <x v="45"/>
    <x v="6"/>
    <x v="0"/>
    <n v="1"/>
  </r>
  <r>
    <x v="52"/>
    <x v="7"/>
    <x v="0"/>
    <n v="0"/>
  </r>
  <r>
    <x v="53"/>
    <x v="7"/>
    <x v="0"/>
    <n v="0"/>
  </r>
  <r>
    <x v="52"/>
    <x v="7"/>
    <x v="0"/>
    <n v="0"/>
  </r>
  <r>
    <x v="54"/>
    <x v="7"/>
    <x v="0"/>
    <n v="0"/>
  </r>
  <r>
    <x v="54"/>
    <x v="7"/>
    <x v="0"/>
    <n v="0"/>
  </r>
  <r>
    <x v="55"/>
    <x v="7"/>
    <x v="0"/>
    <n v="0"/>
  </r>
  <r>
    <x v="54"/>
    <x v="7"/>
    <x v="0"/>
    <n v="0"/>
  </r>
  <r>
    <x v="55"/>
    <x v="7"/>
    <x v="0"/>
    <n v="0"/>
  </r>
  <r>
    <x v="53"/>
    <x v="7"/>
    <x v="0"/>
    <n v="0"/>
  </r>
  <r>
    <x v="56"/>
    <x v="7"/>
    <x v="0"/>
    <n v="0"/>
  </r>
  <r>
    <x v="52"/>
    <x v="7"/>
    <x v="0"/>
    <n v="0"/>
  </r>
  <r>
    <x v="52"/>
    <x v="7"/>
    <x v="0"/>
    <n v="0"/>
  </r>
  <r>
    <x v="54"/>
    <x v="7"/>
    <x v="0"/>
    <n v="0"/>
  </r>
  <r>
    <x v="56"/>
    <x v="7"/>
    <x v="0"/>
    <n v="0"/>
  </r>
  <r>
    <x v="52"/>
    <x v="7"/>
    <x v="0"/>
    <n v="0"/>
  </r>
  <r>
    <x v="52"/>
    <x v="7"/>
    <x v="0"/>
    <n v="0"/>
  </r>
  <r>
    <x v="52"/>
    <x v="7"/>
    <x v="0"/>
    <n v="0"/>
  </r>
  <r>
    <x v="52"/>
    <x v="7"/>
    <x v="0"/>
    <n v="0"/>
  </r>
  <r>
    <x v="54"/>
    <x v="7"/>
    <x v="0"/>
    <n v="0"/>
  </r>
  <r>
    <x v="52"/>
    <x v="7"/>
    <x v="0"/>
    <n v="0"/>
  </r>
  <r>
    <x v="52"/>
    <x v="7"/>
    <x v="0"/>
    <n v="0"/>
  </r>
  <r>
    <x v="54"/>
    <x v="7"/>
    <x v="0"/>
    <n v="0"/>
  </r>
  <r>
    <x v="57"/>
    <x v="7"/>
    <x v="0"/>
    <n v="0"/>
  </r>
  <r>
    <x v="58"/>
    <x v="7"/>
    <x v="0"/>
    <n v="0"/>
  </r>
  <r>
    <x v="58"/>
    <x v="7"/>
    <x v="0"/>
    <n v="0"/>
  </r>
  <r>
    <x v="59"/>
    <x v="7"/>
    <x v="0"/>
    <n v="0"/>
  </r>
  <r>
    <x v="58"/>
    <x v="7"/>
    <x v="0"/>
    <n v="0"/>
  </r>
  <r>
    <x v="58"/>
    <x v="7"/>
    <x v="0"/>
    <n v="0"/>
  </r>
  <r>
    <x v="54"/>
    <x v="7"/>
    <x v="0"/>
    <n v="0"/>
  </r>
  <r>
    <x v="58"/>
    <x v="7"/>
    <x v="0"/>
    <n v="0"/>
  </r>
  <r>
    <x v="59"/>
    <x v="7"/>
    <x v="0"/>
    <n v="0"/>
  </r>
  <r>
    <x v="52"/>
    <x v="7"/>
    <x v="0"/>
    <n v="0"/>
  </r>
  <r>
    <x v="54"/>
    <x v="7"/>
    <x v="0"/>
    <n v="0"/>
  </r>
  <r>
    <x v="58"/>
    <x v="7"/>
    <x v="0"/>
    <n v="0"/>
  </r>
  <r>
    <x v="60"/>
    <x v="7"/>
    <x v="0"/>
    <n v="0"/>
  </r>
  <r>
    <x v="53"/>
    <x v="7"/>
    <x v="0"/>
    <n v="0"/>
  </r>
  <r>
    <x v="58"/>
    <x v="7"/>
    <x v="0"/>
    <n v="0"/>
  </r>
  <r>
    <x v="54"/>
    <x v="7"/>
    <x v="0"/>
    <n v="0"/>
  </r>
  <r>
    <x v="58"/>
    <x v="7"/>
    <x v="0"/>
    <n v="0"/>
  </r>
  <r>
    <x v="61"/>
    <x v="7"/>
    <x v="0"/>
    <n v="1"/>
  </r>
  <r>
    <x v="60"/>
    <x v="7"/>
    <x v="0"/>
    <n v="0"/>
  </r>
  <r>
    <x v="58"/>
    <x v="7"/>
    <x v="0"/>
    <n v="0"/>
  </r>
  <r>
    <x v="53"/>
    <x v="7"/>
    <x v="0"/>
    <n v="0"/>
  </r>
  <r>
    <x v="62"/>
    <x v="7"/>
    <x v="0"/>
    <n v="0"/>
  </r>
  <r>
    <x v="58"/>
    <x v="7"/>
    <x v="0"/>
    <n v="0"/>
  </r>
  <r>
    <x v="58"/>
    <x v="7"/>
    <x v="0"/>
    <n v="0"/>
  </r>
  <r>
    <x v="58"/>
    <x v="7"/>
    <x v="0"/>
    <n v="0"/>
  </r>
  <r>
    <x v="58"/>
    <x v="7"/>
    <x v="0"/>
    <n v="0"/>
  </r>
  <r>
    <x v="58"/>
    <x v="7"/>
    <x v="0"/>
    <n v="0"/>
  </r>
  <r>
    <x v="63"/>
    <x v="7"/>
    <x v="0"/>
    <n v="0"/>
  </r>
  <r>
    <x v="58"/>
    <x v="7"/>
    <x v="0"/>
    <n v="0"/>
  </r>
  <r>
    <x v="54"/>
    <x v="7"/>
    <x v="0"/>
    <n v="0"/>
  </r>
  <r>
    <x v="58"/>
    <x v="7"/>
    <x v="0"/>
    <n v="0"/>
  </r>
  <r>
    <x v="60"/>
    <x v="7"/>
    <x v="0"/>
    <n v="0"/>
  </r>
  <r>
    <x v="64"/>
    <x v="7"/>
    <x v="0"/>
    <n v="0"/>
  </r>
  <r>
    <x v="53"/>
    <x v="7"/>
    <x v="0"/>
    <n v="0"/>
  </r>
  <r>
    <x v="62"/>
    <x v="7"/>
    <x v="0"/>
    <n v="0"/>
  </r>
  <r>
    <x v="58"/>
    <x v="7"/>
    <x v="0"/>
    <n v="0"/>
  </r>
  <r>
    <x v="60"/>
    <x v="7"/>
    <x v="0"/>
    <n v="0"/>
  </r>
  <r>
    <x v="60"/>
    <x v="7"/>
    <x v="0"/>
    <n v="0"/>
  </r>
  <r>
    <x v="63"/>
    <x v="7"/>
    <x v="0"/>
    <n v="0"/>
  </r>
  <r>
    <x v="58"/>
    <x v="7"/>
    <x v="0"/>
    <n v="0"/>
  </r>
  <r>
    <x v="58"/>
    <x v="7"/>
    <x v="0"/>
    <n v="0"/>
  </r>
  <r>
    <x v="56"/>
    <x v="7"/>
    <x v="0"/>
    <n v="0"/>
  </r>
  <r>
    <x v="52"/>
    <x v="7"/>
    <x v="0"/>
    <n v="0"/>
  </r>
  <r>
    <x v="60"/>
    <x v="7"/>
    <x v="0"/>
    <n v="0"/>
  </r>
  <r>
    <x v="59"/>
    <x v="7"/>
    <x v="0"/>
    <n v="0"/>
  </r>
  <r>
    <x v="53"/>
    <x v="7"/>
    <x v="0"/>
    <n v="0"/>
  </r>
  <r>
    <x v="58"/>
    <x v="7"/>
    <x v="0"/>
    <n v="0"/>
  </r>
  <r>
    <x v="53"/>
    <x v="7"/>
    <x v="0"/>
    <n v="0"/>
  </r>
  <r>
    <x v="56"/>
    <x v="7"/>
    <x v="0"/>
    <n v="0"/>
  </r>
  <r>
    <x v="52"/>
    <x v="7"/>
    <x v="0"/>
    <n v="0"/>
  </r>
  <r>
    <x v="57"/>
    <x v="7"/>
    <x v="0"/>
    <n v="0"/>
  </r>
  <r>
    <x v="59"/>
    <x v="7"/>
    <x v="0"/>
    <n v="0"/>
  </r>
  <r>
    <x v="56"/>
    <x v="7"/>
    <x v="0"/>
    <n v="0"/>
  </r>
  <r>
    <x v="56"/>
    <x v="7"/>
    <x v="0"/>
    <n v="0"/>
  </r>
  <r>
    <x v="54"/>
    <x v="7"/>
    <x v="0"/>
    <n v="0"/>
  </r>
  <r>
    <x v="56"/>
    <x v="7"/>
    <x v="0"/>
    <n v="0"/>
  </r>
  <r>
    <x v="58"/>
    <x v="7"/>
    <x v="0"/>
    <n v="0"/>
  </r>
  <r>
    <x v="58"/>
    <x v="7"/>
    <x v="0"/>
    <n v="0"/>
  </r>
  <r>
    <x v="58"/>
    <x v="7"/>
    <x v="0"/>
    <n v="0"/>
  </r>
  <r>
    <x v="58"/>
    <x v="7"/>
    <x v="0"/>
    <n v="0"/>
  </r>
  <r>
    <x v="59"/>
    <x v="7"/>
    <x v="0"/>
    <n v="0"/>
  </r>
  <r>
    <x v="56"/>
    <x v="7"/>
    <x v="0"/>
    <n v="0"/>
  </r>
  <r>
    <x v="52"/>
    <x v="7"/>
    <x v="0"/>
    <n v="0"/>
  </r>
  <r>
    <x v="57"/>
    <x v="7"/>
    <x v="0"/>
    <n v="0"/>
  </r>
  <r>
    <x v="52"/>
    <x v="7"/>
    <x v="0"/>
    <n v="0"/>
  </r>
  <r>
    <x v="59"/>
    <x v="7"/>
    <x v="0"/>
    <n v="0"/>
  </r>
  <r>
    <x v="58"/>
    <x v="7"/>
    <x v="0"/>
    <n v="0"/>
  </r>
  <r>
    <x v="53"/>
    <x v="7"/>
    <x v="0"/>
    <n v="0"/>
  </r>
  <r>
    <x v="56"/>
    <x v="7"/>
    <x v="0"/>
    <n v="0"/>
  </r>
  <r>
    <x v="52"/>
    <x v="7"/>
    <x v="0"/>
    <n v="0"/>
  </r>
  <r>
    <x v="53"/>
    <x v="7"/>
    <x v="0"/>
    <n v="0"/>
  </r>
  <r>
    <x v="59"/>
    <x v="7"/>
    <x v="0"/>
    <n v="0"/>
  </r>
  <r>
    <x v="57"/>
    <x v="7"/>
    <x v="0"/>
    <n v="0"/>
  </r>
  <r>
    <x v="52"/>
    <x v="7"/>
    <x v="0"/>
    <n v="0"/>
  </r>
  <r>
    <x v="52"/>
    <x v="7"/>
    <x v="0"/>
    <n v="0"/>
  </r>
  <r>
    <x v="53"/>
    <x v="7"/>
    <x v="0"/>
    <n v="0"/>
  </r>
  <r>
    <x v="52"/>
    <x v="7"/>
    <x v="0"/>
    <n v="0"/>
  </r>
  <r>
    <x v="65"/>
    <x v="7"/>
    <x v="0"/>
    <n v="0"/>
  </r>
  <r>
    <x v="66"/>
    <x v="7"/>
    <x v="0"/>
    <n v="0"/>
  </r>
  <r>
    <x v="65"/>
    <x v="7"/>
    <x v="0"/>
    <n v="0"/>
  </r>
  <r>
    <x v="66"/>
    <x v="7"/>
    <x v="0"/>
    <n v="0"/>
  </r>
  <r>
    <x v="65"/>
    <x v="7"/>
    <x v="0"/>
    <n v="0"/>
  </r>
  <r>
    <x v="65"/>
    <x v="7"/>
    <x v="0"/>
    <n v="0"/>
  </r>
  <r>
    <x v="65"/>
    <x v="7"/>
    <x v="0"/>
    <n v="0"/>
  </r>
  <r>
    <x v="66"/>
    <x v="7"/>
    <x v="0"/>
    <n v="0"/>
  </r>
  <r>
    <x v="65"/>
    <x v="7"/>
    <x v="0"/>
    <n v="0"/>
  </r>
  <r>
    <x v="66"/>
    <x v="7"/>
    <x v="0"/>
    <n v="0"/>
  </r>
  <r>
    <x v="66"/>
    <x v="7"/>
    <x v="0"/>
    <n v="0"/>
  </r>
  <r>
    <x v="66"/>
    <x v="7"/>
    <x v="0"/>
    <n v="0"/>
  </r>
  <r>
    <x v="66"/>
    <x v="7"/>
    <x v="0"/>
    <n v="0"/>
  </r>
  <r>
    <x v="67"/>
    <x v="8"/>
    <x v="0"/>
    <n v="3"/>
  </r>
  <r>
    <x v="68"/>
    <x v="8"/>
    <x v="0"/>
    <n v="2"/>
  </r>
  <r>
    <x v="67"/>
    <x v="8"/>
    <x v="0"/>
    <n v="3"/>
  </r>
  <r>
    <x v="67"/>
    <x v="8"/>
    <x v="0"/>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s v="AFP"/>
    <x v="0"/>
    <n v="0"/>
  </r>
  <r>
    <s v="AFP"/>
    <x v="0"/>
    <n v="0"/>
  </r>
  <r>
    <s v="AFP"/>
    <x v="0"/>
    <n v="0"/>
  </r>
  <r>
    <s v="AFP"/>
    <x v="0"/>
    <n v="0"/>
  </r>
  <r>
    <s v="AFP"/>
    <x v="0"/>
    <n v="0"/>
  </r>
  <r>
    <s v="AFP"/>
    <x v="0"/>
    <n v="0"/>
  </r>
  <r>
    <s v="Corrupt"/>
    <x v="0"/>
    <n v="2"/>
  </r>
  <r>
    <s v="Corrupt"/>
    <x v="0"/>
    <n v="2"/>
  </r>
  <r>
    <s v="AFP"/>
    <x v="0"/>
    <n v="0"/>
  </r>
  <r>
    <s v="AFP"/>
    <x v="0"/>
    <n v="0"/>
  </r>
  <r>
    <s v="AFP"/>
    <x v="0"/>
    <n v="0"/>
  </r>
  <r>
    <s v="AFP"/>
    <x v="0"/>
    <n v="0"/>
  </r>
  <r>
    <s v="AFP"/>
    <x v="0"/>
    <n v="0"/>
  </r>
  <r>
    <s v="AFP"/>
    <x v="0"/>
    <n v="0"/>
  </r>
  <r>
    <s v="schapelle corby"/>
    <x v="1"/>
    <n v="0"/>
  </r>
  <r>
    <s v="schapelle corby"/>
    <x v="1"/>
    <n v="0"/>
  </r>
  <r>
    <s v="schapelle corby"/>
    <x v="1"/>
    <n v="0"/>
  </r>
  <r>
    <s v="australian"/>
    <x v="1"/>
    <n v="0"/>
  </r>
  <r>
    <s v="australia"/>
    <x v="1"/>
    <n v="0"/>
  </r>
  <r>
    <s v="schapelle corby"/>
    <x v="1"/>
    <n v="0"/>
  </r>
  <r>
    <s v="schapelle corby"/>
    <x v="1"/>
    <n v="0"/>
  </r>
  <r>
    <s v="australian"/>
    <x v="1"/>
    <n v="0"/>
  </r>
  <r>
    <s v="smuggling"/>
    <x v="1"/>
    <n v="0"/>
  </r>
  <r>
    <s v="conviction"/>
    <x v="1"/>
    <n v="0"/>
  </r>
  <r>
    <s v="australia"/>
    <x v="1"/>
    <n v="0"/>
  </r>
  <r>
    <s v="conviction"/>
    <x v="1"/>
    <n v="0"/>
  </r>
  <r>
    <s v="schapelle corby"/>
    <x v="1"/>
    <n v="0"/>
  </r>
  <r>
    <s v="schapelle corby"/>
    <x v="1"/>
    <n v="0"/>
  </r>
  <r>
    <s v="schapelle corby"/>
    <x v="1"/>
    <n v="0"/>
  </r>
  <r>
    <s v="schapelle corby"/>
    <x v="1"/>
    <n v="0"/>
  </r>
  <r>
    <s v="australia"/>
    <x v="1"/>
    <n v="0"/>
  </r>
  <r>
    <s v="schapelle corby"/>
    <x v="1"/>
    <n v="0"/>
  </r>
  <r>
    <s v="schapelle corby"/>
    <x v="1"/>
    <n v="0"/>
  </r>
  <r>
    <s v="australian"/>
    <x v="1"/>
    <n v="0"/>
  </r>
  <r>
    <s v="australia"/>
    <x v="1"/>
    <n v="0"/>
  </r>
  <r>
    <s v="schapelle corby"/>
    <x v="1"/>
    <n v="0"/>
  </r>
  <r>
    <s v="schapelle corby"/>
    <x v="1"/>
    <n v="0"/>
  </r>
  <r>
    <s v="schapelle corby"/>
    <x v="1"/>
    <n v="0"/>
  </r>
  <r>
    <s v="schapelle corby"/>
    <x v="1"/>
    <n v="0"/>
  </r>
  <r>
    <s v="australian"/>
    <x v="1"/>
    <n v="0"/>
  </r>
  <r>
    <s v="australia"/>
    <x v="1"/>
    <n v="0"/>
  </r>
  <r>
    <s v="schapelle corby"/>
    <x v="1"/>
    <n v="0"/>
  </r>
  <r>
    <s v="schapelle corby"/>
    <x v="1"/>
    <n v="0"/>
  </r>
  <r>
    <s v="schapelle corby"/>
    <x v="1"/>
    <n v="0"/>
  </r>
  <r>
    <s v="boogie board"/>
    <x v="1"/>
    <n v="0"/>
  </r>
  <r>
    <s v="schapelle corby"/>
    <x v="1"/>
    <n v="0"/>
  </r>
  <r>
    <s v="schapelle corby"/>
    <x v="1"/>
    <n v="0"/>
  </r>
  <r>
    <s v="schapelle corby"/>
    <x v="1"/>
    <n v="0"/>
  </r>
  <r>
    <s v="schapelle corby"/>
    <x v="1"/>
    <n v="0"/>
  </r>
  <r>
    <s v="schapelle corby"/>
    <x v="1"/>
    <n v="0"/>
  </r>
  <r>
    <s v="boogie board"/>
    <x v="1"/>
    <n v="0"/>
  </r>
  <r>
    <s v="schapelle corby"/>
    <x v="1"/>
    <n v="0"/>
  </r>
  <r>
    <s v="schapelle corby"/>
    <x v="1"/>
    <n v="0"/>
  </r>
  <r>
    <s v="australian"/>
    <x v="1"/>
    <n v="0"/>
  </r>
  <r>
    <s v="australia"/>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australian"/>
    <x v="1"/>
    <n v="0"/>
  </r>
  <r>
    <s v="australia"/>
    <x v="1"/>
    <n v="0"/>
  </r>
  <r>
    <s v="schapelle corby"/>
    <x v="1"/>
    <n v="0"/>
  </r>
  <r>
    <s v="schapelle corby"/>
    <x v="1"/>
    <n v="0"/>
  </r>
  <r>
    <s v="schapelle corby"/>
    <x v="1"/>
    <n v="0"/>
  </r>
  <r>
    <s v="australian"/>
    <x v="1"/>
    <n v="0"/>
  </r>
  <r>
    <s v="australia"/>
    <x v="1"/>
    <n v="0"/>
  </r>
  <r>
    <s v="schapelle corby"/>
    <x v="1"/>
    <n v="0"/>
  </r>
  <r>
    <s v="australian"/>
    <x v="1"/>
    <n v="0"/>
  </r>
  <r>
    <s v="australia"/>
    <x v="1"/>
    <n v="0"/>
  </r>
  <r>
    <s v="schapelle corby"/>
    <x v="1"/>
    <n v="0"/>
  </r>
  <r>
    <s v="australian"/>
    <x v="1"/>
    <n v="0"/>
  </r>
  <r>
    <s v="australia"/>
    <x v="1"/>
    <n v="0"/>
  </r>
  <r>
    <s v="schapelle corby"/>
    <x v="1"/>
    <n v="0"/>
  </r>
  <r>
    <s v="schapelle corby"/>
    <x v="1"/>
    <n v="0"/>
  </r>
  <r>
    <s v="schapelle corby"/>
    <x v="1"/>
    <n v="0"/>
  </r>
  <r>
    <s v="australian"/>
    <x v="1"/>
    <n v="0"/>
  </r>
  <r>
    <s v="australia"/>
    <x v="1"/>
    <n v="0"/>
  </r>
  <r>
    <s v="schapelle corby"/>
    <x v="1"/>
    <n v="0"/>
  </r>
  <r>
    <s v="schapelle corby"/>
    <x v="1"/>
    <n v="0"/>
  </r>
  <r>
    <s v="schapelle corby"/>
    <x v="1"/>
    <n v="0"/>
  </r>
  <r>
    <s v="schapelle corby"/>
    <x v="1"/>
    <n v="0"/>
  </r>
  <r>
    <s v="boogie board"/>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australia"/>
    <x v="1"/>
    <n v="0"/>
  </r>
  <r>
    <s v="schapelle corby"/>
    <x v="1"/>
    <n v="0"/>
  </r>
  <r>
    <s v="australian"/>
    <x v="1"/>
    <n v="0"/>
  </r>
  <r>
    <s v="australia"/>
    <x v="1"/>
    <n v="0"/>
  </r>
  <r>
    <s v="schapelle corby"/>
    <x v="1"/>
    <n v="0"/>
  </r>
  <r>
    <s v="schapelle corby"/>
    <x v="1"/>
    <n v="0"/>
  </r>
  <r>
    <s v="schapelle corby"/>
    <x v="1"/>
    <n v="0"/>
  </r>
  <r>
    <s v="schapelle corby"/>
    <x v="1"/>
    <n v="0"/>
  </r>
  <r>
    <s v="schapelle corby"/>
    <x v="1"/>
    <n v="0"/>
  </r>
  <r>
    <s v="schapelle corby"/>
    <x v="1"/>
    <n v="0"/>
  </r>
  <r>
    <s v="australian"/>
    <x v="1"/>
    <n v="0"/>
  </r>
  <r>
    <s v="australia"/>
    <x v="1"/>
    <n v="0"/>
  </r>
  <r>
    <s v="schapelle corby"/>
    <x v="1"/>
    <n v="0"/>
  </r>
  <r>
    <s v="media circus"/>
    <x v="1"/>
    <n v="0"/>
  </r>
  <r>
    <s v="schapelle corby"/>
    <x v="1"/>
    <n v="0"/>
  </r>
  <r>
    <s v="australia"/>
    <x v="1"/>
    <n v="0"/>
  </r>
  <r>
    <s v="schapelle corby"/>
    <x v="1"/>
    <n v="0"/>
  </r>
  <r>
    <s v="schapelle corby"/>
    <x v="1"/>
    <n v="0"/>
  </r>
  <r>
    <s v="schapelle corby"/>
    <x v="1"/>
    <n v="0"/>
  </r>
  <r>
    <s v="schapelle corby"/>
    <x v="1"/>
    <n v="0"/>
  </r>
  <r>
    <s v="australia"/>
    <x v="1"/>
    <n v="0"/>
  </r>
  <r>
    <s v="schapelle corby"/>
    <x v="1"/>
    <n v="0"/>
  </r>
  <r>
    <s v="conviction"/>
    <x v="1"/>
    <n v="0"/>
  </r>
  <r>
    <s v="conviction"/>
    <x v="1"/>
    <n v="0"/>
  </r>
  <r>
    <s v="schapelle corby"/>
    <x v="1"/>
    <n v="0"/>
  </r>
  <r>
    <s v="schapelle corby"/>
    <x v="1"/>
    <n v="0"/>
  </r>
  <r>
    <s v="schapelle corby"/>
    <x v="1"/>
    <n v="0"/>
  </r>
  <r>
    <s v="schapelle corby"/>
    <x v="1"/>
    <n v="0"/>
  </r>
  <r>
    <s v="schapelle corby"/>
    <x v="1"/>
    <n v="0"/>
  </r>
  <r>
    <s v="schapelle corby"/>
    <x v="1"/>
    <n v="0"/>
  </r>
  <r>
    <s v="australia"/>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australia"/>
    <x v="1"/>
    <n v="0"/>
  </r>
  <r>
    <s v="schapelle corby"/>
    <x v="1"/>
    <n v="0"/>
  </r>
  <r>
    <s v="australian"/>
    <x v="1"/>
    <n v="0"/>
  </r>
  <r>
    <s v="australia"/>
    <x v="1"/>
    <n v="0"/>
  </r>
  <r>
    <s v="schapelle corby"/>
    <x v="1"/>
    <n v="0"/>
  </r>
  <r>
    <s v="schapelle corby"/>
    <x v="1"/>
    <n v="0"/>
  </r>
  <r>
    <s v="schapelle corby"/>
    <x v="1"/>
    <n v="0"/>
  </r>
  <r>
    <s v="schapelle corby"/>
    <x v="1"/>
    <n v="0"/>
  </r>
  <r>
    <s v="australia"/>
    <x v="1"/>
    <n v="0"/>
  </r>
  <r>
    <s v="schapelle corby"/>
    <x v="1"/>
    <n v="0"/>
  </r>
  <r>
    <s v="schapelle corby"/>
    <x v="1"/>
    <n v="0"/>
  </r>
  <r>
    <s v="australia"/>
    <x v="1"/>
    <n v="0"/>
  </r>
  <r>
    <s v="schapelle corby"/>
    <x v="1"/>
    <n v="0"/>
  </r>
  <r>
    <s v="schapelle corby"/>
    <x v="1"/>
    <n v="0"/>
  </r>
  <r>
    <s v="australia"/>
    <x v="1"/>
    <n v="0"/>
  </r>
  <r>
    <s v="schapelle corby"/>
    <x v="1"/>
    <n v="0"/>
  </r>
  <r>
    <s v="australia"/>
    <x v="1"/>
    <n v="0"/>
  </r>
  <r>
    <s v="schapelle corby"/>
    <x v="1"/>
    <n v="0"/>
  </r>
  <r>
    <s v="australia"/>
    <x v="1"/>
    <n v="0"/>
  </r>
  <r>
    <s v="schapelle corby"/>
    <x v="1"/>
    <n v="0"/>
  </r>
  <r>
    <s v="australia"/>
    <x v="1"/>
    <n v="0"/>
  </r>
  <r>
    <s v="schapelle corby"/>
    <x v="1"/>
    <n v="0"/>
  </r>
  <r>
    <s v="australia"/>
    <x v="1"/>
    <n v="0"/>
  </r>
  <r>
    <s v="schapelle corby"/>
    <x v="1"/>
    <n v="0"/>
  </r>
  <r>
    <s v="schapelle corby"/>
    <x v="1"/>
    <n v="0"/>
  </r>
  <r>
    <s v="schapelle corby"/>
    <x v="1"/>
    <n v="0"/>
  </r>
  <r>
    <s v="schapelle corby"/>
    <x v="1"/>
    <n v="0"/>
  </r>
  <r>
    <s v="schapelle corby"/>
    <x v="1"/>
    <n v="0"/>
  </r>
  <r>
    <s v="schapelle corby"/>
    <x v="1"/>
    <n v="0"/>
  </r>
  <r>
    <s v="australia"/>
    <x v="1"/>
    <n v="0"/>
  </r>
  <r>
    <s v="schapelle corby"/>
    <x v="1"/>
    <n v="0"/>
  </r>
  <r>
    <s v="schapelle corby"/>
    <x v="1"/>
    <n v="0"/>
  </r>
  <r>
    <s v="australia"/>
    <x v="1"/>
    <n v="0"/>
  </r>
  <r>
    <s v="schapelle corby"/>
    <x v="1"/>
    <n v="0"/>
  </r>
  <r>
    <s v="schapelle corby"/>
    <x v="1"/>
    <n v="0"/>
  </r>
  <r>
    <s v="smuggling"/>
    <x v="1"/>
    <n v="0"/>
  </r>
  <r>
    <s v="australia"/>
    <x v="1"/>
    <n v="0"/>
  </r>
  <r>
    <s v="schapelle corby"/>
    <x v="1"/>
    <n v="0"/>
  </r>
  <r>
    <s v="schapelle corby"/>
    <x v="1"/>
    <n v="0"/>
  </r>
  <r>
    <s v="schapelle corby"/>
    <x v="1"/>
    <n v="0"/>
  </r>
  <r>
    <s v="australia"/>
    <x v="1"/>
    <n v="0"/>
  </r>
  <r>
    <s v="schapelle corby"/>
    <x v="1"/>
    <n v="0"/>
  </r>
  <r>
    <s v="australia"/>
    <x v="1"/>
    <n v="0"/>
  </r>
  <r>
    <s v="schapelle corby"/>
    <x v="1"/>
    <n v="0"/>
  </r>
  <r>
    <s v="australia"/>
    <x v="1"/>
    <n v="0"/>
  </r>
  <r>
    <s v="schapelle corby"/>
    <x v="1"/>
    <n v="0"/>
  </r>
  <r>
    <s v="schapelle corby"/>
    <x v="1"/>
    <n v="0"/>
  </r>
  <r>
    <s v="australia"/>
    <x v="1"/>
    <n v="0"/>
  </r>
  <r>
    <s v="schapelle corby"/>
    <x v="1"/>
    <n v="0"/>
  </r>
  <r>
    <s v="schapelle corby"/>
    <x v="1"/>
    <n v="0"/>
  </r>
  <r>
    <s v="schapelle corby"/>
    <x v="1"/>
    <n v="0"/>
  </r>
  <r>
    <s v="australia"/>
    <x v="1"/>
    <n v="0"/>
  </r>
  <r>
    <s v="schapelle corby"/>
    <x v="1"/>
    <n v="0"/>
  </r>
  <r>
    <s v="australia"/>
    <x v="1"/>
    <n v="0"/>
  </r>
  <r>
    <s v="schapelle corby"/>
    <x v="1"/>
    <n v="0"/>
  </r>
  <r>
    <s v="australia"/>
    <x v="1"/>
    <n v="0"/>
  </r>
  <r>
    <s v="schapelle corby"/>
    <x v="1"/>
    <n v="0"/>
  </r>
  <r>
    <s v="schapelle corby"/>
    <x v="1"/>
    <n v="0"/>
  </r>
  <r>
    <s v="schapelle corby"/>
    <x v="1"/>
    <n v="0"/>
  </r>
  <r>
    <s v="schapelle corby"/>
    <x v="1"/>
    <n v="0"/>
  </r>
  <r>
    <s v="australia"/>
    <x v="1"/>
    <n v="0"/>
  </r>
  <r>
    <s v="schapelle corby"/>
    <x v="1"/>
    <n v="0"/>
  </r>
  <r>
    <s v="schapelle corby"/>
    <x v="1"/>
    <n v="0"/>
  </r>
  <r>
    <s v="australia"/>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schapelle corby"/>
    <x v="1"/>
    <n v="0"/>
  </r>
  <r>
    <s v="australian"/>
    <x v="1"/>
    <n v="0"/>
  </r>
  <r>
    <s v="australia"/>
    <x v="1"/>
    <n v="0"/>
  </r>
  <r>
    <s v="australia"/>
    <x v="1"/>
    <n v="0"/>
  </r>
  <r>
    <s v="australia"/>
    <x v="1"/>
    <n v="0"/>
  </r>
  <r>
    <s v="australian"/>
    <x v="1"/>
    <n v="0"/>
  </r>
  <r>
    <s v="australia"/>
    <x v="1"/>
    <n v="0"/>
  </r>
  <r>
    <s v="australian"/>
    <x v="1"/>
    <n v="0"/>
  </r>
  <r>
    <s v="australia"/>
    <x v="1"/>
    <n v="0"/>
  </r>
  <r>
    <s v="schapelle corby"/>
    <x v="1"/>
    <n v="0"/>
  </r>
  <r>
    <s v="australia"/>
    <x v="1"/>
    <n v="0"/>
  </r>
  <r>
    <s v="australia"/>
    <x v="1"/>
    <n v="0"/>
  </r>
  <r>
    <s v="cannabis"/>
    <x v="1"/>
    <n v="0"/>
  </r>
  <r>
    <s v="cannabis"/>
    <x v="1"/>
    <n v="0"/>
  </r>
  <r>
    <s v="schapelle corby"/>
    <x v="1"/>
    <n v="0"/>
  </r>
  <r>
    <s v="australian"/>
    <x v="1"/>
    <n v="0"/>
  </r>
  <r>
    <s v="australia"/>
    <x v="1"/>
    <n v="0"/>
  </r>
  <r>
    <s v="smuggling"/>
    <x v="1"/>
    <n v="0"/>
  </r>
  <r>
    <s v="australia"/>
    <x v="1"/>
    <n v="0"/>
  </r>
  <r>
    <s v="australian"/>
    <x v="1"/>
    <n v="0"/>
  </r>
  <r>
    <s v="australia"/>
    <x v="1"/>
    <n v="0"/>
  </r>
  <r>
    <s v="australia"/>
    <x v="1"/>
    <n v="0"/>
  </r>
  <r>
    <s v="australian"/>
    <x v="1"/>
    <n v="0"/>
  </r>
  <r>
    <s v="australia"/>
    <x v="1"/>
    <n v="0"/>
  </r>
  <r>
    <s v="australian"/>
    <x v="1"/>
    <n v="0"/>
  </r>
  <r>
    <s v="australia"/>
    <x v="1"/>
    <n v="0"/>
  </r>
  <r>
    <s v="australia"/>
    <x v="1"/>
    <n v="0"/>
  </r>
  <r>
    <s v="australia"/>
    <x v="1"/>
    <n v="0"/>
  </r>
  <r>
    <s v="australia"/>
    <x v="1"/>
    <n v="0"/>
  </r>
  <r>
    <s v="australian"/>
    <x v="1"/>
    <n v="0"/>
  </r>
  <r>
    <s v="australia"/>
    <x v="1"/>
    <n v="0"/>
  </r>
  <r>
    <s v="australia"/>
    <x v="1"/>
    <n v="0"/>
  </r>
  <r>
    <s v="australian"/>
    <x v="1"/>
    <n v="0"/>
  </r>
  <r>
    <s v="australia"/>
    <x v="1"/>
    <n v="0"/>
  </r>
  <r>
    <s v="australian"/>
    <x v="1"/>
    <n v="0"/>
  </r>
  <r>
    <s v="australia"/>
    <x v="1"/>
    <n v="0"/>
  </r>
  <r>
    <s v="australian"/>
    <x v="1"/>
    <n v="0"/>
  </r>
  <r>
    <s v="australia"/>
    <x v="1"/>
    <n v="0"/>
  </r>
  <r>
    <s v="schapelle corby"/>
    <x v="1"/>
    <n v="0"/>
  </r>
  <r>
    <s v="australia"/>
    <x v="1"/>
    <n v="0"/>
  </r>
  <r>
    <s v="smuggling"/>
    <x v="1"/>
    <n v="0"/>
  </r>
  <r>
    <s v="smuggling"/>
    <x v="1"/>
    <n v="0"/>
  </r>
  <r>
    <s v="australian"/>
    <x v="1"/>
    <n v="0"/>
  </r>
  <r>
    <s v="australia"/>
    <x v="1"/>
    <n v="0"/>
  </r>
  <r>
    <s v="australian"/>
    <x v="1"/>
    <n v="0"/>
  </r>
  <r>
    <s v="australia"/>
    <x v="1"/>
    <n v="0"/>
  </r>
  <r>
    <s v="australia"/>
    <x v="1"/>
    <n v="0"/>
  </r>
  <r>
    <s v="media circus"/>
    <x v="1"/>
    <n v="0"/>
  </r>
  <r>
    <s v="australia"/>
    <x v="1"/>
    <n v="0"/>
  </r>
  <r>
    <s v="boogie board"/>
    <x v="1"/>
    <n v="0"/>
  </r>
  <r>
    <s v="australia"/>
    <x v="1"/>
    <n v="0"/>
  </r>
  <r>
    <s v="australian"/>
    <x v="1"/>
    <n v="0"/>
  </r>
  <r>
    <s v="australia"/>
    <x v="1"/>
    <n v="0"/>
  </r>
  <r>
    <s v="australian"/>
    <x v="1"/>
    <n v="0"/>
  </r>
  <r>
    <s v="australia"/>
    <x v="1"/>
    <n v="0"/>
  </r>
  <r>
    <s v="australia"/>
    <x v="1"/>
    <n v="0"/>
  </r>
  <r>
    <s v="australia"/>
    <x v="1"/>
    <n v="0"/>
  </r>
  <r>
    <s v="australia"/>
    <x v="1"/>
    <n v="0"/>
  </r>
  <r>
    <s v="australia"/>
    <x v="1"/>
    <n v="0"/>
  </r>
  <r>
    <s v="australian"/>
    <x v="1"/>
    <n v="0"/>
  </r>
  <r>
    <s v="smuggling"/>
    <x v="1"/>
    <n v="0"/>
  </r>
  <r>
    <s v="australia"/>
    <x v="1"/>
    <n v="0"/>
  </r>
  <r>
    <s v="australia"/>
    <x v="1"/>
    <n v="0"/>
  </r>
  <r>
    <s v="australia"/>
    <x v="1"/>
    <n v="0"/>
  </r>
  <r>
    <s v="boogie board"/>
    <x v="1"/>
    <n v="0"/>
  </r>
  <r>
    <s v="australian"/>
    <x v="1"/>
    <n v="0"/>
  </r>
  <r>
    <s v="smuggling"/>
    <x v="1"/>
    <n v="0"/>
  </r>
  <r>
    <s v="australia"/>
    <x v="1"/>
    <n v="0"/>
  </r>
  <r>
    <s v="boogie board"/>
    <x v="1"/>
    <n v="0"/>
  </r>
  <r>
    <s v="boogie board"/>
    <x v="1"/>
    <n v="0"/>
  </r>
  <r>
    <s v="boogie board"/>
    <x v="1"/>
    <n v="0"/>
  </r>
  <r>
    <s v="australian"/>
    <x v="1"/>
    <n v="0"/>
  </r>
  <r>
    <s v="smuggling"/>
    <x v="1"/>
    <n v="0"/>
  </r>
  <r>
    <s v="australia"/>
    <x v="1"/>
    <n v="0"/>
  </r>
  <r>
    <s v="schapelle corby"/>
    <x v="1"/>
    <n v="0"/>
  </r>
  <r>
    <s v="schapelle corby"/>
    <x v="1"/>
    <n v="0"/>
  </r>
  <r>
    <s v="boogie board"/>
    <x v="1"/>
    <n v="0"/>
  </r>
  <r>
    <s v="australian"/>
    <x v="1"/>
    <n v="0"/>
  </r>
  <r>
    <s v="australia"/>
    <x v="1"/>
    <n v="0"/>
  </r>
  <r>
    <s v="schapelle corby"/>
    <x v="1"/>
    <n v="0"/>
  </r>
  <r>
    <s v="cannabis"/>
    <x v="1"/>
    <n v="0"/>
  </r>
  <r>
    <s v="smuggling"/>
    <x v="1"/>
    <n v="0"/>
  </r>
  <r>
    <s v="cannabis"/>
    <x v="1"/>
    <n v="0"/>
  </r>
  <r>
    <s v="schapelle corby"/>
    <x v="1"/>
    <n v="0"/>
  </r>
  <r>
    <s v="schapelle corby"/>
    <x v="1"/>
    <n v="0"/>
  </r>
  <r>
    <s v="schapelle corby"/>
    <x v="1"/>
    <n v="0"/>
  </r>
  <r>
    <s v="boogie board"/>
    <x v="1"/>
    <n v="0"/>
  </r>
  <r>
    <s v="australia"/>
    <x v="1"/>
    <n v="0"/>
  </r>
  <r>
    <s v="schapelle corby"/>
    <x v="1"/>
    <n v="0"/>
  </r>
  <r>
    <s v="schapelle corby"/>
    <x v="1"/>
    <n v="0"/>
  </r>
  <r>
    <s v="australian"/>
    <x v="1"/>
    <n v="0"/>
  </r>
  <r>
    <s v="cannabis"/>
    <x v="1"/>
    <n v="0"/>
  </r>
  <r>
    <s v="smuggling"/>
    <x v="1"/>
    <n v="0"/>
  </r>
  <r>
    <s v="conviction"/>
    <x v="1"/>
    <n v="0"/>
  </r>
  <r>
    <s v="australia"/>
    <x v="1"/>
    <n v="0"/>
  </r>
  <r>
    <s v="cannabis"/>
    <x v="1"/>
    <n v="0"/>
  </r>
  <r>
    <s v="conviction"/>
    <x v="1"/>
    <n v="0"/>
  </r>
  <r>
    <s v="schapelle corby"/>
    <x v="1"/>
    <n v="0"/>
  </r>
  <r>
    <s v="boogie board"/>
    <x v="1"/>
    <n v="0"/>
  </r>
  <r>
    <s v="schapelle corby"/>
    <x v="1"/>
    <n v="0"/>
  </r>
  <r>
    <s v="australian"/>
    <x v="1"/>
    <n v="0"/>
  </r>
  <r>
    <s v="australia"/>
    <x v="1"/>
    <n v="0"/>
  </r>
  <r>
    <s v="schapelle corby"/>
    <x v="1"/>
    <n v="0"/>
  </r>
  <r>
    <s v="australia"/>
    <x v="1"/>
    <n v="0"/>
  </r>
  <r>
    <s v="schapelle corby"/>
    <x v="1"/>
    <n v="0"/>
  </r>
  <r>
    <s v="cannabis"/>
    <x v="1"/>
    <n v="0"/>
  </r>
  <r>
    <s v="smuggling"/>
    <x v="1"/>
    <n v="0"/>
  </r>
  <r>
    <s v="cannabis"/>
    <x v="1"/>
    <n v="0"/>
  </r>
  <r>
    <s v="indonesia"/>
    <x v="1"/>
    <n v="0"/>
  </r>
  <r>
    <s v="indonesia"/>
    <x v="1"/>
    <n v="0"/>
  </r>
  <r>
    <s v="indonesia"/>
    <x v="1"/>
    <n v="0"/>
  </r>
  <r>
    <s v="indonesia"/>
    <x v="1"/>
    <n v="0"/>
  </r>
  <r>
    <s v="indonesia"/>
    <x v="1"/>
    <n v="0"/>
  </r>
  <r>
    <s v="indonesia"/>
    <x v="1"/>
    <n v="0"/>
  </r>
  <r>
    <s v="indonesia"/>
    <x v="1"/>
    <n v="0"/>
  </r>
  <r>
    <s v="indonesia"/>
    <x v="1"/>
    <n v="0"/>
  </r>
  <r>
    <s v="indonesia"/>
    <x v="1"/>
    <n v="0"/>
  </r>
  <r>
    <s v="indonesia"/>
    <x v="1"/>
    <n v="0"/>
  </r>
  <r>
    <s v="terms"/>
    <x v="2"/>
    <n v="0"/>
  </r>
  <r>
    <s v="bogan"/>
    <x v="3"/>
    <n v="3"/>
  </r>
  <r>
    <s v="bitch"/>
    <x v="3"/>
    <n v="3"/>
  </r>
  <r>
    <s v="defensive"/>
    <x v="3"/>
    <n v="1"/>
  </r>
  <r>
    <s v="bogan"/>
    <x v="3"/>
    <n v="3"/>
  </r>
  <r>
    <s v="bogan"/>
    <x v="3"/>
    <n v="3"/>
  </r>
  <r>
    <s v="bogan"/>
    <x v="3"/>
    <n v="3"/>
  </r>
  <r>
    <s v="bitch"/>
    <x v="3"/>
    <n v="3"/>
  </r>
  <r>
    <s v="bitch"/>
    <x v="3"/>
    <n v="3"/>
  </r>
  <r>
    <s v="bogan"/>
    <x v="3"/>
    <n v="3"/>
  </r>
  <r>
    <s v="bogan"/>
    <x v="3"/>
    <n v="3"/>
  </r>
  <r>
    <s v="bogan"/>
    <x v="3"/>
    <n v="3"/>
  </r>
  <r>
    <s v="bogan"/>
    <x v="3"/>
    <n v="3"/>
  </r>
  <r>
    <s v="bogan"/>
    <x v="3"/>
    <n v="3"/>
  </r>
  <r>
    <s v="bogan"/>
    <x v="3"/>
    <n v="3"/>
  </r>
  <r>
    <s v="bogan"/>
    <x v="3"/>
    <n v="3"/>
  </r>
  <r>
    <s v="bogan"/>
    <x v="3"/>
    <n v="3"/>
  </r>
  <r>
    <s v="bogan"/>
    <x v="3"/>
    <n v="3"/>
  </r>
  <r>
    <s v="trashy"/>
    <x v="3"/>
    <n v="4"/>
  </r>
  <r>
    <s v="feral"/>
    <x v="3"/>
    <n v="4"/>
  </r>
  <r>
    <s v="bogan"/>
    <x v="3"/>
    <n v="3"/>
  </r>
  <r>
    <s v="bogan"/>
    <x v="3"/>
    <n v="3"/>
  </r>
  <r>
    <s v="bogan"/>
    <x v="3"/>
    <n v="3"/>
  </r>
  <r>
    <s v="bogan"/>
    <x v="3"/>
    <n v="3"/>
  </r>
  <r>
    <s v="redneck"/>
    <x v="3"/>
    <n v="3"/>
  </r>
  <r>
    <s v="bogan"/>
    <x v="3"/>
    <n v="3"/>
  </r>
  <r>
    <s v="bogan"/>
    <x v="3"/>
    <n v="3"/>
  </r>
  <r>
    <s v="redneck"/>
    <x v="3"/>
    <n v="3"/>
  </r>
  <r>
    <s v="white trash"/>
    <x v="3"/>
    <n v="4"/>
  </r>
  <r>
    <s v="bogan"/>
    <x v="3"/>
    <n v="3"/>
  </r>
  <r>
    <s v="bogan"/>
    <x v="3"/>
    <n v="3"/>
  </r>
  <r>
    <s v="bogan"/>
    <x v="3"/>
    <n v="3"/>
  </r>
  <r>
    <s v="bitch"/>
    <x v="3"/>
    <n v="3"/>
  </r>
  <r>
    <s v="bogan"/>
    <x v="3"/>
    <n v="3"/>
  </r>
  <r>
    <s v="bitch"/>
    <x v="3"/>
    <n v="3"/>
  </r>
  <r>
    <s v="trash"/>
    <x v="3"/>
    <n v="4"/>
  </r>
  <r>
    <s v="trash"/>
    <x v="3"/>
    <n v="4"/>
  </r>
  <r>
    <s v="drug smuggler"/>
    <x v="4"/>
    <n v="1"/>
  </r>
  <r>
    <s v="convicted drug smuggler"/>
    <x v="4"/>
    <n v="0"/>
  </r>
  <r>
    <s v="drug smuggler"/>
    <x v="4"/>
    <n v="1"/>
  </r>
  <r>
    <s v="bribed"/>
    <x v="4"/>
    <n v="2"/>
  </r>
  <r>
    <s v="drugs"/>
    <x v="4"/>
    <n v="0"/>
  </r>
  <r>
    <s v="drug trafficking"/>
    <x v="4"/>
    <n v="1"/>
  </r>
  <r>
    <s v="drugs"/>
    <x v="4"/>
    <n v="0"/>
  </r>
  <r>
    <s v="drug trafficking"/>
    <x v="4"/>
    <n v="1"/>
  </r>
  <r>
    <s v="bribed"/>
    <x v="4"/>
    <n v="2"/>
  </r>
  <r>
    <s v="convicted drug smuggler"/>
    <x v="4"/>
    <n v="0"/>
  </r>
  <r>
    <s v="drug smuggler"/>
    <x v="4"/>
    <n v="1"/>
  </r>
  <r>
    <s v="convicted drug smuggler"/>
    <x v="4"/>
    <n v="0"/>
  </r>
  <r>
    <s v="drug smuggler"/>
    <x v="4"/>
    <n v="1"/>
  </r>
  <r>
    <s v="jail"/>
    <x v="4"/>
    <n v="0"/>
  </r>
  <r>
    <s v="drug trafficking"/>
    <x v="4"/>
    <n v="1"/>
  </r>
  <r>
    <s v="drug smuggler"/>
    <x v="4"/>
    <n v="1"/>
  </r>
  <r>
    <s v="drug trafficking"/>
    <x v="4"/>
    <n v="1"/>
  </r>
  <r>
    <s v="convicted drug smuggler"/>
    <x v="4"/>
    <n v="0"/>
  </r>
  <r>
    <s v="drug smuggler"/>
    <x v="4"/>
    <n v="1"/>
  </r>
  <r>
    <s v="jail"/>
    <x v="4"/>
    <n v="0"/>
  </r>
  <r>
    <s v="convicted drug smuggler"/>
    <x v="4"/>
    <n v="0"/>
  </r>
  <r>
    <s v="drug smuggler"/>
    <x v="4"/>
    <n v="1"/>
  </r>
  <r>
    <s v="convicted drug smuggler"/>
    <x v="4"/>
    <n v="0"/>
  </r>
  <r>
    <s v="drug smuggler"/>
    <x v="4"/>
    <n v="1"/>
  </r>
  <r>
    <s v="drug smuggler"/>
    <x v="4"/>
    <n v="1"/>
  </r>
  <r>
    <s v="convicted drug smuggler"/>
    <x v="4"/>
    <n v="0"/>
  </r>
  <r>
    <s v="drug smuggler"/>
    <x v="4"/>
    <n v="1"/>
  </r>
  <r>
    <s v="drugs"/>
    <x v="4"/>
    <n v="0"/>
  </r>
  <r>
    <s v="drug smuggler"/>
    <x v="4"/>
    <n v="1"/>
  </r>
  <r>
    <s v="convicted drug smuggler"/>
    <x v="4"/>
    <n v="0"/>
  </r>
  <r>
    <s v="drug smuggler"/>
    <x v="4"/>
    <n v="1"/>
  </r>
  <r>
    <s v="convicted drug smuggler"/>
    <x v="4"/>
    <n v="0"/>
  </r>
  <r>
    <s v="drug smuggler"/>
    <x v="4"/>
    <n v="1"/>
  </r>
  <r>
    <s v="jail"/>
    <x v="4"/>
    <n v="0"/>
  </r>
  <r>
    <s v="jail"/>
    <x v="4"/>
    <n v="0"/>
  </r>
  <r>
    <s v="criminal"/>
    <x v="4"/>
    <n v="1"/>
  </r>
  <r>
    <s v="drug smuggler"/>
    <x v="4"/>
    <n v="1"/>
  </r>
  <r>
    <s v="drugs"/>
    <x v="4"/>
    <n v="0"/>
  </r>
  <r>
    <s v="convicted drug smuggler"/>
    <x v="4"/>
    <n v="0"/>
  </r>
  <r>
    <s v="drug smuggler"/>
    <x v="4"/>
    <n v="1"/>
  </r>
  <r>
    <s v="jail"/>
    <x v="4"/>
    <n v="0"/>
  </r>
  <r>
    <s v="drugs"/>
    <x v="4"/>
    <n v="0"/>
  </r>
  <r>
    <s v="narcotics"/>
    <x v="4"/>
    <n v="0"/>
  </r>
  <r>
    <s v="drugs"/>
    <x v="4"/>
    <n v="0"/>
  </r>
  <r>
    <s v="narcotics"/>
    <x v="4"/>
    <n v="0"/>
  </r>
  <r>
    <s v="drugs"/>
    <x v="4"/>
    <n v="0"/>
  </r>
  <r>
    <s v="weed"/>
    <x v="4"/>
    <n v="0"/>
  </r>
  <r>
    <s v="criminal"/>
    <x v="4"/>
    <n v="1"/>
  </r>
  <r>
    <s v="drugs"/>
    <x v="4"/>
    <n v="0"/>
  </r>
  <r>
    <s v="drugs"/>
    <x v="4"/>
    <n v="0"/>
  </r>
  <r>
    <s v="criminal"/>
    <x v="4"/>
    <n v="1"/>
  </r>
  <r>
    <s v="criminal"/>
    <x v="4"/>
    <n v="1"/>
  </r>
  <r>
    <s v="criminal"/>
    <x v="4"/>
    <n v="1"/>
  </r>
  <r>
    <s v="criminal"/>
    <x v="4"/>
    <n v="1"/>
  </r>
  <r>
    <s v="criminal"/>
    <x v="4"/>
    <n v="1"/>
  </r>
  <r>
    <s v="criminal"/>
    <x v="4"/>
    <n v="1"/>
  </r>
  <r>
    <s v="criminal"/>
    <x v="4"/>
    <n v="1"/>
  </r>
  <r>
    <s v="criminal"/>
    <x v="4"/>
    <n v="1"/>
  </r>
  <r>
    <s v="possession"/>
    <x v="4"/>
    <n v="0"/>
  </r>
  <r>
    <s v="narcotics"/>
    <x v="4"/>
    <n v="0"/>
  </r>
  <r>
    <s v="trafficker"/>
    <x v="4"/>
    <n v="2"/>
  </r>
  <r>
    <s v="weed"/>
    <x v="4"/>
    <n v="0"/>
  </r>
  <r>
    <s v="drug dealers"/>
    <x v="4"/>
    <n v="1"/>
  </r>
  <r>
    <s v="drugs"/>
    <x v="4"/>
    <n v="0"/>
  </r>
  <r>
    <s v="convicted drug smuggler"/>
    <x v="4"/>
    <n v="0"/>
  </r>
  <r>
    <s v="drug smuggler"/>
    <x v="4"/>
    <n v="1"/>
  </r>
  <r>
    <s v="set up"/>
    <x v="4"/>
    <n v="0"/>
  </r>
  <r>
    <s v="weed"/>
    <x v="4"/>
    <n v="0"/>
  </r>
  <r>
    <s v="drugs"/>
    <x v="4"/>
    <n v="0"/>
  </r>
  <r>
    <s v="drugs"/>
    <x v="4"/>
    <n v="0"/>
  </r>
  <r>
    <s v="criminal"/>
    <x v="4"/>
    <n v="1"/>
  </r>
  <r>
    <s v="proof"/>
    <x v="4"/>
    <n v="0"/>
  </r>
  <r>
    <s v="trafficker"/>
    <x v="4"/>
    <n v="2"/>
  </r>
  <r>
    <s v="criminal"/>
    <x v="4"/>
    <n v="1"/>
  </r>
  <r>
    <s v="drugs"/>
    <x v="4"/>
    <n v="0"/>
  </r>
  <r>
    <s v="drugs"/>
    <x v="4"/>
    <n v="0"/>
  </r>
  <r>
    <s v="bribed"/>
    <x v="4"/>
    <n v="2"/>
  </r>
  <r>
    <s v="weed"/>
    <x v="4"/>
    <n v="0"/>
  </r>
  <r>
    <s v="drugs"/>
    <x v="4"/>
    <n v="0"/>
  </r>
  <r>
    <s v="drugs"/>
    <x v="4"/>
    <n v="0"/>
  </r>
  <r>
    <s v="weed"/>
    <x v="4"/>
    <n v="0"/>
  </r>
  <r>
    <s v="weed"/>
    <x v="4"/>
    <n v="0"/>
  </r>
  <r>
    <s v="drugs"/>
    <x v="4"/>
    <n v="0"/>
  </r>
  <r>
    <s v="drugs"/>
    <x v="4"/>
    <n v="0"/>
  </r>
  <r>
    <s v="drug trafficking"/>
    <x v="4"/>
    <n v="1"/>
  </r>
  <r>
    <s v="drugs"/>
    <x v="4"/>
    <n v="0"/>
  </r>
  <r>
    <s v="proof"/>
    <x v="4"/>
    <n v="0"/>
  </r>
  <r>
    <s v="proof"/>
    <x v="4"/>
    <n v="0"/>
  </r>
  <r>
    <s v="possession"/>
    <x v="4"/>
    <n v="0"/>
  </r>
  <r>
    <s v="trafficker"/>
    <x v="4"/>
    <n v="2"/>
  </r>
  <r>
    <s v="jail"/>
    <x v="4"/>
    <n v="0"/>
  </r>
  <r>
    <s v="scandal"/>
    <x v="4"/>
    <n v="0"/>
  </r>
  <r>
    <s v="criminal"/>
    <x v="4"/>
    <n v="1"/>
  </r>
  <r>
    <s v="drugs"/>
    <x v="4"/>
    <n v="0"/>
  </r>
  <r>
    <s v="criminal"/>
    <x v="4"/>
    <n v="1"/>
  </r>
  <r>
    <s v="drug smuggler"/>
    <x v="4"/>
    <n v="1"/>
  </r>
  <r>
    <s v="scandal"/>
    <x v="4"/>
    <n v="0"/>
  </r>
  <r>
    <s v="marijuana"/>
    <x v="4"/>
    <n v="0"/>
  </r>
  <r>
    <s v="marijuana"/>
    <x v="4"/>
    <n v="0"/>
  </r>
  <r>
    <s v="marijuana"/>
    <x v="4"/>
    <n v="0"/>
  </r>
  <r>
    <s v="marijuana"/>
    <x v="4"/>
    <n v="0"/>
  </r>
  <r>
    <s v="bribe"/>
    <x v="4"/>
    <n v="1"/>
  </r>
  <r>
    <s v="bribe"/>
    <x v="4"/>
    <n v="1"/>
  </r>
  <r>
    <s v="marijuana"/>
    <x v="4"/>
    <n v="0"/>
  </r>
  <r>
    <s v="marijuana"/>
    <x v="4"/>
    <n v="0"/>
  </r>
  <r>
    <s v="marijuana"/>
    <x v="4"/>
    <n v="0"/>
  </r>
  <r>
    <s v="marijuana"/>
    <x v="4"/>
    <n v="0"/>
  </r>
  <r>
    <s v="marijuana"/>
    <x v="4"/>
    <n v="0"/>
  </r>
  <r>
    <s v="marijuana"/>
    <x v="4"/>
    <n v="0"/>
  </r>
  <r>
    <s v="marijuana"/>
    <x v="4"/>
    <n v="0"/>
  </r>
  <r>
    <s v="marijuana"/>
    <x v="4"/>
    <n v="0"/>
  </r>
  <r>
    <s v="corby"/>
    <x v="5"/>
    <n v="0"/>
  </r>
  <r>
    <s v="sister"/>
    <x v="5"/>
    <n v="0"/>
  </r>
  <r>
    <s v="sisters"/>
    <x v="5"/>
    <n v="0"/>
  </r>
  <r>
    <s v="corby"/>
    <x v="5"/>
    <n v="0"/>
  </r>
  <r>
    <s v="brother"/>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sister"/>
    <x v="5"/>
    <n v="0"/>
  </r>
  <r>
    <s v="mercedes"/>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Mercedes Corby"/>
    <x v="5"/>
    <n v="0"/>
  </r>
  <r>
    <s v="mercedes"/>
    <x v="5"/>
    <n v="0"/>
  </r>
  <r>
    <s v="corby"/>
    <x v="5"/>
    <n v="0"/>
  </r>
  <r>
    <s v="corby"/>
    <x v="5"/>
    <n v="0"/>
  </r>
  <r>
    <s v="corby"/>
    <x v="5"/>
    <n v="0"/>
  </r>
  <r>
    <s v="corby"/>
    <x v="5"/>
    <n v="0"/>
  </r>
  <r>
    <s v="corby"/>
    <x v="5"/>
    <n v="0"/>
  </r>
  <r>
    <s v="corby"/>
    <x v="5"/>
    <n v="0"/>
  </r>
  <r>
    <s v="brother"/>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corby"/>
    <x v="5"/>
    <n v="0"/>
  </r>
  <r>
    <s v="mercedes"/>
    <x v="5"/>
    <n v="0"/>
  </r>
  <r>
    <s v="corby"/>
    <x v="5"/>
    <n v="0"/>
  </r>
  <r>
    <s v="corby"/>
    <x v="5"/>
    <n v="0"/>
  </r>
  <r>
    <s v="corby"/>
    <x v="5"/>
    <n v="0"/>
  </r>
  <r>
    <s v="corby"/>
    <x v="5"/>
    <n v="0"/>
  </r>
  <r>
    <s v="corby"/>
    <x v="5"/>
    <n v="0"/>
  </r>
  <r>
    <s v="corby"/>
    <x v="5"/>
    <n v="0"/>
  </r>
  <r>
    <s v="corby"/>
    <x v="5"/>
    <n v="0"/>
  </r>
  <r>
    <s v="corby"/>
    <x v="5"/>
    <n v="0"/>
  </r>
  <r>
    <s v="father"/>
    <x v="5"/>
    <n v="0"/>
  </r>
  <r>
    <s v="father"/>
    <x v="5"/>
    <n v="0"/>
  </r>
  <r>
    <s v="corby"/>
    <x v="5"/>
    <n v="0"/>
  </r>
  <r>
    <s v="brother"/>
    <x v="5"/>
    <n v="0"/>
  </r>
  <r>
    <s v="sister"/>
    <x v="5"/>
    <n v="0"/>
  </r>
  <r>
    <s v="mercedes"/>
    <x v="5"/>
    <n v="0"/>
  </r>
  <r>
    <s v="sister"/>
    <x v="5"/>
    <n v="0"/>
  </r>
  <r>
    <s v="mercedes"/>
    <x v="5"/>
    <n v="0"/>
  </r>
  <r>
    <s v="Mercedes Corby"/>
    <x v="5"/>
    <n v="0"/>
  </r>
  <r>
    <s v="mercedes"/>
    <x v="5"/>
    <n v="0"/>
  </r>
  <r>
    <s v="corby"/>
    <x v="5"/>
    <n v="0"/>
  </r>
  <r>
    <s v="mercedes"/>
    <x v="5"/>
    <n v="0"/>
  </r>
  <r>
    <s v="mercedes"/>
    <x v="5"/>
    <n v="0"/>
  </r>
  <r>
    <s v="mercedes"/>
    <x v="5"/>
    <n v="0"/>
  </r>
  <r>
    <s v="mercedes"/>
    <x v="5"/>
    <n v="0"/>
  </r>
  <r>
    <s v="mercedes"/>
    <x v="5"/>
    <n v="0"/>
  </r>
  <r>
    <s v="mercedes"/>
    <x v="5"/>
    <n v="0"/>
  </r>
  <r>
    <s v="brother"/>
    <x v="5"/>
    <n v="0"/>
  </r>
  <r>
    <s v="sister"/>
    <x v="5"/>
    <n v="0"/>
  </r>
  <r>
    <s v="brother"/>
    <x v="5"/>
    <n v="0"/>
  </r>
  <r>
    <s v="corby"/>
    <x v="5"/>
    <n v="0"/>
  </r>
  <r>
    <s v="mercedes"/>
    <x v="5"/>
    <n v="0"/>
  </r>
  <r>
    <s v="sister"/>
    <x v="5"/>
    <n v="0"/>
  </r>
  <r>
    <s v="brother"/>
    <x v="5"/>
    <n v="0"/>
  </r>
  <r>
    <s v="sister"/>
    <x v="5"/>
    <n v="0"/>
  </r>
  <r>
    <s v="corby"/>
    <x v="5"/>
    <n v="0"/>
  </r>
  <r>
    <s v="brother"/>
    <x v="5"/>
    <n v="0"/>
  </r>
  <r>
    <s v="whole family"/>
    <x v="5"/>
    <n v="0"/>
  </r>
  <r>
    <s v="brother"/>
    <x v="5"/>
    <n v="0"/>
  </r>
  <r>
    <s v="Mercedes Corby"/>
    <x v="5"/>
    <n v="0"/>
  </r>
  <r>
    <s v="mercedes"/>
    <x v="5"/>
    <n v="0"/>
  </r>
  <r>
    <s v="corby"/>
    <x v="5"/>
    <n v="0"/>
  </r>
  <r>
    <s v="sister"/>
    <x v="5"/>
    <n v="0"/>
  </r>
  <r>
    <s v="whole family"/>
    <x v="5"/>
    <n v="0"/>
  </r>
  <r>
    <s v="brother"/>
    <x v="5"/>
    <n v="0"/>
  </r>
  <r>
    <s v="whole family"/>
    <x v="5"/>
    <n v="0"/>
  </r>
  <r>
    <s v="brother"/>
    <x v="5"/>
    <n v="0"/>
  </r>
  <r>
    <s v="father"/>
    <x v="5"/>
    <n v="0"/>
  </r>
  <r>
    <s v="sister"/>
    <x v="5"/>
    <n v="0"/>
  </r>
  <r>
    <s v="corby"/>
    <x v="5"/>
    <n v="0"/>
  </r>
  <r>
    <s v="mercedes"/>
    <x v="5"/>
    <n v="0"/>
  </r>
  <r>
    <s v="Mercedes Corby"/>
    <x v="5"/>
    <n v="0"/>
  </r>
  <r>
    <s v="mercedes"/>
    <x v="5"/>
    <n v="0"/>
  </r>
  <r>
    <s v="corby"/>
    <x v="5"/>
    <n v="0"/>
  </r>
  <r>
    <s v="corby"/>
    <x v="5"/>
    <n v="0"/>
  </r>
  <r>
    <s v="corby"/>
    <x v="5"/>
    <n v="0"/>
  </r>
  <r>
    <s v="brother"/>
    <x v="5"/>
    <n v="0"/>
  </r>
  <r>
    <s v="corby"/>
    <x v="5"/>
    <n v="0"/>
  </r>
  <r>
    <s v="corby"/>
    <x v="5"/>
    <n v="0"/>
  </r>
  <r>
    <s v="corby"/>
    <x v="5"/>
    <n v="0"/>
  </r>
  <r>
    <s v="sister"/>
    <x v="5"/>
    <n v="0"/>
  </r>
  <r>
    <s v="sisters"/>
    <x v="5"/>
    <n v="0"/>
  </r>
  <r>
    <s v="corby"/>
    <x v="5"/>
    <n v="0"/>
  </r>
  <r>
    <s v="corby"/>
    <x v="5"/>
    <n v="0"/>
  </r>
  <r>
    <s v="corby"/>
    <x v="5"/>
    <n v="0"/>
  </r>
  <r>
    <s v="corby"/>
    <x v="5"/>
    <n v="0"/>
  </r>
  <r>
    <s v="sister"/>
    <x v="5"/>
    <n v="0"/>
  </r>
  <r>
    <s v="corby"/>
    <x v="5"/>
    <n v="0"/>
  </r>
  <r>
    <s v="corby"/>
    <x v="5"/>
    <n v="0"/>
  </r>
  <r>
    <s v="brother"/>
    <x v="5"/>
    <n v="0"/>
  </r>
  <r>
    <s v="corby"/>
    <x v="5"/>
    <n v="0"/>
  </r>
  <r>
    <s v="corby"/>
    <x v="5"/>
    <n v="0"/>
  </r>
  <r>
    <s v="corby"/>
    <x v="5"/>
    <n v="0"/>
  </r>
  <r>
    <s v="corby"/>
    <x v="5"/>
    <n v="0"/>
  </r>
  <r>
    <s v="corby"/>
    <x v="5"/>
    <n v="0"/>
  </r>
  <r>
    <s v="corby"/>
    <x v="5"/>
    <n v="0"/>
  </r>
  <r>
    <s v="brother"/>
    <x v="5"/>
    <n v="0"/>
  </r>
  <r>
    <s v="corby"/>
    <x v="5"/>
    <n v="0"/>
  </r>
  <r>
    <s v="af"/>
    <x v="6"/>
    <n v="1"/>
  </r>
  <r>
    <s v="af"/>
    <x v="6"/>
    <n v="1"/>
  </r>
  <r>
    <s v="dumb"/>
    <x v="6"/>
    <n v="3"/>
  </r>
  <r>
    <s v="af"/>
    <x v="6"/>
    <n v="1"/>
  </r>
  <r>
    <s v="af"/>
    <x v="6"/>
    <n v="1"/>
  </r>
  <r>
    <s v="af"/>
    <x v="6"/>
    <n v="1"/>
  </r>
  <r>
    <s v="af"/>
    <x v="6"/>
    <n v="1"/>
  </r>
  <r>
    <s v="af"/>
    <x v="6"/>
    <n v="1"/>
  </r>
  <r>
    <s v="af"/>
    <x v="6"/>
    <n v="1"/>
  </r>
  <r>
    <s v="af"/>
    <x v="6"/>
    <n v="1"/>
  </r>
  <r>
    <s v="af"/>
    <x v="6"/>
    <n v="1"/>
  </r>
  <r>
    <s v="af"/>
    <x v="6"/>
    <n v="1"/>
  </r>
  <r>
    <s v="af"/>
    <x v="6"/>
    <n v="1"/>
  </r>
  <r>
    <s v="af"/>
    <x v="6"/>
    <n v="1"/>
  </r>
  <r>
    <s v="af"/>
    <x v="6"/>
    <n v="1"/>
  </r>
  <r>
    <s v="af"/>
    <x v="6"/>
    <n v="1"/>
  </r>
  <r>
    <s v="af"/>
    <x v="6"/>
    <n v="1"/>
  </r>
  <r>
    <s v="af"/>
    <x v="6"/>
    <n v="1"/>
  </r>
  <r>
    <s v="af"/>
    <x v="6"/>
    <n v="1"/>
  </r>
  <r>
    <s v="af"/>
    <x v="6"/>
    <n v="1"/>
  </r>
  <r>
    <s v="af"/>
    <x v="6"/>
    <n v="1"/>
  </r>
  <r>
    <s v="dumb"/>
    <x v="6"/>
    <n v="3"/>
  </r>
  <r>
    <s v="stupid"/>
    <x v="6"/>
    <n v="3"/>
  </r>
  <r>
    <s v="idiot"/>
    <x v="6"/>
    <n v="3"/>
  </r>
  <r>
    <s v="idiot"/>
    <x v="6"/>
    <n v="3"/>
  </r>
  <r>
    <s v="af"/>
    <x v="6"/>
    <n v="1"/>
  </r>
  <r>
    <s v="af"/>
    <x v="6"/>
    <n v="1"/>
  </r>
  <r>
    <s v="af"/>
    <x v="6"/>
    <n v="1"/>
  </r>
  <r>
    <s v="af"/>
    <x v="6"/>
    <n v="1"/>
  </r>
  <r>
    <s v="af"/>
    <x v="6"/>
    <n v="1"/>
  </r>
  <r>
    <s v="af"/>
    <x v="6"/>
    <n v="1"/>
  </r>
  <r>
    <s v="dumb"/>
    <x v="6"/>
    <n v="3"/>
  </r>
  <r>
    <s v="af"/>
    <x v="6"/>
    <n v="1"/>
  </r>
  <r>
    <s v="af"/>
    <x v="6"/>
    <n v="1"/>
  </r>
  <r>
    <s v="af"/>
    <x v="6"/>
    <n v="1"/>
  </r>
  <r>
    <s v="af"/>
    <x v="6"/>
    <n v="1"/>
  </r>
  <r>
    <s v="af"/>
    <x v="6"/>
    <n v="1"/>
  </r>
  <r>
    <s v="af"/>
    <x v="6"/>
    <n v="1"/>
  </r>
  <r>
    <s v="moron"/>
    <x v="6"/>
    <n v="3"/>
  </r>
  <r>
    <s v="stupid"/>
    <x v="6"/>
    <n v="3"/>
  </r>
  <r>
    <s v="dumb"/>
    <x v="6"/>
    <n v="3"/>
  </r>
  <r>
    <s v="af"/>
    <x v="6"/>
    <n v="1"/>
  </r>
  <r>
    <s v="af"/>
    <x v="6"/>
    <n v="1"/>
  </r>
  <r>
    <s v="af"/>
    <x v="6"/>
    <n v="1"/>
  </r>
  <r>
    <s v="idiot"/>
    <x v="6"/>
    <n v="3"/>
  </r>
  <r>
    <s v="idiot"/>
    <x v="6"/>
    <n v="3"/>
  </r>
  <r>
    <s v="idiots"/>
    <x v="6"/>
    <n v="3"/>
  </r>
  <r>
    <s v="af"/>
    <x v="6"/>
    <n v="1"/>
  </r>
  <r>
    <s v="af"/>
    <x v="6"/>
    <n v="1"/>
  </r>
  <r>
    <s v="af"/>
    <x v="6"/>
    <n v="1"/>
  </r>
  <r>
    <s v="stupid"/>
    <x v="6"/>
    <n v="3"/>
  </r>
  <r>
    <s v="idiot"/>
    <x v="6"/>
    <n v="3"/>
  </r>
  <r>
    <s v="idiot"/>
    <x v="6"/>
    <n v="3"/>
  </r>
  <r>
    <s v="idiots"/>
    <x v="6"/>
    <n v="3"/>
  </r>
  <r>
    <s v="dumb"/>
    <x v="6"/>
    <n v="3"/>
  </r>
  <r>
    <s v="stupid"/>
    <x v="6"/>
    <n v="3"/>
  </r>
  <r>
    <s v="af"/>
    <x v="6"/>
    <n v="1"/>
  </r>
  <r>
    <s v="af"/>
    <x v="6"/>
    <n v="1"/>
  </r>
  <r>
    <s v="af"/>
    <x v="6"/>
    <n v="1"/>
  </r>
  <r>
    <s v="af"/>
    <x v="6"/>
    <n v="1"/>
  </r>
  <r>
    <s v="af"/>
    <x v="6"/>
    <n v="1"/>
  </r>
  <r>
    <s v="af"/>
    <x v="6"/>
    <n v="1"/>
  </r>
  <r>
    <s v="af"/>
    <x v="6"/>
    <n v="1"/>
  </r>
  <r>
    <s v="dumb"/>
    <x v="6"/>
    <n v="3"/>
  </r>
  <r>
    <s v="af"/>
    <x v="6"/>
    <n v="1"/>
  </r>
  <r>
    <s v="af"/>
    <x v="6"/>
    <n v="1"/>
  </r>
  <r>
    <s v="fucked"/>
    <x v="6"/>
    <n v="3"/>
  </r>
  <r>
    <s v="af"/>
    <x v="6"/>
    <n v="1"/>
  </r>
  <r>
    <s v="idiot"/>
    <x v="6"/>
    <n v="3"/>
  </r>
  <r>
    <s v="stupid"/>
    <x v="6"/>
    <n v="3"/>
  </r>
  <r>
    <s v="af"/>
    <x v="6"/>
    <n v="1"/>
  </r>
  <r>
    <s v="af"/>
    <x v="6"/>
    <n v="1"/>
  </r>
  <r>
    <s v="af"/>
    <x v="6"/>
    <n v="1"/>
  </r>
  <r>
    <s v="fucked"/>
    <x v="6"/>
    <n v="3"/>
  </r>
  <r>
    <s v="af"/>
    <x v="6"/>
    <n v="1"/>
  </r>
  <r>
    <s v="af"/>
    <x v="6"/>
    <n v="1"/>
  </r>
  <r>
    <s v="af"/>
    <x v="6"/>
    <n v="1"/>
  </r>
  <r>
    <s v="af"/>
    <x v="6"/>
    <n v="1"/>
  </r>
  <r>
    <s v="af"/>
    <x v="6"/>
    <n v="1"/>
  </r>
  <r>
    <s v="af"/>
    <x v="6"/>
    <n v="1"/>
  </r>
  <r>
    <s v="af"/>
    <x v="6"/>
    <n v="1"/>
  </r>
  <r>
    <s v="convicted"/>
    <x v="7"/>
    <n v="0"/>
  </r>
  <r>
    <s v="import"/>
    <x v="7"/>
    <n v="0"/>
  </r>
  <r>
    <s v="convicted"/>
    <x v="7"/>
    <n v="0"/>
  </r>
  <r>
    <s v="innocent"/>
    <x v="7"/>
    <n v="0"/>
  </r>
  <r>
    <s v="innocent"/>
    <x v="7"/>
    <n v="0"/>
  </r>
  <r>
    <s v="reasonable doubt"/>
    <x v="7"/>
    <n v="0"/>
  </r>
  <r>
    <s v="innocent"/>
    <x v="7"/>
    <n v="0"/>
  </r>
  <r>
    <s v="reasonable doubt"/>
    <x v="7"/>
    <n v="0"/>
  </r>
  <r>
    <s v="import"/>
    <x v="7"/>
    <n v="0"/>
  </r>
  <r>
    <s v="parole"/>
    <x v="7"/>
    <n v="0"/>
  </r>
  <r>
    <s v="convicted"/>
    <x v="7"/>
    <n v="0"/>
  </r>
  <r>
    <s v="convicted"/>
    <x v="7"/>
    <n v="0"/>
  </r>
  <r>
    <s v="innocent"/>
    <x v="7"/>
    <n v="0"/>
  </r>
  <r>
    <s v="parole"/>
    <x v="7"/>
    <n v="0"/>
  </r>
  <r>
    <s v="convicted"/>
    <x v="7"/>
    <n v="0"/>
  </r>
  <r>
    <s v="convicted"/>
    <x v="7"/>
    <n v="0"/>
  </r>
  <r>
    <s v="convicted"/>
    <x v="7"/>
    <n v="0"/>
  </r>
  <r>
    <s v="convicted"/>
    <x v="7"/>
    <n v="0"/>
  </r>
  <r>
    <s v="innocent"/>
    <x v="7"/>
    <n v="0"/>
  </r>
  <r>
    <s v="convicted"/>
    <x v="7"/>
    <n v="0"/>
  </r>
  <r>
    <s v="convicted"/>
    <x v="7"/>
    <n v="0"/>
  </r>
  <r>
    <s v="innocent"/>
    <x v="7"/>
    <n v="0"/>
  </r>
  <r>
    <s v="sentenced"/>
    <x v="7"/>
    <n v="0"/>
  </r>
  <r>
    <s v="guilty"/>
    <x v="7"/>
    <n v="0"/>
  </r>
  <r>
    <s v="guilty"/>
    <x v="7"/>
    <n v="0"/>
  </r>
  <r>
    <s v="arrested"/>
    <x v="7"/>
    <n v="0"/>
  </r>
  <r>
    <s v="guilty"/>
    <x v="7"/>
    <n v="0"/>
  </r>
  <r>
    <s v="guilty"/>
    <x v="7"/>
    <n v="0"/>
  </r>
  <r>
    <s v="innocent"/>
    <x v="7"/>
    <n v="0"/>
  </r>
  <r>
    <s v="guilty"/>
    <x v="7"/>
    <n v="0"/>
  </r>
  <r>
    <s v="arrested"/>
    <x v="7"/>
    <n v="0"/>
  </r>
  <r>
    <s v="convicted"/>
    <x v="7"/>
    <n v="0"/>
  </r>
  <r>
    <s v="innocent"/>
    <x v="7"/>
    <n v="0"/>
  </r>
  <r>
    <s v="guilty"/>
    <x v="7"/>
    <n v="0"/>
  </r>
  <r>
    <s v="served"/>
    <x v="7"/>
    <n v="0"/>
  </r>
  <r>
    <s v="import"/>
    <x v="7"/>
    <n v="0"/>
  </r>
  <r>
    <s v="guilty"/>
    <x v="7"/>
    <n v="0"/>
  </r>
  <r>
    <s v="innocent"/>
    <x v="7"/>
    <n v="0"/>
  </r>
  <r>
    <s v="guilty"/>
    <x v="7"/>
    <n v="0"/>
  </r>
  <r>
    <s v="guilty af"/>
    <x v="7"/>
    <n v="1"/>
  </r>
  <r>
    <s v="served"/>
    <x v="7"/>
    <n v="0"/>
  </r>
  <r>
    <s v="guilty"/>
    <x v="7"/>
    <n v="0"/>
  </r>
  <r>
    <s v="import"/>
    <x v="7"/>
    <n v="0"/>
  </r>
  <r>
    <s v="export"/>
    <x v="7"/>
    <n v="0"/>
  </r>
  <r>
    <s v="guilty"/>
    <x v="7"/>
    <n v="0"/>
  </r>
  <r>
    <s v="guilty"/>
    <x v="7"/>
    <n v="0"/>
  </r>
  <r>
    <s v="guilty"/>
    <x v="7"/>
    <n v="0"/>
  </r>
  <r>
    <s v="guilty"/>
    <x v="7"/>
    <n v="0"/>
  </r>
  <r>
    <s v="guilty"/>
    <x v="7"/>
    <n v="0"/>
  </r>
  <r>
    <s v="charged"/>
    <x v="7"/>
    <n v="0"/>
  </r>
  <r>
    <s v="guilty"/>
    <x v="7"/>
    <n v="0"/>
  </r>
  <r>
    <s v="innocent"/>
    <x v="7"/>
    <n v="0"/>
  </r>
  <r>
    <s v="guilty"/>
    <x v="7"/>
    <n v="0"/>
  </r>
  <r>
    <s v="served"/>
    <x v="7"/>
    <n v="0"/>
  </r>
  <r>
    <s v="Indonesian law"/>
    <x v="7"/>
    <n v="0"/>
  </r>
  <r>
    <s v="import"/>
    <x v="7"/>
    <n v="0"/>
  </r>
  <r>
    <s v="export"/>
    <x v="7"/>
    <n v="0"/>
  </r>
  <r>
    <s v="guilty"/>
    <x v="7"/>
    <n v="0"/>
  </r>
  <r>
    <s v="served"/>
    <x v="7"/>
    <n v="0"/>
  </r>
  <r>
    <s v="served"/>
    <x v="7"/>
    <n v="0"/>
  </r>
  <r>
    <s v="charged"/>
    <x v="7"/>
    <n v="0"/>
  </r>
  <r>
    <s v="guilty"/>
    <x v="7"/>
    <n v="0"/>
  </r>
  <r>
    <s v="guilty"/>
    <x v="7"/>
    <n v="0"/>
  </r>
  <r>
    <s v="parole"/>
    <x v="7"/>
    <n v="0"/>
  </r>
  <r>
    <s v="convicted"/>
    <x v="7"/>
    <n v="0"/>
  </r>
  <r>
    <s v="served"/>
    <x v="7"/>
    <n v="0"/>
  </r>
  <r>
    <s v="arrested"/>
    <x v="7"/>
    <n v="0"/>
  </r>
  <r>
    <s v="import"/>
    <x v="7"/>
    <n v="0"/>
  </r>
  <r>
    <s v="guilty"/>
    <x v="7"/>
    <n v="0"/>
  </r>
  <r>
    <s v="import"/>
    <x v="7"/>
    <n v="0"/>
  </r>
  <r>
    <s v="parole"/>
    <x v="7"/>
    <n v="0"/>
  </r>
  <r>
    <s v="convicted"/>
    <x v="7"/>
    <n v="0"/>
  </r>
  <r>
    <s v="sentenced"/>
    <x v="7"/>
    <n v="0"/>
  </r>
  <r>
    <s v="arrested"/>
    <x v="7"/>
    <n v="0"/>
  </r>
  <r>
    <s v="parole"/>
    <x v="7"/>
    <n v="0"/>
  </r>
  <r>
    <s v="parole"/>
    <x v="7"/>
    <n v="0"/>
  </r>
  <r>
    <s v="innocent"/>
    <x v="7"/>
    <n v="0"/>
  </r>
  <r>
    <s v="parole"/>
    <x v="7"/>
    <n v="0"/>
  </r>
  <r>
    <s v="guilty"/>
    <x v="7"/>
    <n v="0"/>
  </r>
  <r>
    <s v="guilty"/>
    <x v="7"/>
    <n v="0"/>
  </r>
  <r>
    <s v="guilty"/>
    <x v="7"/>
    <n v="0"/>
  </r>
  <r>
    <s v="guilty"/>
    <x v="7"/>
    <n v="0"/>
  </r>
  <r>
    <s v="arrested"/>
    <x v="7"/>
    <n v="0"/>
  </r>
  <r>
    <s v="parole"/>
    <x v="7"/>
    <n v="0"/>
  </r>
  <r>
    <s v="convicted"/>
    <x v="7"/>
    <n v="0"/>
  </r>
  <r>
    <s v="sentenced"/>
    <x v="7"/>
    <n v="0"/>
  </r>
  <r>
    <s v="convicted"/>
    <x v="7"/>
    <n v="0"/>
  </r>
  <r>
    <s v="arrested"/>
    <x v="7"/>
    <n v="0"/>
  </r>
  <r>
    <s v="guilty"/>
    <x v="7"/>
    <n v="0"/>
  </r>
  <r>
    <s v="import"/>
    <x v="7"/>
    <n v="0"/>
  </r>
  <r>
    <s v="parole"/>
    <x v="7"/>
    <n v="0"/>
  </r>
  <r>
    <s v="convicted"/>
    <x v="7"/>
    <n v="0"/>
  </r>
  <r>
    <s v="import"/>
    <x v="7"/>
    <n v="0"/>
  </r>
  <r>
    <s v="arrested"/>
    <x v="7"/>
    <n v="0"/>
  </r>
  <r>
    <s v="sentenced"/>
    <x v="7"/>
    <n v="0"/>
  </r>
  <r>
    <s v="convicted"/>
    <x v="7"/>
    <n v="0"/>
  </r>
  <r>
    <s v="convicted"/>
    <x v="7"/>
    <n v="0"/>
  </r>
  <r>
    <s v="import"/>
    <x v="7"/>
    <n v="0"/>
  </r>
  <r>
    <s v="convicted"/>
    <x v="7"/>
    <n v="0"/>
  </r>
  <r>
    <s v="sentence"/>
    <x v="7"/>
    <n v="0"/>
  </r>
  <r>
    <s v="law"/>
    <x v="7"/>
    <n v="0"/>
  </r>
  <r>
    <s v="sentence"/>
    <x v="7"/>
    <n v="0"/>
  </r>
  <r>
    <s v="law"/>
    <x v="7"/>
    <n v="0"/>
  </r>
  <r>
    <s v="sentence"/>
    <x v="7"/>
    <n v="0"/>
  </r>
  <r>
    <s v="sentence"/>
    <x v="7"/>
    <n v="0"/>
  </r>
  <r>
    <s v="sentence"/>
    <x v="7"/>
    <n v="0"/>
  </r>
  <r>
    <s v="law"/>
    <x v="7"/>
    <n v="0"/>
  </r>
  <r>
    <s v="sentence"/>
    <x v="7"/>
    <n v="0"/>
  </r>
  <r>
    <s v="law"/>
    <x v="7"/>
    <n v="0"/>
  </r>
  <r>
    <s v="law"/>
    <x v="7"/>
    <n v="0"/>
  </r>
  <r>
    <s v="law"/>
    <x v="7"/>
    <n v="0"/>
  </r>
  <r>
    <s v="law"/>
    <x v="7"/>
    <n v="0"/>
  </r>
  <r>
    <s v="disgusting"/>
    <x v="8"/>
    <n v="3"/>
  </r>
  <r>
    <s v="sucks"/>
    <x v="8"/>
    <n v="2"/>
  </r>
  <r>
    <s v="disgusting"/>
    <x v="8"/>
    <n v="3"/>
  </r>
  <r>
    <s v="disgusting"/>
    <x v="8"/>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r>
  <r>
    <x v="1"/>
  </r>
  <r>
    <x v="1"/>
  </r>
  <r>
    <x v="2"/>
  </r>
  <r>
    <x v="3"/>
  </r>
  <r>
    <x v="1"/>
  </r>
  <r>
    <x v="4"/>
  </r>
  <r>
    <x v="1"/>
  </r>
  <r>
    <x v="1"/>
  </r>
  <r>
    <x v="1"/>
  </r>
  <r>
    <x v="4"/>
  </r>
  <r>
    <x v="1"/>
  </r>
  <r>
    <x v="5"/>
  </r>
  <r>
    <x v="1"/>
  </r>
  <r>
    <x v="1"/>
  </r>
  <r>
    <x v="6"/>
  </r>
  <r>
    <x v="1"/>
  </r>
  <r>
    <x v="7"/>
  </r>
  <r>
    <x v="0"/>
  </r>
  <r>
    <x v="8"/>
  </r>
  <r>
    <x v="9"/>
  </r>
  <r>
    <x v="10"/>
  </r>
  <r>
    <x v="10"/>
  </r>
  <r>
    <x v="2"/>
  </r>
  <r>
    <x v="1"/>
  </r>
  <r>
    <x v="1"/>
  </r>
  <r>
    <x v="1"/>
  </r>
  <r>
    <x v="1"/>
  </r>
  <r>
    <x v="1"/>
  </r>
  <r>
    <x v="4"/>
  </r>
  <r>
    <x v="1"/>
  </r>
  <r>
    <x v="1"/>
  </r>
  <r>
    <x v="1"/>
  </r>
  <r>
    <x v="1"/>
  </r>
  <r>
    <x v="1"/>
  </r>
  <r>
    <x v="11"/>
  </r>
  <r>
    <x v="0"/>
  </r>
  <r>
    <x v="1"/>
  </r>
  <r>
    <x v="1"/>
  </r>
  <r>
    <x v="8"/>
  </r>
  <r>
    <x v="1"/>
  </r>
  <r>
    <x v="4"/>
  </r>
  <r>
    <x v="1"/>
  </r>
  <r>
    <x v="1"/>
  </r>
  <r>
    <x v="1"/>
  </r>
  <r>
    <x v="1"/>
  </r>
  <r>
    <x v="3"/>
  </r>
  <r>
    <x v="1"/>
  </r>
  <r>
    <x v="1"/>
  </r>
  <r>
    <x v="1"/>
  </r>
  <r>
    <x v="1"/>
  </r>
  <r>
    <x v="1"/>
  </r>
  <r>
    <x v="1"/>
  </r>
  <r>
    <x v="1"/>
  </r>
  <r>
    <x v="1"/>
  </r>
  <r>
    <x v="2"/>
  </r>
  <r>
    <x v="1"/>
  </r>
  <r>
    <x v="1"/>
  </r>
  <r>
    <x v="3"/>
  </r>
  <r>
    <x v="1"/>
  </r>
  <r>
    <x v="1"/>
  </r>
  <r>
    <x v="1"/>
  </r>
  <r>
    <x v="1"/>
  </r>
  <r>
    <x v="1"/>
  </r>
  <r>
    <x v="0"/>
  </r>
  <r>
    <x v="2"/>
  </r>
  <r>
    <x v="1"/>
  </r>
  <r>
    <x v="1"/>
  </r>
  <r>
    <x v="10"/>
  </r>
  <r>
    <x v="1"/>
  </r>
  <r>
    <x v="1"/>
  </r>
  <r>
    <x v="1"/>
  </r>
  <r>
    <x v="0"/>
  </r>
  <r>
    <x v="1"/>
  </r>
  <r>
    <x v="1"/>
  </r>
  <r>
    <x v="1"/>
  </r>
  <r>
    <x v="1"/>
  </r>
  <r>
    <x v="1"/>
  </r>
  <r>
    <x v="1"/>
  </r>
  <r>
    <x v="4"/>
  </r>
  <r>
    <x v="1"/>
  </r>
  <r>
    <x v="1"/>
  </r>
  <r>
    <x v="12"/>
  </r>
  <r>
    <x v="1"/>
  </r>
  <r>
    <x v="1"/>
  </r>
  <r>
    <x v="1"/>
  </r>
  <r>
    <x v="13"/>
  </r>
  <r>
    <x v="1"/>
  </r>
  <r>
    <x v="14"/>
  </r>
  <r>
    <x v="1"/>
  </r>
  <r>
    <x v="1"/>
  </r>
  <r>
    <x v="2"/>
  </r>
  <r>
    <x v="1"/>
  </r>
  <r>
    <x v="1"/>
  </r>
  <r>
    <x v="1"/>
  </r>
  <r>
    <x v="1"/>
  </r>
  <r>
    <x v="1"/>
  </r>
  <r>
    <x v="1"/>
  </r>
  <r>
    <x v="1"/>
  </r>
  <r>
    <x v="3"/>
  </r>
  <r>
    <x v="1"/>
  </r>
  <r>
    <x v="1"/>
  </r>
  <r>
    <x v="1"/>
  </r>
  <r>
    <x v="1"/>
  </r>
  <r>
    <x v="1"/>
  </r>
  <r>
    <x v="0"/>
  </r>
  <r>
    <x v="1"/>
  </r>
  <r>
    <x v="1"/>
  </r>
  <r>
    <x v="1"/>
  </r>
  <r>
    <x v="1"/>
  </r>
  <r>
    <x v="1"/>
  </r>
  <r>
    <x v="4"/>
  </r>
  <r>
    <x v="1"/>
  </r>
  <r>
    <x v="1"/>
  </r>
  <r>
    <x v="3"/>
  </r>
  <r>
    <x v="1"/>
  </r>
  <r>
    <x v="1"/>
  </r>
  <r>
    <x v="1"/>
  </r>
  <r>
    <x v="1"/>
  </r>
  <r>
    <x v="1"/>
  </r>
  <r>
    <x v="1"/>
  </r>
  <r>
    <x v="1"/>
  </r>
  <r>
    <x v="1"/>
  </r>
  <r>
    <x v="3"/>
  </r>
  <r>
    <x v="1"/>
  </r>
  <r>
    <x v="1"/>
  </r>
  <r>
    <x v="1"/>
  </r>
  <r>
    <x v="1"/>
  </r>
  <r>
    <x v="1"/>
  </r>
  <r>
    <x v="13"/>
  </r>
  <r>
    <x v="1"/>
  </r>
  <r>
    <x v="3"/>
  </r>
  <r>
    <x v="1"/>
  </r>
  <r>
    <x v="1"/>
  </r>
  <r>
    <x v="1"/>
  </r>
  <r>
    <x v="1"/>
  </r>
  <r>
    <x v="4"/>
  </r>
  <r>
    <x v="0"/>
  </r>
  <r>
    <x v="1"/>
  </r>
  <r>
    <x v="15"/>
  </r>
  <r>
    <x v="1"/>
  </r>
  <r>
    <x v="3"/>
  </r>
  <r>
    <x v="3"/>
  </r>
  <r>
    <x v="1"/>
  </r>
  <r>
    <x v="10"/>
  </r>
  <r>
    <x v="1"/>
  </r>
  <r>
    <x v="1"/>
  </r>
  <r>
    <x v="1"/>
  </r>
  <r>
    <x v="1"/>
  </r>
  <r>
    <x v="1"/>
  </r>
  <r>
    <x v="1"/>
  </r>
  <r>
    <x v="4"/>
  </r>
  <r>
    <x v="4"/>
  </r>
  <r>
    <x v="1"/>
  </r>
  <r>
    <x v="1"/>
  </r>
  <r>
    <x v="3"/>
  </r>
  <r>
    <x v="16"/>
  </r>
  <r>
    <x v="17"/>
  </r>
  <r>
    <x v="17"/>
  </r>
  <r>
    <x v="18"/>
  </r>
  <r>
    <x v="8"/>
  </r>
  <r>
    <x v="19"/>
  </r>
  <r>
    <x v="20"/>
  </r>
  <r>
    <x v="8"/>
  </r>
  <r>
    <x v="5"/>
  </r>
  <r>
    <x v="8"/>
  </r>
  <r>
    <x v="5"/>
  </r>
  <r>
    <x v="8"/>
  </r>
  <r>
    <x v="21"/>
  </r>
  <r>
    <x v="8"/>
  </r>
  <r>
    <x v="9"/>
  </r>
  <r>
    <x v="8"/>
  </r>
  <r>
    <x v="8"/>
  </r>
  <r>
    <x v="8"/>
  </r>
  <r>
    <x v="8"/>
  </r>
  <r>
    <x v="8"/>
  </r>
  <r>
    <x v="5"/>
  </r>
  <r>
    <x v="5"/>
  </r>
  <r>
    <x v="8"/>
  </r>
  <r>
    <x v="8"/>
  </r>
  <r>
    <x v="20"/>
  </r>
  <r>
    <x v="8"/>
  </r>
  <r>
    <x v="21"/>
  </r>
  <r>
    <x v="8"/>
  </r>
  <r>
    <x v="8"/>
  </r>
  <r>
    <x v="1"/>
  </r>
  <r>
    <x v="22"/>
  </r>
  <r>
    <x v="8"/>
  </r>
  <r>
    <x v="8"/>
  </r>
  <r>
    <x v="23"/>
  </r>
  <r>
    <x v="24"/>
  </r>
  <r>
    <x v="8"/>
  </r>
  <r>
    <x v="8"/>
  </r>
  <r>
    <x v="25"/>
  </r>
  <r>
    <x v="26"/>
  </r>
  <r>
    <x v="8"/>
  </r>
  <r>
    <x v="20"/>
  </r>
  <r>
    <x v="3"/>
  </r>
  <r>
    <x v="27"/>
  </r>
  <r>
    <x v="28"/>
  </r>
  <r>
    <x v="26"/>
  </r>
  <r>
    <x v="21"/>
  </r>
  <r>
    <x v="8"/>
  </r>
  <r>
    <x v="20"/>
  </r>
  <r>
    <x v="8"/>
  </r>
  <r>
    <x v="29"/>
  </r>
  <r>
    <x v="30"/>
  </r>
  <r>
    <x v="8"/>
  </r>
  <r>
    <x v="27"/>
  </r>
  <r>
    <x v="9"/>
  </r>
  <r>
    <x v="9"/>
  </r>
  <r>
    <x v="27"/>
  </r>
  <r>
    <x v="1"/>
  </r>
  <r>
    <x v="5"/>
  </r>
  <r>
    <x v="8"/>
  </r>
  <r>
    <x v="26"/>
  </r>
  <r>
    <x v="26"/>
  </r>
  <r>
    <x v="26"/>
  </r>
  <r>
    <x v="21"/>
  </r>
  <r>
    <x v="31"/>
  </r>
  <r>
    <x v="8"/>
  </r>
  <r>
    <x v="8"/>
  </r>
  <r>
    <x v="8"/>
  </r>
  <r>
    <x v="8"/>
  </r>
  <r>
    <x v="8"/>
  </r>
  <r>
    <x v="32"/>
  </r>
  <r>
    <x v="26"/>
  </r>
  <r>
    <x v="8"/>
  </r>
  <r>
    <x v="20"/>
  </r>
  <r>
    <x v="8"/>
  </r>
  <r>
    <x v="8"/>
  </r>
  <r>
    <x v="8"/>
  </r>
  <r>
    <x v="8"/>
  </r>
  <r>
    <x v="33"/>
  </r>
  <r>
    <x v="12"/>
  </r>
  <r>
    <x v="8"/>
  </r>
  <r>
    <x v="8"/>
  </r>
  <r>
    <x v="8"/>
  </r>
  <r>
    <x v="8"/>
  </r>
  <r>
    <x v="8"/>
  </r>
  <r>
    <x v="12"/>
  </r>
  <r>
    <x v="34"/>
  </r>
  <r>
    <x v="35"/>
  </r>
  <r>
    <x v="8"/>
  </r>
  <r>
    <x v="36"/>
  </r>
  <r>
    <x v="16"/>
  </r>
  <r>
    <x v="37"/>
  </r>
  <r>
    <x v="8"/>
  </r>
  <r>
    <x v="8"/>
  </r>
  <r>
    <x v="35"/>
  </r>
  <r>
    <x v="35"/>
  </r>
  <r>
    <x v="12"/>
  </r>
  <r>
    <x v="8"/>
  </r>
  <r>
    <x v="8"/>
  </r>
  <r>
    <x v="8"/>
  </r>
  <r>
    <x v="12"/>
  </r>
  <r>
    <x v="8"/>
  </r>
  <r>
    <x v="8"/>
  </r>
  <r>
    <x v="9"/>
  </r>
  <r>
    <x v="8"/>
  </r>
  <r>
    <x v="8"/>
  </r>
  <r>
    <x v="5"/>
  </r>
  <r>
    <x v="8"/>
  </r>
  <r>
    <x v="8"/>
  </r>
  <r>
    <x v="38"/>
  </r>
  <r>
    <x v="8"/>
  </r>
  <r>
    <x v="34"/>
  </r>
  <r>
    <x v="27"/>
  </r>
  <r>
    <x v="39"/>
  </r>
  <r>
    <x v="25"/>
  </r>
  <r>
    <x v="12"/>
  </r>
  <r>
    <x v="8"/>
  </r>
  <r>
    <x v="12"/>
  </r>
  <r>
    <x v="8"/>
  </r>
  <r>
    <x v="8"/>
  </r>
  <r>
    <x v="8"/>
  </r>
  <r>
    <x v="8"/>
  </r>
  <r>
    <x v="8"/>
  </r>
  <r>
    <x v="8"/>
  </r>
  <r>
    <x v="8"/>
  </r>
  <r>
    <x v="9"/>
  </r>
  <r>
    <x v="9"/>
  </r>
  <r>
    <x v="12"/>
  </r>
  <r>
    <x v="8"/>
  </r>
  <r>
    <x v="8"/>
  </r>
  <r>
    <x v="8"/>
  </r>
  <r>
    <x v="8"/>
  </r>
  <r>
    <x v="12"/>
  </r>
  <r>
    <x v="40"/>
  </r>
  <r>
    <x v="8"/>
  </r>
  <r>
    <x v="1"/>
  </r>
  <r>
    <x v="41"/>
  </r>
  <r>
    <x v="33"/>
  </r>
  <r>
    <x v="42"/>
  </r>
  <r>
    <x v="12"/>
  </r>
  <r>
    <x v="5"/>
  </r>
  <r>
    <x v="16"/>
  </r>
  <r>
    <x v="8"/>
  </r>
  <r>
    <x v="31"/>
  </r>
  <r>
    <x v="12"/>
  </r>
  <r>
    <x v="8"/>
  </r>
  <r>
    <x v="8"/>
  </r>
  <r>
    <x v="38"/>
  </r>
  <r>
    <x v="8"/>
  </r>
  <r>
    <x v="29"/>
  </r>
  <r>
    <x v="29"/>
  </r>
  <r>
    <x v="43"/>
  </r>
  <r>
    <x v="8"/>
  </r>
  <r>
    <x v="44"/>
  </r>
  <r>
    <x v="45"/>
  </r>
  <r>
    <x v="9"/>
  </r>
  <r>
    <x v="8"/>
  </r>
  <r>
    <x v="8"/>
  </r>
  <r>
    <x v="8"/>
  </r>
  <r>
    <x v="8"/>
  </r>
  <r>
    <x v="8"/>
  </r>
  <r>
    <x v="8"/>
  </r>
  <r>
    <x v="8"/>
  </r>
  <r>
    <x v="8"/>
  </r>
  <r>
    <x v="38"/>
  </r>
  <r>
    <x v="8"/>
  </r>
  <r>
    <x v="8"/>
  </r>
  <r>
    <x v="8"/>
  </r>
  <r>
    <x v="8"/>
  </r>
  <r>
    <x v="9"/>
  </r>
  <r>
    <x v="8"/>
  </r>
  <r>
    <x v="9"/>
  </r>
  <r>
    <x v="8"/>
  </r>
  <r>
    <x v="12"/>
  </r>
  <r>
    <x v="12"/>
  </r>
  <r>
    <x v="46"/>
  </r>
  <r>
    <x v="20"/>
  </r>
  <r>
    <x v="8"/>
  </r>
  <r>
    <x v="47"/>
  </r>
  <r>
    <x v="48"/>
  </r>
  <r>
    <x v="16"/>
  </r>
  <r>
    <x v="20"/>
  </r>
  <r>
    <x v="20"/>
  </r>
  <r>
    <x v="20"/>
  </r>
  <r>
    <x v="49"/>
  </r>
  <r>
    <x v="50"/>
  </r>
  <r>
    <x v="17"/>
  </r>
  <r>
    <x v="25"/>
  </r>
  <r>
    <x v="16"/>
  </r>
  <r>
    <x v="16"/>
  </r>
  <r>
    <x v="8"/>
  </r>
  <r>
    <x v="46"/>
  </r>
  <r>
    <x v="46"/>
  </r>
  <r>
    <x v="8"/>
  </r>
  <r>
    <x v="16"/>
  </r>
  <r>
    <x v="8"/>
  </r>
  <r>
    <x v="0"/>
  </r>
  <r>
    <x v="8"/>
  </r>
  <r>
    <x v="8"/>
  </r>
  <r>
    <x v="8"/>
  </r>
  <r>
    <x v="8"/>
  </r>
  <r>
    <x v="21"/>
  </r>
  <r>
    <x v="8"/>
  </r>
  <r>
    <x v="8"/>
  </r>
  <r>
    <x v="0"/>
  </r>
  <r>
    <x v="20"/>
  </r>
  <r>
    <x v="8"/>
  </r>
  <r>
    <x v="8"/>
  </r>
  <r>
    <x v="8"/>
  </r>
  <r>
    <x v="8"/>
  </r>
  <r>
    <x v="5"/>
  </r>
  <r>
    <x v="8"/>
  </r>
  <r>
    <x v="8"/>
  </r>
  <r>
    <x v="8"/>
  </r>
  <r>
    <x v="8"/>
  </r>
  <r>
    <x v="20"/>
  </r>
  <r>
    <x v="45"/>
  </r>
  <r>
    <x v="8"/>
  </r>
  <r>
    <x v="8"/>
  </r>
  <r>
    <x v="16"/>
  </r>
  <r>
    <x v="16"/>
  </r>
  <r>
    <x v="20"/>
  </r>
  <r>
    <x v="8"/>
  </r>
  <r>
    <x v="8"/>
  </r>
  <r>
    <x v="35"/>
  </r>
  <r>
    <x v="8"/>
  </r>
  <r>
    <x v="8"/>
  </r>
  <r>
    <x v="8"/>
  </r>
  <r>
    <x v="8"/>
  </r>
  <r>
    <x v="8"/>
  </r>
  <r>
    <x v="16"/>
  </r>
  <r>
    <x v="8"/>
  </r>
  <r>
    <x v="8"/>
  </r>
  <r>
    <x v="8"/>
  </r>
  <r>
    <x v="8"/>
  </r>
  <r>
    <x v="8"/>
  </r>
  <r>
    <x v="8"/>
  </r>
  <r>
    <x v="8"/>
  </r>
  <r>
    <x v="11"/>
  </r>
  <r>
    <x v="51"/>
  </r>
  <r>
    <x v="16"/>
  </r>
  <r>
    <x v="16"/>
  </r>
  <r>
    <x v="32"/>
  </r>
  <r>
    <x v="40"/>
  </r>
  <r>
    <x v="16"/>
  </r>
  <r>
    <x v="8"/>
  </r>
  <r>
    <x v="21"/>
  </r>
  <r>
    <x v="8"/>
  </r>
  <r>
    <x v="8"/>
  </r>
  <r>
    <x v="8"/>
  </r>
  <r>
    <x v="8"/>
  </r>
  <r>
    <x v="8"/>
  </r>
  <r>
    <x v="21"/>
  </r>
  <r>
    <x v="8"/>
  </r>
  <r>
    <x v="8"/>
  </r>
  <r>
    <x v="8"/>
  </r>
  <r>
    <x v="8"/>
  </r>
  <r>
    <x v="9"/>
  </r>
  <r>
    <x v="32"/>
  </r>
  <r>
    <x v="8"/>
  </r>
  <r>
    <x v="8"/>
  </r>
  <r>
    <x v="8"/>
  </r>
  <r>
    <x v="8"/>
  </r>
  <r>
    <x v="40"/>
  </r>
  <r>
    <x v="8"/>
  </r>
  <r>
    <x v="8"/>
  </r>
  <r>
    <x v="14"/>
  </r>
  <r>
    <x v="8"/>
  </r>
  <r>
    <x v="21"/>
  </r>
  <r>
    <x v="8"/>
  </r>
  <r>
    <x v="8"/>
  </r>
  <r>
    <x v="8"/>
  </r>
  <r>
    <x v="8"/>
  </r>
  <r>
    <x v="8"/>
  </r>
  <r>
    <x v="8"/>
  </r>
  <r>
    <x v="9"/>
  </r>
  <r>
    <x v="1"/>
  </r>
  <r>
    <x v="8"/>
  </r>
  <r>
    <x v="52"/>
  </r>
  <r>
    <x v="26"/>
  </r>
  <r>
    <x v="8"/>
  </r>
  <r>
    <x v="45"/>
  </r>
  <r>
    <x v="8"/>
  </r>
  <r>
    <x v="8"/>
  </r>
  <r>
    <x v="8"/>
  </r>
  <r>
    <x v="8"/>
  </r>
  <r>
    <x v="16"/>
  </r>
  <r>
    <x v="8"/>
  </r>
  <r>
    <x v="8"/>
  </r>
  <r>
    <x v="8"/>
  </r>
  <r>
    <x v="16"/>
  </r>
  <r>
    <x v="27"/>
  </r>
  <r>
    <x v="47"/>
  </r>
  <r>
    <x v="8"/>
  </r>
  <r>
    <x v="8"/>
  </r>
  <r>
    <x v="8"/>
  </r>
  <r>
    <x v="8"/>
  </r>
  <r>
    <x v="21"/>
  </r>
  <r>
    <x v="26"/>
  </r>
  <r>
    <x v="10"/>
  </r>
  <r>
    <x v="8"/>
  </r>
  <r>
    <x v="8"/>
  </r>
  <r>
    <x v="8"/>
  </r>
  <r>
    <x v="20"/>
  </r>
  <r>
    <x v="5"/>
  </r>
  <r>
    <x v="20"/>
  </r>
  <r>
    <x v="8"/>
  </r>
  <r>
    <x v="5"/>
  </r>
  <r>
    <x v="53"/>
  </r>
  <r>
    <x v="8"/>
  </r>
  <r>
    <x v="8"/>
  </r>
  <r>
    <x v="8"/>
  </r>
  <r>
    <x v="16"/>
  </r>
  <r>
    <x v="8"/>
  </r>
  <r>
    <x v="8"/>
  </r>
  <r>
    <x v="8"/>
  </r>
  <r>
    <x v="8"/>
  </r>
  <r>
    <x v="8"/>
  </r>
  <r>
    <x v="8"/>
  </r>
  <r>
    <x v="8"/>
  </r>
  <r>
    <x v="8"/>
  </r>
  <r>
    <x v="8"/>
  </r>
  <r>
    <x v="16"/>
  </r>
  <r>
    <x v="16"/>
  </r>
  <r>
    <x v="8"/>
  </r>
  <r>
    <x v="8"/>
  </r>
  <r>
    <x v="8"/>
  </r>
  <r>
    <x v="8"/>
  </r>
  <r>
    <x v="14"/>
  </r>
  <r>
    <x v="10"/>
  </r>
  <r>
    <x v="10"/>
  </r>
  <r>
    <x v="0"/>
  </r>
  <r>
    <x v="54"/>
  </r>
  <r>
    <x v="3"/>
  </r>
  <r>
    <x v="8"/>
  </r>
  <r>
    <x v="14"/>
  </r>
  <r>
    <x v="3"/>
  </r>
  <r>
    <x v="10"/>
  </r>
  <r>
    <x v="3"/>
  </r>
  <r>
    <x v="3"/>
  </r>
  <r>
    <x v="3"/>
  </r>
  <r>
    <x v="55"/>
  </r>
  <r>
    <x v="55"/>
  </r>
  <r>
    <x v="55"/>
  </r>
  <r>
    <x v="55"/>
  </r>
  <r>
    <x v="55"/>
  </r>
  <r>
    <x v="55"/>
  </r>
  <r>
    <x v="55"/>
  </r>
  <r>
    <x v="55"/>
  </r>
  <r>
    <x v="55"/>
  </r>
  <r>
    <x v="55"/>
  </r>
  <r>
    <x v="55"/>
  </r>
  <r>
    <x v="55"/>
  </r>
  <r>
    <x v="55"/>
  </r>
  <r>
    <x v="55"/>
  </r>
  <r>
    <x v="55"/>
  </r>
  <r>
    <x v="5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7">
  <r>
    <x v="0"/>
    <x v="0"/>
    <n v="0"/>
  </r>
  <r>
    <x v="0"/>
    <x v="0"/>
    <n v="0"/>
  </r>
  <r>
    <x v="0"/>
    <x v="0"/>
    <n v="0"/>
  </r>
  <r>
    <x v="0"/>
    <x v="0"/>
    <n v="0"/>
  </r>
  <r>
    <x v="0"/>
    <x v="0"/>
    <n v="0"/>
  </r>
  <r>
    <x v="0"/>
    <x v="0"/>
    <n v="0"/>
  </r>
  <r>
    <x v="0"/>
    <x v="0"/>
    <n v="0"/>
  </r>
  <r>
    <x v="0"/>
    <x v="0"/>
    <n v="0"/>
  </r>
  <r>
    <x v="0"/>
    <x v="0"/>
    <n v="0"/>
  </r>
  <r>
    <x v="0"/>
    <x v="0"/>
    <n v="0"/>
  </r>
  <r>
    <x v="0"/>
    <x v="0"/>
    <n v="0"/>
  </r>
  <r>
    <x v="0"/>
    <x v="0"/>
    <n v="0"/>
  </r>
  <r>
    <x v="1"/>
    <x v="0"/>
    <n v="2"/>
  </r>
  <r>
    <x v="1"/>
    <x v="0"/>
    <n v="2"/>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2"/>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3"/>
    <x v="1"/>
    <n v="0"/>
  </r>
  <r>
    <x v="4"/>
    <x v="1"/>
    <n v="0"/>
  </r>
  <r>
    <x v="4"/>
    <x v="1"/>
    <n v="0"/>
  </r>
  <r>
    <x v="4"/>
    <x v="1"/>
    <n v="0"/>
  </r>
  <r>
    <x v="4"/>
    <x v="1"/>
    <n v="0"/>
  </r>
  <r>
    <x v="4"/>
    <x v="1"/>
    <n v="0"/>
  </r>
  <r>
    <x v="4"/>
    <x v="1"/>
    <n v="0"/>
  </r>
  <r>
    <x v="4"/>
    <x v="1"/>
    <n v="0"/>
  </r>
  <r>
    <x v="4"/>
    <x v="1"/>
    <n v="0"/>
  </r>
  <r>
    <x v="4"/>
    <x v="1"/>
    <n v="0"/>
  </r>
  <r>
    <x v="4"/>
    <x v="1"/>
    <n v="0"/>
  </r>
  <r>
    <x v="4"/>
    <x v="1"/>
    <n v="0"/>
  </r>
  <r>
    <x v="5"/>
    <x v="1"/>
    <n v="0"/>
  </r>
  <r>
    <x v="5"/>
    <x v="1"/>
    <n v="0"/>
  </r>
  <r>
    <x v="5"/>
    <x v="1"/>
    <n v="0"/>
  </r>
  <r>
    <x v="5"/>
    <x v="1"/>
    <n v="0"/>
  </r>
  <r>
    <x v="5"/>
    <x v="1"/>
    <n v="0"/>
  </r>
  <r>
    <x v="5"/>
    <x v="1"/>
    <n v="0"/>
  </r>
  <r>
    <x v="5"/>
    <x v="1"/>
    <n v="0"/>
  </r>
  <r>
    <x v="5"/>
    <x v="1"/>
    <n v="0"/>
  </r>
  <r>
    <x v="6"/>
    <x v="1"/>
    <n v="0"/>
  </r>
  <r>
    <x v="6"/>
    <x v="1"/>
    <n v="0"/>
  </r>
  <r>
    <x v="6"/>
    <x v="1"/>
    <n v="0"/>
  </r>
  <r>
    <x v="6"/>
    <x v="1"/>
    <n v="0"/>
  </r>
  <r>
    <x v="6"/>
    <x v="1"/>
    <n v="0"/>
  </r>
  <r>
    <x v="6"/>
    <x v="1"/>
    <n v="0"/>
  </r>
  <r>
    <x v="7"/>
    <x v="1"/>
    <n v="0"/>
  </r>
  <r>
    <x v="7"/>
    <x v="1"/>
    <n v="0"/>
  </r>
  <r>
    <x v="7"/>
    <x v="1"/>
    <n v="0"/>
  </r>
  <r>
    <x v="7"/>
    <x v="1"/>
    <n v="0"/>
  </r>
  <r>
    <x v="7"/>
    <x v="1"/>
    <n v="0"/>
  </r>
  <r>
    <x v="7"/>
    <x v="1"/>
    <n v="0"/>
  </r>
  <r>
    <x v="7"/>
    <x v="1"/>
    <n v="0"/>
  </r>
  <r>
    <x v="7"/>
    <x v="1"/>
    <n v="0"/>
  </r>
  <r>
    <x v="7"/>
    <x v="1"/>
    <n v="0"/>
  </r>
  <r>
    <x v="7"/>
    <x v="1"/>
    <n v="0"/>
  </r>
  <r>
    <x v="8"/>
    <x v="1"/>
    <n v="0"/>
  </r>
  <r>
    <x v="8"/>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9"/>
    <x v="1"/>
    <n v="0"/>
  </r>
  <r>
    <x v="10"/>
    <x v="1"/>
    <n v="0"/>
  </r>
  <r>
    <x v="10"/>
    <x v="1"/>
    <n v="0"/>
  </r>
  <r>
    <x v="10"/>
    <x v="1"/>
    <n v="0"/>
  </r>
  <r>
    <x v="10"/>
    <x v="1"/>
    <n v="0"/>
  </r>
  <r>
    <x v="10"/>
    <x v="1"/>
    <n v="0"/>
  </r>
  <r>
    <x v="10"/>
    <x v="1"/>
    <n v="0"/>
  </r>
  <r>
    <x v="10"/>
    <x v="1"/>
    <n v="0"/>
  </r>
  <r>
    <x v="10"/>
    <x v="1"/>
    <n v="0"/>
  </r>
  <r>
    <x v="10"/>
    <x v="1"/>
    <n v="0"/>
  </r>
  <r>
    <x v="10"/>
    <x v="1"/>
    <n v="0"/>
  </r>
  <r>
    <x v="10"/>
    <x v="1"/>
    <n v="0"/>
  </r>
  <r>
    <x v="11"/>
    <x v="2"/>
    <n v="0"/>
  </r>
  <r>
    <x v="11"/>
    <x v="2"/>
    <n v="3"/>
  </r>
  <r>
    <x v="11"/>
    <x v="2"/>
    <n v="3"/>
  </r>
  <r>
    <x v="11"/>
    <x v="2"/>
    <n v="3"/>
  </r>
  <r>
    <x v="11"/>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2"/>
    <x v="2"/>
    <n v="3"/>
  </r>
  <r>
    <x v="13"/>
    <x v="2"/>
    <n v="3"/>
  </r>
  <r>
    <x v="14"/>
    <x v="2"/>
    <n v="1"/>
  </r>
  <r>
    <x v="15"/>
    <x v="2"/>
    <n v="4"/>
  </r>
  <r>
    <x v="15"/>
    <x v="2"/>
    <n v="3"/>
  </r>
  <r>
    <x v="16"/>
    <x v="2"/>
    <n v="3"/>
  </r>
  <r>
    <x v="16"/>
    <x v="2"/>
    <n v="4"/>
  </r>
  <r>
    <x v="17"/>
    <x v="2"/>
    <n v="4"/>
  </r>
  <r>
    <x v="18"/>
    <x v="2"/>
    <n v="4"/>
  </r>
  <r>
    <x v="19"/>
    <x v="3"/>
    <n v="4"/>
  </r>
  <r>
    <x v="19"/>
    <x v="3"/>
    <n v="1"/>
  </r>
  <r>
    <x v="20"/>
    <x v="3"/>
    <n v="1"/>
  </r>
  <r>
    <x v="20"/>
    <x v="3"/>
    <n v="2"/>
  </r>
  <r>
    <x v="20"/>
    <x v="3"/>
    <n v="2"/>
  </r>
  <r>
    <x v="21"/>
    <x v="3"/>
    <n v="2"/>
  </r>
  <r>
    <x v="21"/>
    <x v="3"/>
    <n v="0"/>
  </r>
  <r>
    <x v="21"/>
    <x v="3"/>
    <n v="0"/>
  </r>
  <r>
    <x v="21"/>
    <x v="3"/>
    <n v="0"/>
  </r>
  <r>
    <x v="21"/>
    <x v="3"/>
    <n v="0"/>
  </r>
  <r>
    <x v="21"/>
    <x v="3"/>
    <n v="0"/>
  </r>
  <r>
    <x v="21"/>
    <x v="3"/>
    <n v="0"/>
  </r>
  <r>
    <x v="21"/>
    <x v="3"/>
    <n v="0"/>
  </r>
  <r>
    <x v="21"/>
    <x v="3"/>
    <n v="0"/>
  </r>
  <r>
    <x v="21"/>
    <x v="3"/>
    <n v="0"/>
  </r>
  <r>
    <x v="21"/>
    <x v="3"/>
    <n v="0"/>
  </r>
  <r>
    <x v="22"/>
    <x v="3"/>
    <n v="0"/>
  </r>
  <r>
    <x v="22"/>
    <x v="3"/>
    <n v="1"/>
  </r>
  <r>
    <x v="22"/>
    <x v="3"/>
    <n v="1"/>
  </r>
  <r>
    <x v="22"/>
    <x v="3"/>
    <n v="1"/>
  </r>
  <r>
    <x v="22"/>
    <x v="3"/>
    <n v="1"/>
  </r>
  <r>
    <x v="22"/>
    <x v="3"/>
    <n v="1"/>
  </r>
  <r>
    <x v="22"/>
    <x v="3"/>
    <n v="1"/>
  </r>
  <r>
    <x v="22"/>
    <x v="3"/>
    <n v="1"/>
  </r>
  <r>
    <x v="22"/>
    <x v="3"/>
    <n v="1"/>
  </r>
  <r>
    <x v="22"/>
    <x v="3"/>
    <n v="1"/>
  </r>
  <r>
    <x v="22"/>
    <x v="3"/>
    <n v="1"/>
  </r>
  <r>
    <x v="22"/>
    <x v="3"/>
    <n v="1"/>
  </r>
  <r>
    <x v="22"/>
    <x v="3"/>
    <n v="1"/>
  </r>
  <r>
    <x v="22"/>
    <x v="3"/>
    <n v="1"/>
  </r>
  <r>
    <x v="23"/>
    <x v="3"/>
    <n v="1"/>
  </r>
  <r>
    <x v="24"/>
    <x v="3"/>
    <n v="1"/>
  </r>
  <r>
    <x v="24"/>
    <x v="3"/>
    <n v="1"/>
  </r>
  <r>
    <x v="24"/>
    <x v="3"/>
    <n v="1"/>
  </r>
  <r>
    <x v="24"/>
    <x v="3"/>
    <n v="1"/>
  </r>
  <r>
    <x v="24"/>
    <x v="3"/>
    <n v="1"/>
  </r>
  <r>
    <x v="24"/>
    <x v="3"/>
    <n v="1"/>
  </r>
  <r>
    <x v="24"/>
    <x v="3"/>
    <n v="1"/>
  </r>
  <r>
    <x v="24"/>
    <x v="3"/>
    <n v="1"/>
  </r>
  <r>
    <x v="24"/>
    <x v="3"/>
    <n v="1"/>
  </r>
  <r>
    <x v="24"/>
    <x v="3"/>
    <n v="1"/>
  </r>
  <r>
    <x v="24"/>
    <x v="3"/>
    <n v="1"/>
  </r>
  <r>
    <x v="24"/>
    <x v="3"/>
    <n v="1"/>
  </r>
  <r>
    <x v="24"/>
    <x v="3"/>
    <n v="1"/>
  </r>
  <r>
    <x v="24"/>
    <x v="3"/>
    <n v="1"/>
  </r>
  <r>
    <x v="24"/>
    <x v="3"/>
    <n v="1"/>
  </r>
  <r>
    <x v="24"/>
    <x v="3"/>
    <n v="1"/>
  </r>
  <r>
    <x v="24"/>
    <x v="3"/>
    <n v="1"/>
  </r>
  <r>
    <x v="25"/>
    <x v="3"/>
    <n v="1"/>
  </r>
  <r>
    <x v="25"/>
    <x v="3"/>
    <n v="1"/>
  </r>
  <r>
    <x v="25"/>
    <x v="3"/>
    <n v="1"/>
  </r>
  <r>
    <x v="25"/>
    <x v="3"/>
    <n v="1"/>
  </r>
  <r>
    <x v="25"/>
    <x v="3"/>
    <n v="1"/>
  </r>
  <r>
    <x v="26"/>
    <x v="3"/>
    <n v="1"/>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6"/>
    <x v="3"/>
    <n v="0"/>
  </r>
  <r>
    <x v="27"/>
    <x v="3"/>
    <n v="0"/>
  </r>
  <r>
    <x v="27"/>
    <x v="3"/>
    <n v="0"/>
  </r>
  <r>
    <x v="27"/>
    <x v="3"/>
    <n v="0"/>
  </r>
  <r>
    <x v="27"/>
    <x v="3"/>
    <n v="0"/>
  </r>
  <r>
    <x v="27"/>
    <x v="3"/>
    <n v="0"/>
  </r>
  <r>
    <x v="27"/>
    <x v="3"/>
    <n v="0"/>
  </r>
  <r>
    <x v="28"/>
    <x v="3"/>
    <n v="0"/>
  </r>
  <r>
    <x v="28"/>
    <x v="3"/>
    <n v="0"/>
  </r>
  <r>
    <x v="28"/>
    <x v="3"/>
    <n v="0"/>
  </r>
  <r>
    <x v="28"/>
    <x v="3"/>
    <n v="0"/>
  </r>
  <r>
    <x v="28"/>
    <x v="3"/>
    <n v="0"/>
  </r>
  <r>
    <x v="28"/>
    <x v="3"/>
    <n v="0"/>
  </r>
  <r>
    <x v="28"/>
    <x v="3"/>
    <n v="0"/>
  </r>
  <r>
    <x v="28"/>
    <x v="3"/>
    <n v="0"/>
  </r>
  <r>
    <x v="28"/>
    <x v="3"/>
    <n v="0"/>
  </r>
  <r>
    <x v="28"/>
    <x v="3"/>
    <n v="0"/>
  </r>
  <r>
    <x v="28"/>
    <x v="3"/>
    <n v="0"/>
  </r>
  <r>
    <x v="28"/>
    <x v="3"/>
    <n v="0"/>
  </r>
  <r>
    <x v="29"/>
    <x v="3"/>
    <n v="0"/>
  </r>
  <r>
    <x v="29"/>
    <x v="3"/>
    <n v="0"/>
  </r>
  <r>
    <x v="29"/>
    <x v="3"/>
    <n v="0"/>
  </r>
  <r>
    <x v="30"/>
    <x v="3"/>
    <n v="0"/>
  </r>
  <r>
    <x v="30"/>
    <x v="3"/>
    <n v="0"/>
  </r>
  <r>
    <x v="31"/>
    <x v="3"/>
    <n v="0"/>
  </r>
  <r>
    <x v="31"/>
    <x v="3"/>
    <n v="0"/>
  </r>
  <r>
    <x v="31"/>
    <x v="3"/>
    <n v="0"/>
  </r>
  <r>
    <x v="32"/>
    <x v="3"/>
    <n v="0"/>
  </r>
  <r>
    <x v="32"/>
    <x v="3"/>
    <n v="0"/>
  </r>
  <r>
    <x v="33"/>
    <x v="3"/>
    <n v="0"/>
  </r>
  <r>
    <x v="34"/>
    <x v="3"/>
    <n v="0"/>
  </r>
  <r>
    <x v="34"/>
    <x v="3"/>
    <n v="2"/>
  </r>
  <r>
    <x v="34"/>
    <x v="3"/>
    <n v="2"/>
  </r>
  <r>
    <x v="35"/>
    <x v="3"/>
    <n v="2"/>
  </r>
  <r>
    <x v="35"/>
    <x v="3"/>
    <n v="0"/>
  </r>
  <r>
    <x v="35"/>
    <x v="3"/>
    <n v="0"/>
  </r>
  <r>
    <x v="35"/>
    <x v="3"/>
    <n v="0"/>
  </r>
  <r>
    <x v="35"/>
    <x v="3"/>
    <n v="0"/>
  </r>
  <r>
    <x v="35"/>
    <x v="3"/>
    <n v="0"/>
  </r>
  <r>
    <x v="36"/>
    <x v="4"/>
    <n v="0"/>
  </r>
  <r>
    <x v="36"/>
    <x v="4"/>
    <n v="0"/>
  </r>
  <r>
    <x v="36"/>
    <x v="4"/>
    <n v="0"/>
  </r>
  <r>
    <x v="36"/>
    <x v="4"/>
    <n v="0"/>
  </r>
  <r>
    <x v="36"/>
    <x v="4"/>
    <n v="0"/>
  </r>
  <r>
    <x v="36"/>
    <x v="4"/>
    <n v="0"/>
  </r>
  <r>
    <x v="36"/>
    <x v="4"/>
    <n v="0"/>
  </r>
  <r>
    <x v="36"/>
    <x v="4"/>
    <n v="0"/>
  </r>
  <r>
    <x v="36"/>
    <x v="4"/>
    <n v="0"/>
  </r>
  <r>
    <x v="36"/>
    <x v="4"/>
    <n v="0"/>
  </r>
  <r>
    <x v="36"/>
    <x v="4"/>
    <n v="0"/>
  </r>
  <r>
    <x v="36"/>
    <x v="4"/>
    <n v="0"/>
  </r>
  <r>
    <x v="36"/>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7"/>
    <x v="4"/>
    <n v="0"/>
  </r>
  <r>
    <x v="38"/>
    <x v="4"/>
    <n v="0"/>
  </r>
  <r>
    <x v="38"/>
    <x v="4"/>
    <n v="0"/>
  </r>
  <r>
    <x v="38"/>
    <x v="4"/>
    <n v="0"/>
  </r>
  <r>
    <x v="39"/>
    <x v="4"/>
    <n v="0"/>
  </r>
  <r>
    <x v="39"/>
    <x v="4"/>
    <n v="0"/>
  </r>
  <r>
    <x v="39"/>
    <x v="4"/>
    <n v="0"/>
  </r>
  <r>
    <x v="39"/>
    <x v="4"/>
    <n v="0"/>
  </r>
  <r>
    <x v="39"/>
    <x v="4"/>
    <n v="0"/>
  </r>
  <r>
    <x v="39"/>
    <x v="4"/>
    <n v="0"/>
  </r>
  <r>
    <x v="39"/>
    <x v="4"/>
    <n v="0"/>
  </r>
  <r>
    <x v="39"/>
    <x v="4"/>
    <n v="0"/>
  </r>
  <r>
    <x v="39"/>
    <x v="4"/>
    <n v="0"/>
  </r>
  <r>
    <x v="39"/>
    <x v="4"/>
    <n v="0"/>
  </r>
  <r>
    <x v="39"/>
    <x v="4"/>
    <n v="0"/>
  </r>
  <r>
    <x v="39"/>
    <x v="4"/>
    <n v="0"/>
  </r>
  <r>
    <x v="39"/>
    <x v="4"/>
    <n v="0"/>
  </r>
  <r>
    <x v="39"/>
    <x v="4"/>
    <n v="0"/>
  </r>
  <r>
    <x v="39"/>
    <x v="4"/>
    <n v="0"/>
  </r>
  <r>
    <x v="39"/>
    <x v="4"/>
    <n v="0"/>
  </r>
  <r>
    <x v="40"/>
    <x v="4"/>
    <n v="0"/>
  </r>
  <r>
    <x v="40"/>
    <x v="4"/>
    <n v="0"/>
  </r>
  <r>
    <x v="40"/>
    <x v="4"/>
    <n v="0"/>
  </r>
  <r>
    <x v="40"/>
    <x v="4"/>
    <n v="0"/>
  </r>
  <r>
    <x v="41"/>
    <x v="4"/>
    <n v="0"/>
  </r>
  <r>
    <x v="41"/>
    <x v="4"/>
    <n v="0"/>
  </r>
  <r>
    <x v="41"/>
    <x v="4"/>
    <n v="0"/>
  </r>
  <r>
    <x v="41"/>
    <x v="4"/>
    <n v="0"/>
  </r>
  <r>
    <x v="41"/>
    <x v="4"/>
    <n v="0"/>
  </r>
  <r>
    <x v="41"/>
    <x v="4"/>
    <n v="0"/>
  </r>
  <r>
    <x v="41"/>
    <x v="4"/>
    <n v="0"/>
  </r>
  <r>
    <x v="41"/>
    <x v="4"/>
    <n v="0"/>
  </r>
  <r>
    <x v="41"/>
    <x v="4"/>
    <n v="0"/>
  </r>
  <r>
    <x v="41"/>
    <x v="4"/>
    <n v="0"/>
  </r>
  <r>
    <x v="41"/>
    <x v="4"/>
    <n v="0"/>
  </r>
  <r>
    <x v="42"/>
    <x v="4"/>
    <n v="0"/>
  </r>
  <r>
    <x v="42"/>
    <x v="4"/>
    <n v="0"/>
  </r>
  <r>
    <x v="43"/>
    <x v="4"/>
    <n v="0"/>
  </r>
  <r>
    <x v="43"/>
    <x v="4"/>
    <n v="0"/>
  </r>
  <r>
    <x v="43"/>
    <x v="4"/>
    <n v="0"/>
  </r>
  <r>
    <x v="44"/>
    <x v="5"/>
    <n v="0"/>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4"/>
    <x v="5"/>
    <n v="1"/>
  </r>
  <r>
    <x v="45"/>
    <x v="5"/>
    <n v="1"/>
  </r>
  <r>
    <x v="45"/>
    <x v="5"/>
    <n v="3"/>
  </r>
  <r>
    <x v="45"/>
    <x v="5"/>
    <n v="3"/>
  </r>
  <r>
    <x v="45"/>
    <x v="5"/>
    <n v="3"/>
  </r>
  <r>
    <x v="45"/>
    <x v="5"/>
    <n v="3"/>
  </r>
  <r>
    <x v="45"/>
    <x v="5"/>
    <n v="3"/>
  </r>
  <r>
    <x v="46"/>
    <x v="5"/>
    <n v="3"/>
  </r>
  <r>
    <x v="46"/>
    <x v="5"/>
    <n v="3"/>
  </r>
  <r>
    <x v="47"/>
    <x v="5"/>
    <n v="3"/>
  </r>
  <r>
    <x v="47"/>
    <x v="5"/>
    <n v="3"/>
  </r>
  <r>
    <x v="47"/>
    <x v="5"/>
    <n v="3"/>
  </r>
  <r>
    <x v="47"/>
    <x v="5"/>
    <n v="3"/>
  </r>
  <r>
    <x v="47"/>
    <x v="5"/>
    <n v="3"/>
  </r>
  <r>
    <x v="47"/>
    <x v="5"/>
    <n v="3"/>
  </r>
  <r>
    <x v="47"/>
    <x v="5"/>
    <n v="3"/>
  </r>
  <r>
    <x v="48"/>
    <x v="5"/>
    <n v="3"/>
  </r>
  <r>
    <x v="48"/>
    <x v="5"/>
    <n v="3"/>
  </r>
  <r>
    <x v="49"/>
    <x v="5"/>
    <n v="3"/>
  </r>
  <r>
    <x v="50"/>
    <x v="5"/>
    <n v="3"/>
  </r>
  <r>
    <x v="50"/>
    <x v="5"/>
    <n v="3"/>
  </r>
  <r>
    <x v="50"/>
    <x v="5"/>
    <n v="3"/>
  </r>
  <r>
    <x v="50"/>
    <x v="5"/>
    <n v="3"/>
  </r>
  <r>
    <x v="50"/>
    <x v="5"/>
    <n v="3"/>
  </r>
  <r>
    <x v="51"/>
    <x v="6"/>
    <n v="3"/>
  </r>
  <r>
    <x v="51"/>
    <x v="6"/>
    <n v="0"/>
  </r>
  <r>
    <x v="51"/>
    <x v="6"/>
    <n v="0"/>
  </r>
  <r>
    <x v="51"/>
    <x v="6"/>
    <n v="0"/>
  </r>
  <r>
    <x v="51"/>
    <x v="6"/>
    <n v="0"/>
  </r>
  <r>
    <x v="51"/>
    <x v="6"/>
    <n v="0"/>
  </r>
  <r>
    <x v="51"/>
    <x v="6"/>
    <n v="0"/>
  </r>
  <r>
    <x v="52"/>
    <x v="6"/>
    <n v="0"/>
  </r>
  <r>
    <x v="52"/>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3"/>
    <x v="6"/>
    <n v="0"/>
  </r>
  <r>
    <x v="54"/>
    <x v="6"/>
    <n v="0"/>
  </r>
  <r>
    <x v="54"/>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5"/>
    <x v="6"/>
    <n v="0"/>
  </r>
  <r>
    <x v="56"/>
    <x v="6"/>
    <n v="0"/>
  </r>
  <r>
    <x v="57"/>
    <x v="6"/>
    <n v="1"/>
  </r>
  <r>
    <x v="57"/>
    <x v="6"/>
    <n v="0"/>
  </r>
  <r>
    <x v="57"/>
    <x v="6"/>
    <n v="0"/>
  </r>
  <r>
    <x v="57"/>
    <x v="6"/>
    <n v="0"/>
  </r>
  <r>
    <x v="57"/>
    <x v="6"/>
    <n v="0"/>
  </r>
  <r>
    <x v="57"/>
    <x v="6"/>
    <n v="0"/>
  </r>
  <r>
    <x v="57"/>
    <x v="6"/>
    <n v="0"/>
  </r>
  <r>
    <x v="57"/>
    <x v="6"/>
    <n v="0"/>
  </r>
  <r>
    <x v="57"/>
    <x v="6"/>
    <n v="0"/>
  </r>
  <r>
    <x v="57"/>
    <x v="6"/>
    <n v="0"/>
  </r>
  <r>
    <x v="58"/>
    <x v="6"/>
    <n v="0"/>
  </r>
  <r>
    <x v="59"/>
    <x v="6"/>
    <n v="0"/>
  </r>
  <r>
    <x v="59"/>
    <x v="6"/>
    <n v="0"/>
  </r>
  <r>
    <x v="59"/>
    <x v="6"/>
    <n v="0"/>
  </r>
  <r>
    <x v="59"/>
    <x v="6"/>
    <n v="0"/>
  </r>
  <r>
    <x v="59"/>
    <x v="6"/>
    <n v="0"/>
  </r>
  <r>
    <x v="59"/>
    <x v="6"/>
    <n v="0"/>
  </r>
  <r>
    <x v="59"/>
    <x v="6"/>
    <n v="0"/>
  </r>
  <r>
    <x v="59"/>
    <x v="6"/>
    <n v="0"/>
  </r>
  <r>
    <x v="59"/>
    <x v="6"/>
    <n v="0"/>
  </r>
  <r>
    <x v="59"/>
    <x v="6"/>
    <n v="0"/>
  </r>
  <r>
    <x v="59"/>
    <x v="6"/>
    <n v="0"/>
  </r>
  <r>
    <x v="60"/>
    <x v="6"/>
    <n v="0"/>
  </r>
  <r>
    <x v="60"/>
    <x v="6"/>
    <n v="0"/>
  </r>
  <r>
    <x v="60"/>
    <x v="6"/>
    <n v="0"/>
  </r>
  <r>
    <x v="60"/>
    <x v="6"/>
    <n v="0"/>
  </r>
  <r>
    <x v="60"/>
    <x v="6"/>
    <n v="0"/>
  </r>
  <r>
    <x v="60"/>
    <x v="6"/>
    <n v="0"/>
  </r>
  <r>
    <x v="60"/>
    <x v="6"/>
    <n v="0"/>
  </r>
  <r>
    <x v="61"/>
    <x v="6"/>
    <n v="0"/>
  </r>
  <r>
    <x v="61"/>
    <x v="6"/>
    <n v="0"/>
  </r>
  <r>
    <x v="61"/>
    <x v="6"/>
    <n v="0"/>
  </r>
  <r>
    <x v="61"/>
    <x v="6"/>
    <n v="0"/>
  </r>
  <r>
    <x v="61"/>
    <x v="6"/>
    <n v="0"/>
  </r>
  <r>
    <x v="61"/>
    <x v="6"/>
    <n v="0"/>
  </r>
  <r>
    <x v="61"/>
    <x v="6"/>
    <n v="0"/>
  </r>
  <r>
    <x v="61"/>
    <x v="6"/>
    <n v="0"/>
  </r>
  <r>
    <x v="61"/>
    <x v="6"/>
    <n v="0"/>
  </r>
  <r>
    <x v="62"/>
    <x v="6"/>
    <n v="0"/>
  </r>
  <r>
    <x v="62"/>
    <x v="6"/>
    <n v="0"/>
  </r>
  <r>
    <x v="63"/>
    <x v="6"/>
    <n v="0"/>
  </r>
  <r>
    <x v="63"/>
    <x v="6"/>
    <n v="0"/>
  </r>
  <r>
    <x v="63"/>
    <x v="6"/>
    <n v="0"/>
  </r>
  <r>
    <x v="63"/>
    <x v="6"/>
    <n v="0"/>
  </r>
  <r>
    <x v="63"/>
    <x v="6"/>
    <n v="0"/>
  </r>
  <r>
    <x v="63"/>
    <x v="6"/>
    <n v="0"/>
  </r>
  <r>
    <x v="64"/>
    <x v="6"/>
    <n v="0"/>
  </r>
  <r>
    <x v="64"/>
    <x v="6"/>
    <n v="0"/>
  </r>
  <r>
    <x v="64"/>
    <x v="6"/>
    <n v="0"/>
  </r>
  <r>
    <x v="64"/>
    <x v="6"/>
    <n v="0"/>
  </r>
  <r>
    <x v="65"/>
    <x v="6"/>
    <n v="0"/>
  </r>
  <r>
    <x v="65"/>
    <x v="6"/>
    <n v="0"/>
  </r>
  <r>
    <x v="65"/>
    <x v="6"/>
    <n v="0"/>
  </r>
  <r>
    <x v="65"/>
    <x v="6"/>
    <n v="0"/>
  </r>
  <r>
    <x v="65"/>
    <x v="6"/>
    <n v="0"/>
  </r>
  <r>
    <x v="65"/>
    <x v="6"/>
    <n v="0"/>
  </r>
  <r>
    <x v="66"/>
    <x v="7"/>
    <n v="0"/>
  </r>
  <r>
    <x v="66"/>
    <x v="7"/>
    <n v="3"/>
  </r>
  <r>
    <x v="66"/>
    <x v="7"/>
    <n v="3"/>
  </r>
  <r>
    <x v="67"/>
    <x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71E53-6FCE-4665-991C-CB377E38DF68}" name="PivotTable4" cacheId="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0:C76" firstHeaderRow="0" firstDataRow="1" firstDataCol="1"/>
  <pivotFields count="1">
    <pivotField axis="axisRow" dataField="1" compact="0" outline="0" multipleItemSelectionAllowed="1" showAll="0">
      <items count="57">
        <item h="1" x="8"/>
        <item h="1" x="21"/>
        <item x="32"/>
        <item h="1" x="24"/>
        <item x="26"/>
        <item h="1" x="0"/>
        <item h="1" x="39"/>
        <item h="1" x="3"/>
        <item h="1" x="33"/>
        <item h="1" x="48"/>
        <item h="1" x="13"/>
        <item h="1" x="54"/>
        <item h="1" x="10"/>
        <item h="1" x="47"/>
        <item h="1" x="25"/>
        <item x="1"/>
        <item h="1" x="11"/>
        <item h="1" x="4"/>
        <item x="40"/>
        <item h="1" x="19"/>
        <item h="1" x="17"/>
        <item h="1" x="2"/>
        <item h="1" x="6"/>
        <item h="1" x="7"/>
        <item h="1" x="14"/>
        <item h="1" x="9"/>
        <item h="1" x="20"/>
        <item x="23"/>
        <item x="29"/>
        <item h="1" x="43"/>
        <item h="1" x="44"/>
        <item h="1" x="53"/>
        <item x="31"/>
        <item h="1" x="49"/>
        <item h="1" x="18"/>
        <item h="1" x="52"/>
        <item h="1" x="30"/>
        <item h="1" x="45"/>
        <item x="22"/>
        <item h="1" x="12"/>
        <item x="34"/>
        <item h="1" x="41"/>
        <item x="38"/>
        <item x="37"/>
        <item h="1" x="16"/>
        <item x="46"/>
        <item h="1" x="50"/>
        <item x="51"/>
        <item h="1" x="28"/>
        <item x="35"/>
        <item h="1" x="15"/>
        <item h="1" x="36"/>
        <item x="27"/>
        <item h="1" x="42"/>
        <item h="1" x="5"/>
        <item h="1" x="55"/>
        <item t="default"/>
      </items>
    </pivotField>
  </pivotFields>
  <rowFields count="1">
    <field x="0"/>
  </rowFields>
  <rowItems count="16">
    <i>
      <x v="2"/>
    </i>
    <i>
      <x v="4"/>
    </i>
    <i>
      <x v="15"/>
    </i>
    <i>
      <x v="18"/>
    </i>
    <i>
      <x v="27"/>
    </i>
    <i>
      <x v="28"/>
    </i>
    <i>
      <x v="32"/>
    </i>
    <i>
      <x v="38"/>
    </i>
    <i>
      <x v="40"/>
    </i>
    <i>
      <x v="42"/>
    </i>
    <i>
      <x v="43"/>
    </i>
    <i>
      <x v="45"/>
    </i>
    <i>
      <x v="47"/>
    </i>
    <i>
      <x v="49"/>
    </i>
    <i>
      <x v="52"/>
    </i>
    <i t="grand">
      <x/>
    </i>
  </rowItems>
  <colFields count="1">
    <field x="-2"/>
  </colFields>
  <colItems count="2">
    <i>
      <x/>
    </i>
    <i i="1">
      <x v="1"/>
    </i>
  </colItems>
  <dataFields count="2">
    <dataField name="Count of categories" fld="0" subtotal="count" baseField="0" baseItem="0"/>
    <dataField name="Count of categories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D268B6-5FA5-4DDF-AD2D-EBEAE96A63B0}" name="PivotTable6"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8:C165" firstHeaderRow="1" firstDataRow="1" firstDataCol="2"/>
  <pivotFields count="3">
    <pivotField axis="axisRow" dataField="1" compact="0" outline="0" showAll="0">
      <items count="69">
        <item x="44"/>
        <item x="0"/>
        <item x="51"/>
        <item x="2"/>
        <item x="3"/>
        <item x="11"/>
        <item x="12"/>
        <item x="4"/>
        <item x="19"/>
        <item x="20"/>
        <item x="36"/>
        <item x="5"/>
        <item x="52"/>
        <item x="53"/>
        <item x="21"/>
        <item x="6"/>
        <item x="37"/>
        <item x="1"/>
        <item x="22"/>
        <item x="13"/>
        <item x="66"/>
        <item x="23"/>
        <item x="24"/>
        <item x="25"/>
        <item x="26"/>
        <item x="45"/>
        <item x="54"/>
        <item x="38"/>
        <item x="14"/>
        <item x="46"/>
        <item x="55"/>
        <item x="56"/>
        <item x="47"/>
        <item x="48"/>
        <item x="57"/>
        <item x="7"/>
        <item x="58"/>
        <item x="59"/>
        <item x="27"/>
        <item x="60"/>
        <item x="28"/>
        <item x="8"/>
        <item x="39"/>
        <item x="40"/>
        <item x="49"/>
        <item x="29"/>
        <item x="61"/>
        <item x="30"/>
        <item x="31"/>
        <item x="62"/>
        <item x="15"/>
        <item x="32"/>
        <item x="9"/>
        <item x="63"/>
        <item x="64"/>
        <item x="65"/>
        <item x="33"/>
        <item x="41"/>
        <item x="42"/>
        <item x="10"/>
        <item x="50"/>
        <item x="67"/>
        <item x="34"/>
        <item x="16"/>
        <item x="17"/>
        <item x="35"/>
        <item x="18"/>
        <item x="43"/>
        <item t="default"/>
      </items>
    </pivotField>
    <pivotField axis="axisRow" compact="0" outline="0" showAll="0">
      <items count="9">
        <item x="0"/>
        <item x="1"/>
        <item x="2"/>
        <item x="3"/>
        <item x="4"/>
        <item x="5"/>
        <item x="6"/>
        <item x="7"/>
        <item t="default"/>
      </items>
    </pivotField>
    <pivotField compact="0" outline="0" showAll="0"/>
  </pivotFields>
  <rowFields count="2">
    <field x="1"/>
    <field x="0"/>
  </rowFields>
  <rowItems count="77">
    <i>
      <x/>
      <x v="1"/>
    </i>
    <i r="1">
      <x v="17"/>
    </i>
    <i t="default">
      <x/>
    </i>
    <i>
      <x v="1"/>
      <x v="3"/>
    </i>
    <i r="1">
      <x v="4"/>
    </i>
    <i r="1">
      <x v="7"/>
    </i>
    <i r="1">
      <x v="11"/>
    </i>
    <i r="1">
      <x v="15"/>
    </i>
    <i r="1">
      <x v="35"/>
    </i>
    <i r="1">
      <x v="41"/>
    </i>
    <i r="1">
      <x v="52"/>
    </i>
    <i r="1">
      <x v="59"/>
    </i>
    <i t="default">
      <x v="1"/>
    </i>
    <i>
      <x v="2"/>
      <x v="5"/>
    </i>
    <i r="1">
      <x v="6"/>
    </i>
    <i r="1">
      <x v="19"/>
    </i>
    <i r="1">
      <x v="28"/>
    </i>
    <i r="1">
      <x v="50"/>
    </i>
    <i r="1">
      <x v="63"/>
    </i>
    <i r="1">
      <x v="64"/>
    </i>
    <i r="1">
      <x v="66"/>
    </i>
    <i t="default">
      <x v="2"/>
    </i>
    <i>
      <x v="3"/>
      <x v="8"/>
    </i>
    <i r="1">
      <x v="9"/>
    </i>
    <i r="1">
      <x v="14"/>
    </i>
    <i r="1">
      <x v="18"/>
    </i>
    <i r="1">
      <x v="21"/>
    </i>
    <i r="1">
      <x v="22"/>
    </i>
    <i r="1">
      <x v="23"/>
    </i>
    <i r="1">
      <x v="24"/>
    </i>
    <i r="1">
      <x v="38"/>
    </i>
    <i r="1">
      <x v="40"/>
    </i>
    <i r="1">
      <x v="45"/>
    </i>
    <i r="1">
      <x v="47"/>
    </i>
    <i r="1">
      <x v="48"/>
    </i>
    <i r="1">
      <x v="51"/>
    </i>
    <i r="1">
      <x v="56"/>
    </i>
    <i r="1">
      <x v="62"/>
    </i>
    <i r="1">
      <x v="65"/>
    </i>
    <i t="default">
      <x v="3"/>
    </i>
    <i>
      <x v="4"/>
      <x v="10"/>
    </i>
    <i r="1">
      <x v="16"/>
    </i>
    <i r="1">
      <x v="27"/>
    </i>
    <i r="1">
      <x v="42"/>
    </i>
    <i r="1">
      <x v="43"/>
    </i>
    <i r="1">
      <x v="57"/>
    </i>
    <i r="1">
      <x v="58"/>
    </i>
    <i r="1">
      <x v="67"/>
    </i>
    <i t="default">
      <x v="4"/>
    </i>
    <i>
      <x v="5"/>
      <x/>
    </i>
    <i r="1">
      <x v="25"/>
    </i>
    <i r="1">
      <x v="29"/>
    </i>
    <i r="1">
      <x v="32"/>
    </i>
    <i r="1">
      <x v="33"/>
    </i>
    <i r="1">
      <x v="44"/>
    </i>
    <i r="1">
      <x v="60"/>
    </i>
    <i t="default">
      <x v="5"/>
    </i>
    <i>
      <x v="6"/>
      <x v="2"/>
    </i>
    <i r="1">
      <x v="12"/>
    </i>
    <i r="1">
      <x v="13"/>
    </i>
    <i r="1">
      <x v="26"/>
    </i>
    <i r="1">
      <x v="30"/>
    </i>
    <i r="1">
      <x v="31"/>
    </i>
    <i r="1">
      <x v="34"/>
    </i>
    <i r="1">
      <x v="36"/>
    </i>
    <i r="1">
      <x v="37"/>
    </i>
    <i r="1">
      <x v="39"/>
    </i>
    <i r="1">
      <x v="46"/>
    </i>
    <i r="1">
      <x v="49"/>
    </i>
    <i r="1">
      <x v="53"/>
    </i>
    <i r="1">
      <x v="54"/>
    </i>
    <i r="1">
      <x v="55"/>
    </i>
    <i t="default">
      <x v="6"/>
    </i>
    <i>
      <x v="7"/>
      <x v="20"/>
    </i>
    <i r="1">
      <x v="61"/>
    </i>
    <i t="default">
      <x v="7"/>
    </i>
    <i t="grand">
      <x/>
    </i>
  </rowItems>
  <colItems count="1">
    <i/>
  </colItems>
  <dataFields count="1">
    <dataField name="Count of term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E812B-5D79-40F3-AE51-0ADF9FC2E462}" name="PivotTable2"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B37" firstHeaderRow="1" firstDataRow="1" firstDataCol="1"/>
  <pivotFields count="4">
    <pivotField compact="0" outline="0" showAll="0">
      <items count="70">
        <item x="45"/>
        <item x="0"/>
        <item x="59"/>
        <item x="4"/>
        <item x="3"/>
        <item x="13"/>
        <item x="12"/>
        <item x="7"/>
        <item x="36"/>
        <item x="22"/>
        <item x="40"/>
        <item x="9"/>
        <item x="63"/>
        <item x="52"/>
        <item x="21"/>
        <item x="6"/>
        <item x="37"/>
        <item x="1"/>
        <item x="26"/>
        <item x="14"/>
        <item x="67"/>
        <item x="31"/>
        <item x="20"/>
        <item x="24"/>
        <item x="23"/>
        <item x="46"/>
        <item x="62"/>
        <item x="43"/>
        <item x="16"/>
        <item x="51"/>
        <item x="58"/>
        <item x="61"/>
        <item x="48"/>
        <item x="50"/>
        <item x="53"/>
        <item x="10"/>
        <item x="64"/>
        <item x="54"/>
        <item x="25"/>
        <item x="66"/>
        <item x="35"/>
        <item x="8"/>
        <item x="41"/>
        <item x="42"/>
        <item x="49"/>
        <item x="27"/>
        <item x="56"/>
        <item x="29"/>
        <item x="33"/>
        <item x="55"/>
        <item x="17"/>
        <item x="34"/>
        <item x="2"/>
        <item x="65"/>
        <item x="57"/>
        <item x="60"/>
        <item x="32"/>
        <item x="38"/>
        <item x="39"/>
        <item x="5"/>
        <item x="47"/>
        <item x="68"/>
        <item x="11"/>
        <item x="30"/>
        <item x="19"/>
        <item x="15"/>
        <item x="28"/>
        <item x="18"/>
        <item x="44"/>
        <item t="default"/>
      </items>
    </pivotField>
    <pivotField axis="axisRow" compact="0" outline="0" showAll="0">
      <items count="10">
        <item x="0"/>
        <item x="1"/>
        <item h="1" x="2"/>
        <item x="3"/>
        <item x="4"/>
        <item x="5"/>
        <item x="6"/>
        <item x="7"/>
        <item x="8"/>
        <item t="default"/>
      </items>
    </pivotField>
    <pivotField compact="0" outline="0" showAll="0">
      <items count="2">
        <item x="0"/>
        <item t="default"/>
      </items>
    </pivotField>
    <pivotField dataField="1" compact="0" outline="0" showAll="0"/>
  </pivotFields>
  <rowFields count="1">
    <field x="1"/>
  </rowFields>
  <rowItems count="9">
    <i>
      <x/>
    </i>
    <i>
      <x v="1"/>
    </i>
    <i>
      <x v="3"/>
    </i>
    <i>
      <x v="4"/>
    </i>
    <i>
      <x v="5"/>
    </i>
    <i>
      <x v="6"/>
    </i>
    <i>
      <x v="7"/>
    </i>
    <i>
      <x v="8"/>
    </i>
    <i t="grand">
      <x/>
    </i>
  </rowItems>
  <colItems count="1">
    <i/>
  </colItems>
  <dataFields count="1">
    <dataField name="Average of median term"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EFAAB-757B-4C25-A6C3-FDDBCBE0A487}" name="PivotTable1"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2" firstHeaderRow="0" firstDataRow="1" firstDataCol="1"/>
  <pivotFields count="2">
    <pivotField compact="0" outline="0" showAll="0"/>
    <pivotField axis="axisRow" dataField="1" compact="0" outline="0" showAll="0">
      <items count="10">
        <item x="0"/>
        <item x="1"/>
        <item h="1" x="2"/>
        <item x="3"/>
        <item x="4"/>
        <item x="5"/>
        <item x="6"/>
        <item x="7"/>
        <item x="8"/>
        <item t="default"/>
      </items>
    </pivotField>
  </pivotFields>
  <rowFields count="1">
    <field x="1"/>
  </rowFields>
  <rowItems count="9">
    <i>
      <x/>
    </i>
    <i>
      <x v="1"/>
    </i>
    <i>
      <x v="3"/>
    </i>
    <i>
      <x v="4"/>
    </i>
    <i>
      <x v="5"/>
    </i>
    <i>
      <x v="6"/>
    </i>
    <i>
      <x v="7"/>
    </i>
    <i>
      <x v="8"/>
    </i>
    <i t="grand">
      <x/>
    </i>
  </rowItems>
  <colFields count="1">
    <field x="-2"/>
  </colFields>
  <colItems count="2">
    <i>
      <x/>
    </i>
    <i i="1">
      <x v="1"/>
    </i>
  </colItems>
  <dataFields count="2">
    <dataField name="Count of categories" fld="1" subtotal="count" baseField="0" baseItem="0"/>
    <dataField name="Count of categories2"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515B2-B2AF-4B46-95B6-C0C0B48D9283}" name="PivotTable3" cacheId="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8:F37" firstHeaderRow="0" firstDataRow="1" firstDataCol="1"/>
  <pivotFields count="3">
    <pivotField compact="0" outline="0" showAll="0"/>
    <pivotField axis="axisRow" compact="0" outline="0" showAll="0">
      <items count="10">
        <item x="0"/>
        <item x="1"/>
        <item h="1" x="2"/>
        <item x="3"/>
        <item x="4"/>
        <item x="5"/>
        <item x="6"/>
        <item x="7"/>
        <item x="8"/>
        <item t="default"/>
      </items>
    </pivotField>
    <pivotField dataField="1" compact="0" outline="0" showAll="0"/>
  </pivotFields>
  <rowFields count="1">
    <field x="1"/>
  </rowFields>
  <rowItems count="9">
    <i>
      <x/>
    </i>
    <i>
      <x v="1"/>
    </i>
    <i>
      <x v="3"/>
    </i>
    <i>
      <x v="4"/>
    </i>
    <i>
      <x v="5"/>
    </i>
    <i>
      <x v="6"/>
    </i>
    <i>
      <x v="7"/>
    </i>
    <i>
      <x v="8"/>
    </i>
    <i t="grand">
      <x/>
    </i>
  </rowItems>
  <colFields count="1">
    <field x="-2"/>
  </colFields>
  <colItems count="2">
    <i>
      <x/>
    </i>
    <i i="1">
      <x v="1"/>
    </i>
  </colItems>
  <dataFields count="2">
    <dataField name="Count of median term" fld="2" subtotal="count" baseField="0" baseItem="0"/>
    <dataField name="Average of median term"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1DED46-A440-4CBB-AD11-09B1BF7F29D7}" name="PivotTable5" cacheId="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9:C86" firstHeaderRow="0" firstDataRow="1" firstDataCol="1"/>
  <pivotFields count="1">
    <pivotField axis="axisRow" dataField="1" compact="0" outline="0" multipleItemSelectionAllowed="1" showAll="0">
      <items count="57">
        <item h="1" x="8"/>
        <item x="21"/>
        <item h="1" x="32"/>
        <item h="1" x="24"/>
        <item h="1" x="26"/>
        <item h="1" x="0"/>
        <item h="1" x="39"/>
        <item h="1" x="3"/>
        <item h="1" x="33"/>
        <item h="1" x="48"/>
        <item h="1" x="13"/>
        <item h="1" x="54"/>
        <item h="1" x="10"/>
        <item h="1" x="47"/>
        <item h="1" x="25"/>
        <item h="1" x="1"/>
        <item h="1" x="11"/>
        <item h="1" x="4"/>
        <item h="1" x="40"/>
        <item h="1" x="19"/>
        <item h="1" x="17"/>
        <item h="1" x="2"/>
        <item h="1" x="6"/>
        <item h="1" x="7"/>
        <item h="1" x="14"/>
        <item x="9"/>
        <item x="20"/>
        <item h="1" x="23"/>
        <item h="1" x="29"/>
        <item h="1" x="43"/>
        <item h="1" x="44"/>
        <item h="1" x="53"/>
        <item h="1" x="31"/>
        <item h="1" x="49"/>
        <item h="1" x="18"/>
        <item h="1" x="52"/>
        <item h="1" x="30"/>
        <item h="1" x="45"/>
        <item h="1" x="22"/>
        <item x="12"/>
        <item h="1" x="34"/>
        <item h="1" x="41"/>
        <item h="1" x="38"/>
        <item h="1" x="37"/>
        <item x="16"/>
        <item h="1" x="46"/>
        <item h="1" x="50"/>
        <item h="1" x="51"/>
        <item h="1" x="28"/>
        <item h="1" x="35"/>
        <item h="1" x="15"/>
        <item h="1" x="36"/>
        <item h="1" x="27"/>
        <item h="1" x="42"/>
        <item x="5"/>
        <item h="1" x="55"/>
        <item t="default"/>
      </items>
    </pivotField>
  </pivotFields>
  <rowFields count="1">
    <field x="0"/>
  </rowFields>
  <rowItems count="7">
    <i>
      <x v="1"/>
    </i>
    <i>
      <x v="25"/>
    </i>
    <i>
      <x v="26"/>
    </i>
    <i>
      <x v="39"/>
    </i>
    <i>
      <x v="44"/>
    </i>
    <i>
      <x v="54"/>
    </i>
    <i t="grand">
      <x/>
    </i>
  </rowItems>
  <colFields count="1">
    <field x="-2"/>
  </colFields>
  <colItems count="2">
    <i>
      <x/>
    </i>
    <i i="1">
      <x v="1"/>
    </i>
  </colItems>
  <dataFields count="2">
    <dataField name="Count of categories" fld="0" subtotal="count" baseField="0" baseItem="0"/>
    <dataField name="Count of categories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E7DE-7BDE-42DE-A1E1-D811CC35A158}">
  <dimension ref="A1:N498"/>
  <sheetViews>
    <sheetView tabSelected="1" workbookViewId="0">
      <selection activeCell="G25" sqref="G25"/>
    </sheetView>
  </sheetViews>
  <sheetFormatPr defaultRowHeight="15"/>
  <cols>
    <col min="1" max="1" width="75.7109375" customWidth="1"/>
    <col min="5" max="5" width="19.7109375" customWidth="1"/>
    <col min="6" max="6" width="22.42578125" customWidth="1"/>
    <col min="7" max="7" width="19.140625" customWidth="1"/>
    <col min="8" max="8" width="15.140625" customWidth="1"/>
    <col min="9" max="9" width="12.28515625" customWidth="1"/>
    <col min="10" max="10" width="12.7109375" customWidth="1"/>
    <col min="11" max="11" width="19.42578125" customWidth="1"/>
    <col min="12" max="12" width="11.85546875" customWidth="1"/>
    <col min="13" max="13" width="15.140625" customWidth="1"/>
    <col min="14" max="14" width="2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t="s">
        <v>14</v>
      </c>
      <c r="B2" s="1">
        <v>3</v>
      </c>
      <c r="C2" s="1"/>
      <c r="D2" s="1"/>
      <c r="E2" s="1">
        <v>0.33333333300000001</v>
      </c>
      <c r="F2" s="1">
        <v>0</v>
      </c>
      <c r="G2" s="1">
        <v>0</v>
      </c>
      <c r="H2" s="1">
        <v>1</v>
      </c>
      <c r="I2" s="1">
        <v>0</v>
      </c>
      <c r="J2" s="1">
        <v>0</v>
      </c>
      <c r="K2" s="1">
        <v>0</v>
      </c>
      <c r="L2" s="1">
        <v>0</v>
      </c>
      <c r="M2" s="1">
        <v>0</v>
      </c>
      <c r="N2" s="1">
        <v>0</v>
      </c>
    </row>
    <row r="3" spans="1:14">
      <c r="A3" s="1" t="s">
        <v>15</v>
      </c>
      <c r="B3" s="1">
        <v>21</v>
      </c>
      <c r="C3" s="1"/>
      <c r="D3" s="1"/>
      <c r="E3" s="1">
        <v>0</v>
      </c>
      <c r="F3" s="1">
        <v>0</v>
      </c>
      <c r="G3" s="1">
        <v>0</v>
      </c>
      <c r="H3" s="1">
        <v>0</v>
      </c>
      <c r="I3" s="1">
        <v>0</v>
      </c>
      <c r="J3" s="1">
        <v>0</v>
      </c>
      <c r="K3" s="1">
        <v>0</v>
      </c>
      <c r="L3" s="1">
        <v>0</v>
      </c>
      <c r="M3" s="1">
        <v>0</v>
      </c>
      <c r="N3" s="1">
        <v>0</v>
      </c>
    </row>
    <row r="4" spans="1:14">
      <c r="A4" s="1" t="s">
        <v>16</v>
      </c>
      <c r="B4" s="1">
        <v>1</v>
      </c>
      <c r="C4" s="1"/>
      <c r="D4" s="1"/>
      <c r="E4" s="1">
        <v>0</v>
      </c>
      <c r="F4" s="1">
        <v>0</v>
      </c>
      <c r="G4" s="1">
        <v>0</v>
      </c>
      <c r="H4" s="1">
        <v>0</v>
      </c>
      <c r="I4" s="1">
        <v>0</v>
      </c>
      <c r="J4" s="1">
        <v>0</v>
      </c>
      <c r="K4" s="1">
        <v>0</v>
      </c>
      <c r="L4" s="1">
        <v>0</v>
      </c>
      <c r="M4" s="1">
        <v>0</v>
      </c>
      <c r="N4" s="1">
        <v>0</v>
      </c>
    </row>
    <row r="5" spans="1:14">
      <c r="A5" s="1" t="s">
        <v>17</v>
      </c>
      <c r="B5" s="1">
        <v>1</v>
      </c>
      <c r="C5" s="1"/>
      <c r="D5" s="1"/>
      <c r="E5" s="1">
        <v>0.33333333300000001</v>
      </c>
      <c r="F5" s="1">
        <v>1</v>
      </c>
      <c r="G5" s="1">
        <v>0</v>
      </c>
      <c r="H5" s="1">
        <v>0</v>
      </c>
      <c r="I5" s="1">
        <v>1</v>
      </c>
      <c r="J5" s="1">
        <v>0</v>
      </c>
      <c r="K5" s="1">
        <v>0</v>
      </c>
      <c r="L5" s="1">
        <v>0</v>
      </c>
      <c r="M5" s="1">
        <v>0</v>
      </c>
      <c r="N5" s="1">
        <v>0</v>
      </c>
    </row>
    <row r="6" spans="1:14">
      <c r="A6" s="1" t="s">
        <v>18</v>
      </c>
      <c r="B6" s="1">
        <v>70</v>
      </c>
      <c r="C6" s="1"/>
      <c r="D6" s="1"/>
      <c r="E6" s="1">
        <v>0.111111111</v>
      </c>
      <c r="F6" s="1">
        <v>0</v>
      </c>
      <c r="G6" s="1">
        <v>0</v>
      </c>
      <c r="H6" s="1">
        <v>0.5</v>
      </c>
      <c r="I6" s="1">
        <v>0</v>
      </c>
      <c r="J6" s="1">
        <v>0</v>
      </c>
      <c r="K6" s="1">
        <v>0</v>
      </c>
      <c r="L6" s="1">
        <v>0</v>
      </c>
      <c r="M6" s="1">
        <v>0</v>
      </c>
      <c r="N6" s="1">
        <v>0</v>
      </c>
    </row>
    <row r="7" spans="1:14">
      <c r="A7" s="1" t="s">
        <v>19</v>
      </c>
      <c r="B7" s="1">
        <v>1</v>
      </c>
      <c r="C7" s="1"/>
      <c r="D7" s="1"/>
      <c r="E7" s="1">
        <v>0</v>
      </c>
      <c r="F7" s="1">
        <v>0</v>
      </c>
      <c r="G7" s="1">
        <v>0</v>
      </c>
      <c r="H7" s="1">
        <v>0</v>
      </c>
      <c r="I7" s="1">
        <v>0</v>
      </c>
      <c r="J7" s="1">
        <v>0</v>
      </c>
      <c r="K7" s="1">
        <v>0</v>
      </c>
      <c r="L7" s="1">
        <v>0</v>
      </c>
      <c r="M7" s="1">
        <v>0</v>
      </c>
      <c r="N7" s="1">
        <v>0</v>
      </c>
    </row>
    <row r="8" spans="1:14">
      <c r="A8" s="1" t="s">
        <v>20</v>
      </c>
      <c r="B8" s="1">
        <v>196</v>
      </c>
      <c r="C8" s="1"/>
      <c r="D8" s="1"/>
      <c r="E8" s="1">
        <v>0</v>
      </c>
      <c r="F8" s="1">
        <v>0</v>
      </c>
      <c r="G8" s="1">
        <v>0</v>
      </c>
      <c r="H8" s="1">
        <v>0</v>
      </c>
      <c r="I8" s="1">
        <v>0</v>
      </c>
      <c r="J8" s="1">
        <v>0</v>
      </c>
      <c r="K8" s="1">
        <v>0</v>
      </c>
      <c r="L8" s="1">
        <v>0</v>
      </c>
      <c r="M8" s="1">
        <v>0</v>
      </c>
      <c r="N8" s="1">
        <v>0</v>
      </c>
    </row>
    <row r="9" spans="1:14">
      <c r="A9" s="1" t="s">
        <v>21</v>
      </c>
      <c r="B9" s="1">
        <v>13</v>
      </c>
      <c r="C9" s="1"/>
      <c r="D9" s="1"/>
      <c r="E9" s="1">
        <v>0</v>
      </c>
      <c r="F9" s="1">
        <v>0</v>
      </c>
      <c r="G9" s="1">
        <v>0</v>
      </c>
      <c r="H9" s="1">
        <v>0</v>
      </c>
      <c r="I9" s="1">
        <v>0</v>
      </c>
      <c r="J9" s="1">
        <v>0</v>
      </c>
      <c r="K9" s="1">
        <v>0</v>
      </c>
      <c r="L9" s="1">
        <v>0</v>
      </c>
      <c r="M9" s="1">
        <v>0</v>
      </c>
      <c r="N9" s="1">
        <v>0</v>
      </c>
    </row>
    <row r="10" spans="1:14">
      <c r="A10" s="1" t="s">
        <v>22</v>
      </c>
      <c r="B10" s="1">
        <v>4</v>
      </c>
      <c r="C10" s="1"/>
      <c r="D10" s="1"/>
      <c r="E10" s="1">
        <v>0</v>
      </c>
      <c r="F10" s="1">
        <v>0</v>
      </c>
      <c r="G10" s="1">
        <v>0</v>
      </c>
      <c r="H10" s="1">
        <v>0</v>
      </c>
      <c r="I10" s="1">
        <v>0</v>
      </c>
      <c r="J10" s="1">
        <v>0</v>
      </c>
      <c r="K10" s="1">
        <v>0</v>
      </c>
      <c r="L10" s="1">
        <v>0</v>
      </c>
      <c r="M10" s="1">
        <v>0</v>
      </c>
      <c r="N10" s="1">
        <v>0</v>
      </c>
    </row>
    <row r="11" spans="1:14">
      <c r="A11" s="1" t="s">
        <v>23</v>
      </c>
      <c r="B11" s="1">
        <v>2</v>
      </c>
      <c r="C11" s="1"/>
      <c r="D11" s="1"/>
      <c r="E11" s="1">
        <v>0</v>
      </c>
      <c r="F11" s="1">
        <v>0</v>
      </c>
      <c r="G11" s="1">
        <v>0</v>
      </c>
      <c r="H11" s="1">
        <v>0</v>
      </c>
      <c r="I11" s="1">
        <v>0</v>
      </c>
      <c r="J11" s="1">
        <v>0</v>
      </c>
      <c r="K11" s="1">
        <v>0</v>
      </c>
      <c r="L11" s="1">
        <v>0</v>
      </c>
      <c r="M11" s="1">
        <v>0</v>
      </c>
      <c r="N11" s="1">
        <v>0</v>
      </c>
    </row>
    <row r="12" spans="1:14">
      <c r="A12" s="1" t="s">
        <v>24</v>
      </c>
      <c r="B12" s="1">
        <v>3</v>
      </c>
      <c r="C12" s="1"/>
      <c r="D12" s="1"/>
      <c r="E12" s="1">
        <v>0</v>
      </c>
      <c r="F12" s="1">
        <v>0</v>
      </c>
      <c r="G12" s="1">
        <v>0</v>
      </c>
      <c r="H12" s="1">
        <v>0</v>
      </c>
      <c r="I12" s="1">
        <v>0</v>
      </c>
      <c r="J12" s="1">
        <v>0</v>
      </c>
      <c r="K12" s="1">
        <v>0</v>
      </c>
      <c r="L12" s="1">
        <v>0</v>
      </c>
      <c r="M12" s="1">
        <v>0</v>
      </c>
      <c r="N12" s="1">
        <v>0</v>
      </c>
    </row>
    <row r="13" spans="1:14">
      <c r="A13" s="1" t="s">
        <v>25</v>
      </c>
      <c r="B13" s="1">
        <v>1</v>
      </c>
      <c r="C13" s="1"/>
      <c r="D13" s="1"/>
      <c r="E13" s="1">
        <v>0</v>
      </c>
      <c r="F13" s="1">
        <v>0</v>
      </c>
      <c r="G13" s="1">
        <v>0</v>
      </c>
      <c r="H13" s="1">
        <v>0</v>
      </c>
      <c r="I13" s="1">
        <v>0</v>
      </c>
      <c r="J13" s="1">
        <v>0</v>
      </c>
      <c r="K13" s="1">
        <v>0</v>
      </c>
      <c r="L13" s="1">
        <v>0</v>
      </c>
      <c r="M13" s="1">
        <v>0</v>
      </c>
      <c r="N13" s="1">
        <v>0</v>
      </c>
    </row>
    <row r="14" spans="1:14">
      <c r="A14" s="1" t="s">
        <v>26</v>
      </c>
      <c r="B14" s="1">
        <v>15</v>
      </c>
      <c r="C14" s="1"/>
      <c r="D14" s="1"/>
      <c r="E14" s="1">
        <v>0</v>
      </c>
      <c r="F14" s="1">
        <v>0</v>
      </c>
      <c r="G14" s="1">
        <v>0</v>
      </c>
      <c r="H14" s="1">
        <v>0</v>
      </c>
      <c r="I14" s="1">
        <v>0</v>
      </c>
      <c r="J14" s="1">
        <v>0</v>
      </c>
      <c r="K14" s="1">
        <v>0</v>
      </c>
      <c r="L14" s="1">
        <v>0</v>
      </c>
      <c r="M14" s="1">
        <v>0</v>
      </c>
      <c r="N14" s="1">
        <v>0</v>
      </c>
    </row>
    <row r="15" spans="1:14">
      <c r="A15" s="1" t="s">
        <v>27</v>
      </c>
      <c r="B15" s="1">
        <v>5</v>
      </c>
      <c r="C15" s="1"/>
      <c r="D15" s="1"/>
      <c r="E15" s="1">
        <v>0</v>
      </c>
      <c r="F15" s="1">
        <v>0</v>
      </c>
      <c r="G15" s="1">
        <v>0</v>
      </c>
      <c r="H15" s="1">
        <v>0</v>
      </c>
      <c r="I15" s="1">
        <v>0</v>
      </c>
      <c r="J15" s="1">
        <v>0</v>
      </c>
      <c r="K15" s="1">
        <v>0</v>
      </c>
      <c r="L15" s="1">
        <v>0</v>
      </c>
      <c r="M15" s="1">
        <v>0</v>
      </c>
      <c r="N15" s="1">
        <v>0</v>
      </c>
    </row>
    <row r="16" spans="1:14">
      <c r="A16" s="1" t="s">
        <v>28</v>
      </c>
      <c r="B16" s="1">
        <v>20</v>
      </c>
      <c r="C16" s="1"/>
      <c r="D16" s="1"/>
      <c r="E16" s="1">
        <v>0</v>
      </c>
      <c r="F16" s="1">
        <v>0</v>
      </c>
      <c r="G16" s="1">
        <v>0</v>
      </c>
      <c r="H16" s="1">
        <v>0</v>
      </c>
      <c r="I16" s="1">
        <v>0</v>
      </c>
      <c r="J16" s="1">
        <v>0</v>
      </c>
      <c r="K16" s="1">
        <v>0</v>
      </c>
      <c r="L16" s="1">
        <v>0</v>
      </c>
      <c r="M16" s="1">
        <v>0</v>
      </c>
      <c r="N16" s="1">
        <v>0</v>
      </c>
    </row>
    <row r="17" spans="1:14">
      <c r="A17" s="1" t="s">
        <v>29</v>
      </c>
      <c r="B17" s="1"/>
      <c r="C17" s="1"/>
      <c r="D17" s="1"/>
      <c r="E17" s="1">
        <v>0.16666666699999999</v>
      </c>
      <c r="F17" s="1">
        <v>0.5</v>
      </c>
      <c r="G17" s="1">
        <v>0</v>
      </c>
      <c r="H17" s="1">
        <v>0</v>
      </c>
      <c r="I17" s="1">
        <v>1</v>
      </c>
      <c r="J17" s="1">
        <v>0</v>
      </c>
      <c r="K17" s="1">
        <v>0</v>
      </c>
      <c r="L17" s="1">
        <v>0</v>
      </c>
      <c r="M17" s="1">
        <v>0</v>
      </c>
      <c r="N17" s="1">
        <v>0</v>
      </c>
    </row>
    <row r="18" spans="1:14">
      <c r="A18" s="1" t="s">
        <v>30</v>
      </c>
      <c r="B18" s="1"/>
      <c r="C18" s="1"/>
      <c r="D18" s="1"/>
      <c r="E18" s="1">
        <v>0</v>
      </c>
      <c r="F18" s="1">
        <v>0</v>
      </c>
      <c r="G18" s="1">
        <v>0</v>
      </c>
      <c r="H18" s="1">
        <v>0</v>
      </c>
      <c r="I18" s="1">
        <v>0</v>
      </c>
      <c r="J18" s="1">
        <v>0</v>
      </c>
      <c r="K18" s="1">
        <v>0</v>
      </c>
      <c r="L18" s="1">
        <v>0</v>
      </c>
      <c r="M18" s="1">
        <v>0</v>
      </c>
      <c r="N18" s="1">
        <v>0</v>
      </c>
    </row>
    <row r="19" spans="1:14">
      <c r="A19" s="1" t="s">
        <v>31</v>
      </c>
      <c r="B19" s="1"/>
      <c r="C19" s="1"/>
      <c r="D19" s="1"/>
      <c r="E19" s="1">
        <v>1.2</v>
      </c>
      <c r="F19" s="1">
        <v>3.6</v>
      </c>
      <c r="G19" s="1">
        <v>0</v>
      </c>
      <c r="H19" s="1">
        <v>0</v>
      </c>
      <c r="I19" s="1">
        <v>3</v>
      </c>
      <c r="J19" s="1">
        <v>0</v>
      </c>
      <c r="K19" s="1">
        <v>3</v>
      </c>
      <c r="L19" s="1">
        <v>0</v>
      </c>
      <c r="M19" s="1">
        <v>0</v>
      </c>
      <c r="N19" s="1">
        <v>0</v>
      </c>
    </row>
    <row r="20" spans="1:14">
      <c r="A20" s="1" t="s">
        <v>32</v>
      </c>
      <c r="B20" s="1"/>
      <c r="C20" s="1"/>
      <c r="D20" s="1"/>
      <c r="E20" s="1">
        <v>0.6</v>
      </c>
      <c r="F20" s="1">
        <v>0</v>
      </c>
      <c r="G20" s="1">
        <v>0</v>
      </c>
      <c r="H20" s="1">
        <v>1.5</v>
      </c>
      <c r="I20" s="1">
        <v>0</v>
      </c>
      <c r="J20" s="1">
        <v>0</v>
      </c>
      <c r="K20" s="1">
        <v>0</v>
      </c>
      <c r="L20" s="1">
        <v>0</v>
      </c>
      <c r="M20" s="1">
        <v>0</v>
      </c>
      <c r="N20" s="1">
        <v>0</v>
      </c>
    </row>
    <row r="21" spans="1:14">
      <c r="A21" s="1" t="s">
        <v>33</v>
      </c>
      <c r="B21" s="1"/>
      <c r="C21" s="1"/>
      <c r="D21" s="1"/>
      <c r="E21" s="1">
        <v>0</v>
      </c>
      <c r="F21" s="1">
        <v>0</v>
      </c>
      <c r="G21" s="1">
        <v>0</v>
      </c>
      <c r="H21" s="1">
        <v>0</v>
      </c>
      <c r="I21" s="1">
        <v>0</v>
      </c>
      <c r="J21" s="1">
        <v>0</v>
      </c>
      <c r="K21" s="1">
        <v>0</v>
      </c>
      <c r="L21" s="1">
        <v>0</v>
      </c>
      <c r="M21" s="1">
        <v>0</v>
      </c>
      <c r="N21" s="1">
        <v>0</v>
      </c>
    </row>
    <row r="22" spans="1:14">
      <c r="A22" s="1" t="s">
        <v>34</v>
      </c>
      <c r="B22" s="1"/>
      <c r="C22" s="1"/>
      <c r="D22" s="1"/>
      <c r="E22" s="1">
        <v>2</v>
      </c>
      <c r="F22" s="1">
        <v>6</v>
      </c>
      <c r="G22" s="1">
        <v>0</v>
      </c>
      <c r="H22" s="1">
        <v>0</v>
      </c>
      <c r="I22" s="1">
        <v>0</v>
      </c>
      <c r="J22" s="1">
        <v>0</v>
      </c>
      <c r="K22" s="1">
        <v>2</v>
      </c>
      <c r="L22" s="1">
        <v>0</v>
      </c>
      <c r="M22" s="1">
        <v>0</v>
      </c>
      <c r="N22" s="1">
        <v>0</v>
      </c>
    </row>
    <row r="23" spans="1:14">
      <c r="A23" s="1" t="s">
        <v>35</v>
      </c>
      <c r="B23" s="1"/>
      <c r="C23" s="1"/>
      <c r="D23" s="1"/>
      <c r="E23" s="1">
        <v>0.28571428599999998</v>
      </c>
      <c r="F23" s="1">
        <v>0.428571429</v>
      </c>
      <c r="G23" s="1">
        <v>0</v>
      </c>
      <c r="H23" s="1">
        <v>0.5</v>
      </c>
      <c r="I23" s="1">
        <v>1</v>
      </c>
      <c r="J23" s="1">
        <v>0</v>
      </c>
      <c r="K23" s="1">
        <v>0</v>
      </c>
      <c r="L23" s="1">
        <v>0</v>
      </c>
      <c r="M23" s="1">
        <v>0</v>
      </c>
      <c r="N23" s="1">
        <v>0</v>
      </c>
    </row>
    <row r="24" spans="1:14">
      <c r="A24" s="1" t="s">
        <v>35</v>
      </c>
      <c r="B24" s="1"/>
      <c r="C24" s="1"/>
      <c r="D24" s="1"/>
      <c r="E24" s="1">
        <v>0.28571428599999998</v>
      </c>
      <c r="F24" s="1">
        <v>0.428571429</v>
      </c>
      <c r="G24" s="1">
        <v>0</v>
      </c>
      <c r="H24" s="1">
        <v>0.5</v>
      </c>
      <c r="I24" s="1">
        <v>1</v>
      </c>
      <c r="J24" s="1">
        <v>0</v>
      </c>
      <c r="K24" s="1">
        <v>0</v>
      </c>
      <c r="L24" s="1">
        <v>0</v>
      </c>
      <c r="M24" s="1">
        <v>0</v>
      </c>
      <c r="N24" s="1">
        <v>0</v>
      </c>
    </row>
    <row r="25" spans="1:14">
      <c r="A25" s="1" t="s">
        <v>36</v>
      </c>
      <c r="B25" s="1">
        <v>12</v>
      </c>
      <c r="C25" s="1">
        <v>0</v>
      </c>
      <c r="D25" s="1" t="s">
        <v>37</v>
      </c>
      <c r="E25" s="1">
        <v>0.33333333300000001</v>
      </c>
      <c r="F25" s="1">
        <v>1</v>
      </c>
      <c r="G25" s="1">
        <v>0</v>
      </c>
      <c r="H25" s="1">
        <v>0</v>
      </c>
      <c r="I25" s="1">
        <v>1</v>
      </c>
      <c r="J25" s="1">
        <v>0</v>
      </c>
      <c r="K25" s="1">
        <v>0</v>
      </c>
      <c r="L25" s="1">
        <v>0</v>
      </c>
      <c r="M25" s="1">
        <v>0</v>
      </c>
      <c r="N25" s="1"/>
    </row>
    <row r="26" spans="1:14">
      <c r="A26" s="1" t="s">
        <v>38</v>
      </c>
      <c r="B26" s="1">
        <v>0</v>
      </c>
      <c r="C26" s="1">
        <v>0</v>
      </c>
      <c r="D26" s="1" t="s">
        <v>39</v>
      </c>
      <c r="E26" s="1">
        <v>0</v>
      </c>
      <c r="F26" s="1">
        <v>0</v>
      </c>
      <c r="G26" s="1">
        <v>0</v>
      </c>
      <c r="H26" s="1">
        <v>0</v>
      </c>
      <c r="I26" s="1">
        <v>0</v>
      </c>
      <c r="J26" s="1">
        <v>0</v>
      </c>
      <c r="K26" s="1">
        <v>0</v>
      </c>
      <c r="L26" s="1">
        <v>0</v>
      </c>
      <c r="M26" s="1">
        <v>0</v>
      </c>
      <c r="N26" s="1">
        <v>0</v>
      </c>
    </row>
    <row r="27" spans="1:14">
      <c r="A27" s="1" t="s">
        <v>40</v>
      </c>
      <c r="B27" s="1">
        <v>3</v>
      </c>
      <c r="C27" s="1">
        <v>0</v>
      </c>
      <c r="D27" s="1" t="s">
        <v>41</v>
      </c>
      <c r="E27" s="1">
        <v>0</v>
      </c>
      <c r="F27" s="1">
        <v>0</v>
      </c>
      <c r="G27" s="1">
        <v>0</v>
      </c>
      <c r="H27" s="1">
        <v>0</v>
      </c>
      <c r="I27" s="1">
        <v>0</v>
      </c>
      <c r="J27" s="1">
        <v>0</v>
      </c>
      <c r="K27" s="1">
        <v>0</v>
      </c>
      <c r="L27" s="1">
        <v>0</v>
      </c>
      <c r="M27" s="1">
        <v>0</v>
      </c>
      <c r="N27" s="1">
        <v>0</v>
      </c>
    </row>
    <row r="28" spans="1:14">
      <c r="A28" s="1" t="s">
        <v>42</v>
      </c>
      <c r="B28" s="1">
        <v>0</v>
      </c>
      <c r="C28" s="1">
        <v>0</v>
      </c>
      <c r="D28" s="1" t="s">
        <v>43</v>
      </c>
      <c r="E28" s="1">
        <v>0</v>
      </c>
      <c r="F28" s="1">
        <v>0</v>
      </c>
      <c r="G28" s="1">
        <v>0</v>
      </c>
      <c r="H28" s="1">
        <v>0</v>
      </c>
      <c r="I28" s="1">
        <v>0</v>
      </c>
      <c r="J28" s="1">
        <v>0</v>
      </c>
      <c r="K28" s="1">
        <v>0</v>
      </c>
      <c r="L28" s="1">
        <v>0</v>
      </c>
      <c r="M28" s="1">
        <v>0</v>
      </c>
      <c r="N28" s="1">
        <v>0</v>
      </c>
    </row>
    <row r="29" spans="1:14">
      <c r="A29" s="1" t="s">
        <v>44</v>
      </c>
      <c r="B29" s="1">
        <v>0</v>
      </c>
      <c r="C29" s="1">
        <v>0</v>
      </c>
      <c r="D29" s="1" t="s">
        <v>45</v>
      </c>
      <c r="E29" s="1">
        <v>0</v>
      </c>
      <c r="F29" s="1">
        <v>0</v>
      </c>
      <c r="G29" s="1">
        <v>0</v>
      </c>
      <c r="H29" s="1">
        <v>0</v>
      </c>
      <c r="I29" s="1">
        <v>0</v>
      </c>
      <c r="J29" s="1">
        <v>0</v>
      </c>
      <c r="K29" s="1">
        <v>0</v>
      </c>
      <c r="L29" s="1">
        <v>0</v>
      </c>
      <c r="M29" s="1">
        <v>0</v>
      </c>
      <c r="N29" s="1">
        <v>0</v>
      </c>
    </row>
    <row r="30" spans="1:14">
      <c r="A30" s="1" t="s">
        <v>46</v>
      </c>
      <c r="B30" s="1">
        <v>0</v>
      </c>
      <c r="C30" s="1">
        <v>0</v>
      </c>
      <c r="D30" s="1" t="s">
        <v>47</v>
      </c>
      <c r="E30" s="1">
        <v>0</v>
      </c>
      <c r="F30" s="1">
        <v>0</v>
      </c>
      <c r="G30" s="1">
        <v>0</v>
      </c>
      <c r="H30" s="1">
        <v>0</v>
      </c>
      <c r="I30" s="1">
        <v>0</v>
      </c>
      <c r="J30" s="1">
        <v>0</v>
      </c>
      <c r="K30" s="1">
        <v>0</v>
      </c>
      <c r="L30" s="1">
        <v>0</v>
      </c>
      <c r="M30" s="1">
        <v>0</v>
      </c>
      <c r="N30" s="1">
        <v>0</v>
      </c>
    </row>
    <row r="31" spans="1:14">
      <c r="A31" s="1" t="s">
        <v>48</v>
      </c>
      <c r="B31" s="1">
        <v>0</v>
      </c>
      <c r="C31" s="1">
        <v>0</v>
      </c>
      <c r="D31" s="1" t="s">
        <v>49</v>
      </c>
      <c r="E31" s="1">
        <v>0</v>
      </c>
      <c r="F31" s="1">
        <v>0</v>
      </c>
      <c r="G31" s="1">
        <v>0</v>
      </c>
      <c r="H31" s="1">
        <v>0</v>
      </c>
      <c r="I31" s="1">
        <v>0</v>
      </c>
      <c r="J31" s="1">
        <v>0</v>
      </c>
      <c r="K31" s="1">
        <v>0</v>
      </c>
      <c r="L31" s="1">
        <v>0</v>
      </c>
      <c r="M31" s="1">
        <v>0</v>
      </c>
      <c r="N31" s="1">
        <v>0</v>
      </c>
    </row>
    <row r="32" spans="1:14">
      <c r="A32" s="1" t="s">
        <v>50</v>
      </c>
      <c r="B32" s="1">
        <v>4</v>
      </c>
      <c r="C32" s="1">
        <v>0</v>
      </c>
      <c r="D32" s="1" t="s">
        <v>51</v>
      </c>
      <c r="E32" s="1">
        <v>0</v>
      </c>
      <c r="F32" s="1">
        <v>0</v>
      </c>
      <c r="G32" s="1">
        <v>0</v>
      </c>
      <c r="H32" s="1">
        <v>0</v>
      </c>
      <c r="I32" s="1">
        <v>0</v>
      </c>
      <c r="J32" s="1">
        <v>0</v>
      </c>
      <c r="K32" s="1">
        <v>0</v>
      </c>
      <c r="L32" s="1">
        <v>0</v>
      </c>
      <c r="M32" s="1">
        <v>0</v>
      </c>
      <c r="N32" s="1">
        <v>0</v>
      </c>
    </row>
    <row r="33" spans="1:14">
      <c r="A33" s="1" t="s">
        <v>52</v>
      </c>
      <c r="B33" s="1">
        <v>1</v>
      </c>
      <c r="C33" s="1">
        <v>0</v>
      </c>
      <c r="D33" s="1" t="s">
        <v>53</v>
      </c>
      <c r="E33" s="1">
        <v>0</v>
      </c>
      <c r="F33" s="1">
        <v>0</v>
      </c>
      <c r="G33" s="1">
        <v>0</v>
      </c>
      <c r="H33" s="1">
        <v>0</v>
      </c>
      <c r="I33" s="1">
        <v>0</v>
      </c>
      <c r="J33" s="1">
        <v>0</v>
      </c>
      <c r="K33" s="1">
        <v>0</v>
      </c>
      <c r="L33" s="1">
        <v>0</v>
      </c>
      <c r="M33" s="1">
        <v>0</v>
      </c>
      <c r="N33" s="1">
        <v>0</v>
      </c>
    </row>
    <row r="34" spans="1:14">
      <c r="A34" s="1" t="s">
        <v>54</v>
      </c>
      <c r="B34" s="1">
        <v>0</v>
      </c>
      <c r="C34" s="1">
        <v>0</v>
      </c>
      <c r="D34" s="1" t="s">
        <v>55</v>
      </c>
      <c r="E34" s="1">
        <v>0</v>
      </c>
      <c r="F34" s="1">
        <v>0</v>
      </c>
      <c r="G34" s="1">
        <v>0</v>
      </c>
      <c r="H34" s="1">
        <v>0</v>
      </c>
      <c r="I34" s="1">
        <v>0</v>
      </c>
      <c r="J34" s="1">
        <v>0</v>
      </c>
      <c r="K34" s="1">
        <v>0</v>
      </c>
      <c r="L34" s="1">
        <v>0</v>
      </c>
      <c r="M34" s="1">
        <v>0</v>
      </c>
      <c r="N34" s="1">
        <v>0</v>
      </c>
    </row>
    <row r="35" spans="1:14">
      <c r="A35" s="1" t="s">
        <v>54</v>
      </c>
      <c r="B35" s="1">
        <v>0</v>
      </c>
      <c r="C35" s="1">
        <v>0</v>
      </c>
      <c r="D35" s="1" t="s">
        <v>55</v>
      </c>
      <c r="E35" s="1">
        <v>0</v>
      </c>
      <c r="F35" s="1">
        <v>0</v>
      </c>
      <c r="G35" s="1">
        <v>0</v>
      </c>
      <c r="H35" s="1">
        <v>0</v>
      </c>
      <c r="I35" s="1">
        <v>0</v>
      </c>
      <c r="J35" s="1">
        <v>0</v>
      </c>
      <c r="K35" s="1">
        <v>0</v>
      </c>
      <c r="L35" s="1">
        <v>0</v>
      </c>
      <c r="M35" s="1">
        <v>0</v>
      </c>
      <c r="N35" s="1">
        <v>0</v>
      </c>
    </row>
    <row r="36" spans="1:14">
      <c r="A36" s="1" t="s">
        <v>56</v>
      </c>
      <c r="B36" s="1">
        <v>0</v>
      </c>
      <c r="C36" s="1"/>
      <c r="D36" s="1" t="s">
        <v>57</v>
      </c>
      <c r="E36" s="1">
        <v>0</v>
      </c>
      <c r="F36" s="1">
        <v>0</v>
      </c>
      <c r="G36" s="1">
        <v>0</v>
      </c>
      <c r="H36" s="1">
        <v>0</v>
      </c>
      <c r="I36" s="1">
        <v>0</v>
      </c>
      <c r="J36" s="1">
        <v>0</v>
      </c>
      <c r="K36" s="1">
        <v>0</v>
      </c>
      <c r="L36" s="1">
        <v>0</v>
      </c>
      <c r="M36" s="1">
        <v>0</v>
      </c>
      <c r="N36" s="1">
        <v>0</v>
      </c>
    </row>
    <row r="37" spans="1:14">
      <c r="A37" s="1" t="s">
        <v>58</v>
      </c>
      <c r="B37" s="1">
        <v>260</v>
      </c>
      <c r="C37" s="1"/>
      <c r="D37" s="1" t="s">
        <v>59</v>
      </c>
      <c r="E37" s="1">
        <v>1</v>
      </c>
      <c r="F37" s="1">
        <v>3</v>
      </c>
      <c r="G37" s="1">
        <v>0</v>
      </c>
      <c r="H37" s="1">
        <v>0</v>
      </c>
      <c r="I37" s="1">
        <v>0</v>
      </c>
      <c r="J37" s="1">
        <v>0</v>
      </c>
      <c r="K37" s="1">
        <v>3</v>
      </c>
      <c r="L37" s="1">
        <v>0</v>
      </c>
      <c r="M37" s="1">
        <v>0</v>
      </c>
      <c r="N37" s="1">
        <v>0</v>
      </c>
    </row>
    <row r="38" spans="1:14">
      <c r="A38" s="1" t="s">
        <v>60</v>
      </c>
      <c r="B38" s="1">
        <v>1</v>
      </c>
      <c r="C38" s="1"/>
      <c r="D38" s="1" t="s">
        <v>61</v>
      </c>
      <c r="E38" s="1">
        <v>0.75</v>
      </c>
      <c r="F38" s="1">
        <v>0</v>
      </c>
      <c r="G38" s="1">
        <v>0</v>
      </c>
      <c r="H38" s="1">
        <v>1.5</v>
      </c>
      <c r="I38" s="1">
        <v>0</v>
      </c>
      <c r="J38" s="1">
        <v>0</v>
      </c>
      <c r="K38" s="1">
        <v>0</v>
      </c>
      <c r="L38" s="1">
        <v>0</v>
      </c>
      <c r="M38" s="1">
        <v>0</v>
      </c>
      <c r="N38" s="1">
        <v>0</v>
      </c>
    </row>
    <row r="39" spans="1:14">
      <c r="A39" s="1" t="s">
        <v>62</v>
      </c>
      <c r="B39" s="1">
        <v>1715</v>
      </c>
      <c r="C39" s="1"/>
      <c r="D39" s="1" t="s">
        <v>63</v>
      </c>
      <c r="E39" s="1">
        <v>0</v>
      </c>
      <c r="F39" s="1">
        <v>0</v>
      </c>
      <c r="G39" s="1">
        <v>0</v>
      </c>
      <c r="H39" s="1">
        <v>0</v>
      </c>
      <c r="I39" s="1">
        <v>0</v>
      </c>
      <c r="J39" s="1">
        <v>0</v>
      </c>
      <c r="K39" s="1">
        <v>0</v>
      </c>
      <c r="L39" s="1">
        <v>0</v>
      </c>
      <c r="M39" s="1">
        <v>0</v>
      </c>
      <c r="N39" s="1">
        <v>0</v>
      </c>
    </row>
    <row r="40" spans="1:14">
      <c r="A40" s="1" t="s">
        <v>64</v>
      </c>
      <c r="B40" s="1">
        <v>30</v>
      </c>
      <c r="C40" s="1"/>
      <c r="D40" s="1" t="s">
        <v>65</v>
      </c>
      <c r="E40" s="1">
        <v>0</v>
      </c>
      <c r="F40" s="1">
        <v>0</v>
      </c>
      <c r="G40" s="1">
        <v>0</v>
      </c>
      <c r="H40" s="1">
        <v>0</v>
      </c>
      <c r="I40" s="1">
        <v>0</v>
      </c>
      <c r="J40" s="1">
        <v>0</v>
      </c>
      <c r="K40" s="1">
        <v>0</v>
      </c>
      <c r="L40" s="1">
        <v>0</v>
      </c>
      <c r="M40" s="1">
        <v>0</v>
      </c>
      <c r="N40" s="1">
        <v>0</v>
      </c>
    </row>
    <row r="41" spans="1:14">
      <c r="A41" s="1" t="s">
        <v>66</v>
      </c>
      <c r="B41" s="1">
        <v>2553</v>
      </c>
      <c r="C41" s="1"/>
      <c r="D41" s="1" t="s">
        <v>67</v>
      </c>
      <c r="E41" s="1">
        <v>0</v>
      </c>
      <c r="F41" s="1">
        <v>0</v>
      </c>
      <c r="G41" s="1">
        <v>0</v>
      </c>
      <c r="H41" s="1">
        <v>0</v>
      </c>
      <c r="I41" s="1">
        <v>0</v>
      </c>
      <c r="J41" s="1">
        <v>0</v>
      </c>
      <c r="K41" s="1">
        <v>0</v>
      </c>
      <c r="L41" s="1">
        <v>0</v>
      </c>
      <c r="M41" s="1">
        <v>0</v>
      </c>
      <c r="N41" s="1">
        <v>0</v>
      </c>
    </row>
    <row r="42" spans="1:14">
      <c r="A42" s="1" t="s">
        <v>68</v>
      </c>
      <c r="B42" s="1">
        <v>131</v>
      </c>
      <c r="C42" s="1"/>
      <c r="D42" s="1" t="s">
        <v>69</v>
      </c>
      <c r="E42" s="1">
        <v>0</v>
      </c>
      <c r="F42" s="1">
        <v>0</v>
      </c>
      <c r="G42" s="1">
        <v>0</v>
      </c>
      <c r="H42" s="1">
        <v>0</v>
      </c>
      <c r="I42" s="1">
        <v>0</v>
      </c>
      <c r="J42" s="1">
        <v>0</v>
      </c>
      <c r="K42" s="1">
        <v>0</v>
      </c>
      <c r="L42" s="1">
        <v>0</v>
      </c>
      <c r="M42" s="1">
        <v>0</v>
      </c>
      <c r="N42" s="1">
        <v>0</v>
      </c>
    </row>
    <row r="43" spans="1:14">
      <c r="A43" s="1" t="s">
        <v>70</v>
      </c>
      <c r="B43" s="1">
        <v>254</v>
      </c>
      <c r="C43" s="1"/>
      <c r="D43" s="1" t="s">
        <v>71</v>
      </c>
      <c r="E43" s="1">
        <v>0</v>
      </c>
      <c r="F43" s="1">
        <v>0</v>
      </c>
      <c r="G43" s="1">
        <v>0</v>
      </c>
      <c r="H43" s="1">
        <v>0</v>
      </c>
      <c r="I43" s="1">
        <v>0</v>
      </c>
      <c r="J43" s="1">
        <v>0</v>
      </c>
      <c r="K43" s="1">
        <v>0</v>
      </c>
      <c r="L43" s="1">
        <v>0</v>
      </c>
      <c r="M43" s="1">
        <v>0</v>
      </c>
      <c r="N43" s="1">
        <v>0</v>
      </c>
    </row>
    <row r="44" spans="1:14">
      <c r="A44" s="1" t="s">
        <v>72</v>
      </c>
      <c r="B44" s="1">
        <v>256</v>
      </c>
      <c r="C44" s="1"/>
      <c r="D44" s="1" t="s">
        <v>73</v>
      </c>
      <c r="E44" s="1">
        <v>0</v>
      </c>
      <c r="F44" s="1">
        <v>0</v>
      </c>
      <c r="G44" s="1">
        <v>0</v>
      </c>
      <c r="H44" s="1">
        <v>0</v>
      </c>
      <c r="I44" s="1">
        <v>0</v>
      </c>
      <c r="J44" s="1">
        <v>0</v>
      </c>
      <c r="K44" s="1">
        <v>0</v>
      </c>
      <c r="L44" s="1">
        <v>0</v>
      </c>
      <c r="M44" s="1">
        <v>0</v>
      </c>
      <c r="N44" s="1">
        <v>0</v>
      </c>
    </row>
    <row r="45" spans="1:14">
      <c r="A45" s="1" t="s">
        <v>74</v>
      </c>
      <c r="B45" s="1">
        <v>69</v>
      </c>
      <c r="C45" s="1"/>
      <c r="D45" s="1" t="s">
        <v>75</v>
      </c>
      <c r="E45" s="1">
        <v>0</v>
      </c>
      <c r="F45" s="1">
        <v>0</v>
      </c>
      <c r="G45" s="1">
        <v>0</v>
      </c>
      <c r="H45" s="1">
        <v>0</v>
      </c>
      <c r="I45" s="1">
        <v>0</v>
      </c>
      <c r="J45" s="1">
        <v>0</v>
      </c>
      <c r="K45" s="1">
        <v>0</v>
      </c>
      <c r="L45" s="1">
        <v>0</v>
      </c>
      <c r="M45" s="1">
        <v>0</v>
      </c>
      <c r="N45" s="1">
        <v>0</v>
      </c>
    </row>
    <row r="46" spans="1:14">
      <c r="A46" s="1" t="s">
        <v>76</v>
      </c>
      <c r="B46" s="1">
        <v>291</v>
      </c>
      <c r="C46" s="1"/>
      <c r="D46" s="1" t="s">
        <v>77</v>
      </c>
      <c r="E46" s="1">
        <v>0</v>
      </c>
      <c r="F46" s="1">
        <v>0</v>
      </c>
      <c r="G46" s="1">
        <v>0</v>
      </c>
      <c r="H46" s="1">
        <v>0</v>
      </c>
      <c r="I46" s="1">
        <v>0</v>
      </c>
      <c r="J46" s="1">
        <v>0</v>
      </c>
      <c r="K46" s="1">
        <v>0</v>
      </c>
      <c r="L46" s="1">
        <v>0</v>
      </c>
      <c r="M46" s="1">
        <v>0</v>
      </c>
      <c r="N46" s="1">
        <v>0</v>
      </c>
    </row>
    <row r="47" spans="1:14">
      <c r="A47" s="1" t="s">
        <v>78</v>
      </c>
      <c r="B47" s="1">
        <v>1</v>
      </c>
      <c r="C47" s="1"/>
      <c r="D47" s="1" t="s">
        <v>79</v>
      </c>
      <c r="E47" s="1">
        <v>0</v>
      </c>
      <c r="F47" s="1">
        <v>0</v>
      </c>
      <c r="G47" s="1">
        <v>0</v>
      </c>
      <c r="H47" s="1">
        <v>0</v>
      </c>
      <c r="I47" s="1">
        <v>0</v>
      </c>
      <c r="J47" s="1">
        <v>0</v>
      </c>
      <c r="K47" s="1">
        <v>0</v>
      </c>
      <c r="L47" s="1">
        <v>0</v>
      </c>
      <c r="M47" s="1">
        <v>0</v>
      </c>
      <c r="N47" s="1">
        <v>0</v>
      </c>
    </row>
    <row r="48" spans="1:14">
      <c r="A48" s="1" t="s">
        <v>80</v>
      </c>
      <c r="B48" s="1">
        <v>1</v>
      </c>
      <c r="C48" s="1"/>
      <c r="D48" s="1" t="s">
        <v>81</v>
      </c>
      <c r="E48" s="1">
        <v>0.2</v>
      </c>
      <c r="F48" s="1">
        <v>0</v>
      </c>
      <c r="G48" s="1">
        <v>0</v>
      </c>
      <c r="H48" s="1">
        <v>0.5</v>
      </c>
      <c r="I48" s="1">
        <v>0</v>
      </c>
      <c r="J48" s="1">
        <v>0</v>
      </c>
      <c r="K48" s="1">
        <v>0</v>
      </c>
      <c r="L48" s="1">
        <v>0</v>
      </c>
      <c r="M48" s="1">
        <v>0</v>
      </c>
      <c r="N48" s="1">
        <v>0</v>
      </c>
    </row>
    <row r="49" spans="1:14">
      <c r="A49" s="1" t="s">
        <v>82</v>
      </c>
      <c r="B49" s="1">
        <v>5</v>
      </c>
      <c r="C49" s="1"/>
      <c r="D49" s="1" t="s">
        <v>83</v>
      </c>
      <c r="E49" s="1">
        <v>0</v>
      </c>
      <c r="F49" s="1">
        <v>0</v>
      </c>
      <c r="G49" s="1">
        <v>0</v>
      </c>
      <c r="H49" s="1">
        <v>0</v>
      </c>
      <c r="I49" s="1">
        <v>0</v>
      </c>
      <c r="J49" s="1">
        <v>0</v>
      </c>
      <c r="K49" s="1">
        <v>0</v>
      </c>
      <c r="L49" s="1">
        <v>0</v>
      </c>
      <c r="M49" s="1">
        <v>0</v>
      </c>
      <c r="N49" s="1">
        <v>0</v>
      </c>
    </row>
    <row r="50" spans="1:14">
      <c r="A50" s="1" t="s">
        <v>84</v>
      </c>
      <c r="B50" s="1">
        <v>1</v>
      </c>
      <c r="C50" s="1"/>
      <c r="D50" s="1" t="s">
        <v>85</v>
      </c>
      <c r="E50" s="1">
        <v>0</v>
      </c>
      <c r="F50" s="1">
        <v>0</v>
      </c>
      <c r="G50" s="1">
        <v>0</v>
      </c>
      <c r="H50" s="1">
        <v>0</v>
      </c>
      <c r="I50" s="1">
        <v>0</v>
      </c>
      <c r="J50" s="1">
        <v>0</v>
      </c>
      <c r="K50" s="1">
        <v>0</v>
      </c>
      <c r="L50" s="1">
        <v>0</v>
      </c>
      <c r="M50" s="1">
        <v>0</v>
      </c>
      <c r="N50" s="1">
        <v>0</v>
      </c>
    </row>
    <row r="51" spans="1:14">
      <c r="A51" s="1" t="s">
        <v>86</v>
      </c>
      <c r="B51" s="1">
        <v>1</v>
      </c>
      <c r="C51" s="1"/>
      <c r="D51" s="1" t="s">
        <v>87</v>
      </c>
      <c r="E51" s="1">
        <v>0</v>
      </c>
      <c r="F51" s="1">
        <v>0</v>
      </c>
      <c r="G51" s="1">
        <v>0</v>
      </c>
      <c r="H51" s="1">
        <v>0</v>
      </c>
      <c r="I51" s="1">
        <v>0</v>
      </c>
      <c r="J51" s="1">
        <v>0</v>
      </c>
      <c r="K51" s="1">
        <v>0</v>
      </c>
      <c r="L51" s="1">
        <v>0</v>
      </c>
      <c r="M51" s="1">
        <v>0</v>
      </c>
      <c r="N51" s="1">
        <v>0</v>
      </c>
    </row>
    <row r="52" spans="1:14">
      <c r="A52" s="1" t="s">
        <v>88</v>
      </c>
      <c r="B52" s="1">
        <v>1</v>
      </c>
      <c r="C52" s="1"/>
      <c r="D52" s="1" t="s">
        <v>89</v>
      </c>
      <c r="E52" s="1">
        <v>0</v>
      </c>
      <c r="F52" s="1">
        <v>0</v>
      </c>
      <c r="G52" s="1">
        <v>0</v>
      </c>
      <c r="H52" s="1">
        <v>0</v>
      </c>
      <c r="I52" s="1">
        <v>0</v>
      </c>
      <c r="J52" s="1">
        <v>0</v>
      </c>
      <c r="K52" s="1">
        <v>0</v>
      </c>
      <c r="L52" s="1">
        <v>0</v>
      </c>
      <c r="M52" s="1">
        <v>0</v>
      </c>
      <c r="N52" s="1">
        <v>0</v>
      </c>
    </row>
    <row r="53" spans="1:14">
      <c r="A53" s="1" t="s">
        <v>90</v>
      </c>
      <c r="B53" s="1">
        <v>1</v>
      </c>
      <c r="C53" s="1"/>
      <c r="D53" s="1" t="s">
        <v>91</v>
      </c>
      <c r="E53" s="1">
        <v>0</v>
      </c>
      <c r="F53" s="1">
        <v>0</v>
      </c>
      <c r="G53" s="1">
        <v>0</v>
      </c>
      <c r="H53" s="1">
        <v>0</v>
      </c>
      <c r="I53" s="1">
        <v>0</v>
      </c>
      <c r="J53" s="1">
        <v>0</v>
      </c>
      <c r="K53" s="1">
        <v>0</v>
      </c>
      <c r="L53" s="1">
        <v>0</v>
      </c>
      <c r="M53" s="1">
        <v>0</v>
      </c>
      <c r="N53" s="1">
        <v>0</v>
      </c>
    </row>
    <row r="54" spans="1:14">
      <c r="A54" s="1" t="s">
        <v>92</v>
      </c>
      <c r="B54" s="1">
        <v>1</v>
      </c>
      <c r="C54" s="1"/>
      <c r="D54" s="1" t="s">
        <v>93</v>
      </c>
      <c r="E54" s="1">
        <v>0</v>
      </c>
      <c r="F54" s="1">
        <v>0</v>
      </c>
      <c r="G54" s="1">
        <v>0</v>
      </c>
      <c r="H54" s="1">
        <v>0</v>
      </c>
      <c r="I54" s="1">
        <v>0</v>
      </c>
      <c r="J54" s="1">
        <v>0</v>
      </c>
      <c r="K54" s="1">
        <v>0</v>
      </c>
      <c r="L54" s="1">
        <v>0</v>
      </c>
      <c r="M54" s="1">
        <v>0</v>
      </c>
      <c r="N54" s="1">
        <v>0</v>
      </c>
    </row>
    <row r="55" spans="1:14">
      <c r="A55" s="1" t="s">
        <v>94</v>
      </c>
      <c r="B55" s="1">
        <v>21</v>
      </c>
      <c r="C55" s="1"/>
      <c r="D55" s="1" t="s">
        <v>95</v>
      </c>
      <c r="E55" s="1">
        <v>0</v>
      </c>
      <c r="F55" s="1">
        <v>0</v>
      </c>
      <c r="G55" s="1">
        <v>0</v>
      </c>
      <c r="H55" s="1">
        <v>0</v>
      </c>
      <c r="I55" s="1">
        <v>0</v>
      </c>
      <c r="J55" s="1">
        <v>0</v>
      </c>
      <c r="K55" s="1">
        <v>0</v>
      </c>
      <c r="L55" s="1">
        <v>0</v>
      </c>
      <c r="M55" s="1">
        <v>0</v>
      </c>
      <c r="N55" s="1">
        <v>0</v>
      </c>
    </row>
    <row r="56" spans="1:14">
      <c r="A56" s="1" t="s">
        <v>96</v>
      </c>
      <c r="B56" s="1">
        <v>1</v>
      </c>
      <c r="C56" s="1"/>
      <c r="D56" s="1" t="s">
        <v>97</v>
      </c>
      <c r="E56" s="1">
        <v>0</v>
      </c>
      <c r="F56" s="1">
        <v>0</v>
      </c>
      <c r="G56" s="1">
        <v>0</v>
      </c>
      <c r="H56" s="1">
        <v>0</v>
      </c>
      <c r="I56" s="1">
        <v>0</v>
      </c>
      <c r="J56" s="1">
        <v>0</v>
      </c>
      <c r="K56" s="1">
        <v>0</v>
      </c>
      <c r="L56" s="1">
        <v>0</v>
      </c>
      <c r="M56" s="1">
        <v>0</v>
      </c>
      <c r="N56" s="1">
        <v>0</v>
      </c>
    </row>
    <row r="57" spans="1:14">
      <c r="A57" s="1" t="s">
        <v>98</v>
      </c>
      <c r="B57" s="1">
        <v>2</v>
      </c>
      <c r="C57" s="1"/>
      <c r="D57" s="1" t="s">
        <v>99</v>
      </c>
      <c r="E57" s="1">
        <v>0.33333333300000001</v>
      </c>
      <c r="F57" s="1">
        <v>1</v>
      </c>
      <c r="G57" s="1">
        <v>0</v>
      </c>
      <c r="H57" s="1">
        <v>0</v>
      </c>
      <c r="I57" s="1">
        <v>1</v>
      </c>
      <c r="J57" s="1">
        <v>0</v>
      </c>
      <c r="K57" s="1">
        <v>0</v>
      </c>
      <c r="L57" s="1">
        <v>0</v>
      </c>
      <c r="M57" s="1">
        <v>0</v>
      </c>
      <c r="N57" s="1">
        <v>0</v>
      </c>
    </row>
    <row r="58" spans="1:14">
      <c r="A58" s="1" t="s">
        <v>100</v>
      </c>
      <c r="B58" s="1">
        <v>1</v>
      </c>
      <c r="C58" s="1"/>
      <c r="D58" s="1" t="s">
        <v>101</v>
      </c>
      <c r="E58" s="1">
        <v>0</v>
      </c>
      <c r="F58" s="1">
        <v>0</v>
      </c>
      <c r="G58" s="1">
        <v>0</v>
      </c>
      <c r="H58" s="1">
        <v>0</v>
      </c>
      <c r="I58" s="1">
        <v>0</v>
      </c>
      <c r="J58" s="1">
        <v>0</v>
      </c>
      <c r="K58" s="1">
        <v>0</v>
      </c>
      <c r="L58" s="1">
        <v>0</v>
      </c>
      <c r="M58" s="1">
        <v>0</v>
      </c>
      <c r="N58" s="1">
        <v>0</v>
      </c>
    </row>
    <row r="59" spans="1:14">
      <c r="A59" s="1" t="s">
        <v>102</v>
      </c>
      <c r="B59" s="1">
        <v>1</v>
      </c>
      <c r="C59" s="1"/>
      <c r="D59" s="1" t="s">
        <v>103</v>
      </c>
      <c r="E59" s="1">
        <v>0</v>
      </c>
      <c r="F59" s="1">
        <v>0</v>
      </c>
      <c r="G59" s="1">
        <v>0</v>
      </c>
      <c r="H59" s="1">
        <v>0</v>
      </c>
      <c r="I59" s="1">
        <v>0</v>
      </c>
      <c r="J59" s="1">
        <v>0</v>
      </c>
      <c r="K59" s="1">
        <v>0</v>
      </c>
      <c r="L59" s="1">
        <v>0</v>
      </c>
      <c r="M59" s="1">
        <v>0</v>
      </c>
      <c r="N59" s="1">
        <v>0</v>
      </c>
    </row>
    <row r="60" spans="1:14">
      <c r="A60" s="1" t="s">
        <v>104</v>
      </c>
      <c r="B60" s="1">
        <v>1</v>
      </c>
      <c r="C60" s="1"/>
      <c r="D60" s="1" t="s">
        <v>105</v>
      </c>
      <c r="E60" s="1">
        <v>0.2</v>
      </c>
      <c r="F60" s="1">
        <v>0</v>
      </c>
      <c r="G60" s="1">
        <v>0</v>
      </c>
      <c r="H60" s="1">
        <v>0.5</v>
      </c>
      <c r="I60" s="1">
        <v>0</v>
      </c>
      <c r="J60" s="1">
        <v>0</v>
      </c>
      <c r="K60" s="1">
        <v>0</v>
      </c>
      <c r="L60" s="1">
        <v>0</v>
      </c>
      <c r="M60" s="1">
        <v>0</v>
      </c>
      <c r="N60" s="1">
        <v>0</v>
      </c>
    </row>
    <row r="61" spans="1:14">
      <c r="A61" s="1" t="s">
        <v>106</v>
      </c>
      <c r="B61" s="1">
        <v>16</v>
      </c>
      <c r="C61" s="1"/>
      <c r="D61" s="1" t="s">
        <v>107</v>
      </c>
      <c r="E61" s="1">
        <v>0</v>
      </c>
      <c r="F61" s="1">
        <v>0</v>
      </c>
      <c r="G61" s="1">
        <v>0</v>
      </c>
      <c r="H61" s="1">
        <v>0</v>
      </c>
      <c r="I61" s="1">
        <v>0</v>
      </c>
      <c r="J61" s="1">
        <v>0</v>
      </c>
      <c r="K61" s="1">
        <v>0</v>
      </c>
      <c r="L61" s="1">
        <v>0</v>
      </c>
      <c r="M61" s="1">
        <v>0</v>
      </c>
      <c r="N61" s="1">
        <v>0</v>
      </c>
    </row>
    <row r="62" spans="1:14">
      <c r="A62" s="1" t="s">
        <v>108</v>
      </c>
      <c r="B62" s="1">
        <v>27</v>
      </c>
      <c r="C62" s="1"/>
      <c r="D62" s="1" t="s">
        <v>109</v>
      </c>
      <c r="E62" s="1">
        <v>0</v>
      </c>
      <c r="F62" s="1">
        <v>0</v>
      </c>
      <c r="G62" s="1">
        <v>0</v>
      </c>
      <c r="H62" s="1">
        <v>0</v>
      </c>
      <c r="I62" s="1">
        <v>0</v>
      </c>
      <c r="J62" s="1">
        <v>0</v>
      </c>
      <c r="K62" s="1">
        <v>0</v>
      </c>
      <c r="L62" s="1">
        <v>0</v>
      </c>
      <c r="M62" s="1">
        <v>0</v>
      </c>
      <c r="N62" s="1">
        <v>0</v>
      </c>
    </row>
    <row r="63" spans="1:14">
      <c r="A63" s="1" t="s">
        <v>110</v>
      </c>
      <c r="B63" s="1">
        <v>1</v>
      </c>
      <c r="C63" s="1"/>
      <c r="D63" s="1" t="s">
        <v>111</v>
      </c>
      <c r="E63" s="1">
        <v>0</v>
      </c>
      <c r="F63" s="1">
        <v>0</v>
      </c>
      <c r="G63" s="1">
        <v>0</v>
      </c>
      <c r="H63" s="1">
        <v>0</v>
      </c>
      <c r="I63" s="1">
        <v>0</v>
      </c>
      <c r="J63" s="1">
        <v>0</v>
      </c>
      <c r="K63" s="1">
        <v>0</v>
      </c>
      <c r="L63" s="1">
        <v>0</v>
      </c>
      <c r="M63" s="1">
        <v>0</v>
      </c>
      <c r="N63" s="1">
        <v>0</v>
      </c>
    </row>
    <row r="64" spans="1:14">
      <c r="A64" s="1" t="s">
        <v>112</v>
      </c>
      <c r="B64" s="1">
        <v>1</v>
      </c>
      <c r="C64" s="1"/>
      <c r="D64" s="1" t="s">
        <v>113</v>
      </c>
      <c r="E64" s="1">
        <v>0</v>
      </c>
      <c r="F64" s="1">
        <v>0</v>
      </c>
      <c r="G64" s="1">
        <v>0</v>
      </c>
      <c r="H64" s="1">
        <v>0</v>
      </c>
      <c r="I64" s="1">
        <v>0</v>
      </c>
      <c r="J64" s="1">
        <v>0</v>
      </c>
      <c r="K64" s="1">
        <v>0</v>
      </c>
      <c r="L64" s="1">
        <v>0</v>
      </c>
      <c r="M64" s="1">
        <v>0</v>
      </c>
      <c r="N64" s="1">
        <v>0</v>
      </c>
    </row>
    <row r="65" spans="1:14">
      <c r="A65" s="1" t="s">
        <v>114</v>
      </c>
      <c r="B65" s="1">
        <v>1</v>
      </c>
      <c r="C65" s="1"/>
      <c r="D65" s="1" t="s">
        <v>115</v>
      </c>
      <c r="E65" s="1">
        <v>0</v>
      </c>
      <c r="F65" s="1">
        <v>0</v>
      </c>
      <c r="G65" s="1">
        <v>0</v>
      </c>
      <c r="H65" s="1">
        <v>0</v>
      </c>
      <c r="I65" s="1">
        <v>0</v>
      </c>
      <c r="J65" s="1">
        <v>0</v>
      </c>
      <c r="K65" s="1">
        <v>0</v>
      </c>
      <c r="L65" s="1">
        <v>0</v>
      </c>
      <c r="M65" s="1">
        <v>0</v>
      </c>
      <c r="N65" s="1">
        <v>0</v>
      </c>
    </row>
    <row r="66" spans="1:14">
      <c r="A66" s="1" t="s">
        <v>116</v>
      </c>
      <c r="B66" s="1">
        <v>1</v>
      </c>
      <c r="C66" s="1"/>
      <c r="D66" s="1" t="s">
        <v>117</v>
      </c>
      <c r="E66" s="1">
        <v>0</v>
      </c>
      <c r="F66" s="1">
        <v>0</v>
      </c>
      <c r="G66" s="1">
        <v>0</v>
      </c>
      <c r="H66" s="1">
        <v>0</v>
      </c>
      <c r="I66" s="1">
        <v>0</v>
      </c>
      <c r="J66" s="1">
        <v>0</v>
      </c>
      <c r="K66" s="1">
        <v>0</v>
      </c>
      <c r="L66" s="1">
        <v>0</v>
      </c>
      <c r="M66" s="1">
        <v>0</v>
      </c>
      <c r="N66" s="1">
        <v>0</v>
      </c>
    </row>
    <row r="67" spans="1:14">
      <c r="A67" s="1" t="s">
        <v>118</v>
      </c>
      <c r="B67" s="1">
        <v>0</v>
      </c>
      <c r="C67" s="1"/>
      <c r="D67" s="1" t="s">
        <v>119</v>
      </c>
      <c r="E67" s="1">
        <v>0.25</v>
      </c>
      <c r="F67" s="1">
        <v>0.75</v>
      </c>
      <c r="G67" s="1">
        <v>0</v>
      </c>
      <c r="H67" s="1">
        <v>0</v>
      </c>
      <c r="I67" s="1">
        <v>1</v>
      </c>
      <c r="J67" s="1">
        <v>0</v>
      </c>
      <c r="K67" s="1">
        <v>0</v>
      </c>
      <c r="L67" s="1">
        <v>0</v>
      </c>
      <c r="M67" s="1">
        <v>0</v>
      </c>
      <c r="N67" s="1">
        <v>0</v>
      </c>
    </row>
    <row r="68" spans="1:14">
      <c r="A68" s="1" t="s">
        <v>120</v>
      </c>
      <c r="B68" s="1">
        <v>28</v>
      </c>
      <c r="C68" s="1"/>
      <c r="D68" s="1" t="s">
        <v>121</v>
      </c>
      <c r="E68" s="1">
        <v>0</v>
      </c>
      <c r="F68" s="1">
        <v>0</v>
      </c>
      <c r="G68" s="1">
        <v>0</v>
      </c>
      <c r="H68" s="1">
        <v>0</v>
      </c>
      <c r="I68" s="1">
        <v>0</v>
      </c>
      <c r="J68" s="1">
        <v>0</v>
      </c>
      <c r="K68" s="1">
        <v>0</v>
      </c>
      <c r="L68" s="1">
        <v>0</v>
      </c>
      <c r="M68" s="1">
        <v>0</v>
      </c>
      <c r="N68" s="1">
        <v>0</v>
      </c>
    </row>
    <row r="69" spans="1:14">
      <c r="A69" s="1" t="s">
        <v>122</v>
      </c>
      <c r="B69" s="1">
        <v>0</v>
      </c>
      <c r="C69" s="1"/>
      <c r="D69" s="1" t="s">
        <v>123</v>
      </c>
      <c r="E69" s="1">
        <v>0</v>
      </c>
      <c r="F69" s="1">
        <v>0</v>
      </c>
      <c r="G69" s="1">
        <v>0</v>
      </c>
      <c r="H69" s="1">
        <v>0</v>
      </c>
      <c r="I69" s="1">
        <v>0</v>
      </c>
      <c r="J69" s="1">
        <v>0</v>
      </c>
      <c r="K69" s="1">
        <v>0</v>
      </c>
      <c r="L69" s="1">
        <v>0</v>
      </c>
      <c r="M69" s="1">
        <v>0</v>
      </c>
      <c r="N69" s="1">
        <v>0</v>
      </c>
    </row>
    <row r="70" spans="1:14">
      <c r="A70" s="1" t="s">
        <v>124</v>
      </c>
      <c r="B70" s="1">
        <v>8</v>
      </c>
      <c r="C70" s="1"/>
      <c r="D70" s="1" t="s">
        <v>125</v>
      </c>
      <c r="E70" s="1">
        <v>0.4</v>
      </c>
      <c r="F70" s="1">
        <v>0.6</v>
      </c>
      <c r="G70" s="1">
        <v>0</v>
      </c>
      <c r="H70" s="1">
        <v>1</v>
      </c>
      <c r="I70" s="1">
        <v>1</v>
      </c>
      <c r="J70" s="1">
        <v>0</v>
      </c>
      <c r="K70" s="1">
        <v>0</v>
      </c>
      <c r="L70" s="1">
        <v>0</v>
      </c>
      <c r="M70" s="1">
        <v>0</v>
      </c>
      <c r="N70" s="1">
        <v>0</v>
      </c>
    </row>
    <row r="71" spans="1:14">
      <c r="A71" s="1" t="s">
        <v>126</v>
      </c>
      <c r="B71" s="1">
        <v>39</v>
      </c>
      <c r="C71" s="1"/>
      <c r="D71" s="1" t="s">
        <v>127</v>
      </c>
      <c r="E71" s="1">
        <v>0</v>
      </c>
      <c r="F71" s="1">
        <v>0</v>
      </c>
      <c r="G71" s="1">
        <v>0</v>
      </c>
      <c r="H71" s="1">
        <v>0</v>
      </c>
      <c r="I71" s="1">
        <v>0</v>
      </c>
      <c r="J71" s="1">
        <v>0</v>
      </c>
      <c r="K71" s="1">
        <v>0</v>
      </c>
      <c r="L71" s="1">
        <v>0</v>
      </c>
      <c r="M71" s="1">
        <v>0</v>
      </c>
      <c r="N71" s="1">
        <v>0</v>
      </c>
    </row>
    <row r="72" spans="1:14">
      <c r="A72" s="1" t="s">
        <v>128</v>
      </c>
      <c r="B72" s="1">
        <v>0</v>
      </c>
      <c r="C72" s="1"/>
      <c r="D72" s="1" t="s">
        <v>129</v>
      </c>
      <c r="E72" s="1">
        <v>0</v>
      </c>
      <c r="F72" s="1">
        <v>0</v>
      </c>
      <c r="G72" s="1">
        <v>0</v>
      </c>
      <c r="H72" s="1">
        <v>0</v>
      </c>
      <c r="I72" s="1">
        <v>0</v>
      </c>
      <c r="J72" s="1">
        <v>0</v>
      </c>
      <c r="K72" s="1">
        <v>0</v>
      </c>
      <c r="L72" s="1">
        <v>0</v>
      </c>
      <c r="M72" s="1">
        <v>0</v>
      </c>
      <c r="N72" s="1">
        <v>0</v>
      </c>
    </row>
    <row r="73" spans="1:14">
      <c r="A73" s="1" t="s">
        <v>130</v>
      </c>
      <c r="B73" s="1">
        <v>78</v>
      </c>
      <c r="C73" s="1"/>
      <c r="D73" s="1" t="s">
        <v>131</v>
      </c>
      <c r="E73" s="1">
        <v>0</v>
      </c>
      <c r="F73" s="1">
        <v>0</v>
      </c>
      <c r="G73" s="1">
        <v>0</v>
      </c>
      <c r="H73" s="1">
        <v>0</v>
      </c>
      <c r="I73" s="1">
        <v>0</v>
      </c>
      <c r="J73" s="1">
        <v>0</v>
      </c>
      <c r="K73" s="1">
        <v>0</v>
      </c>
      <c r="L73" s="1">
        <v>0</v>
      </c>
      <c r="M73" s="1">
        <v>0</v>
      </c>
      <c r="N73" s="1">
        <v>0</v>
      </c>
    </row>
    <row r="74" spans="1:14">
      <c r="A74" s="1" t="s">
        <v>132</v>
      </c>
      <c r="B74" s="1">
        <v>29</v>
      </c>
      <c r="C74" s="1"/>
      <c r="D74" s="1" t="s">
        <v>133</v>
      </c>
      <c r="E74" s="1">
        <v>0.16666666699999999</v>
      </c>
      <c r="F74" s="1">
        <v>0</v>
      </c>
      <c r="G74" s="1">
        <v>0</v>
      </c>
      <c r="H74" s="1">
        <v>1</v>
      </c>
      <c r="I74" s="1">
        <v>0</v>
      </c>
      <c r="J74" s="1">
        <v>0</v>
      </c>
      <c r="K74" s="1">
        <v>0</v>
      </c>
      <c r="L74" s="1">
        <v>0</v>
      </c>
      <c r="M74" s="1">
        <v>0</v>
      </c>
      <c r="N74" s="1">
        <v>0</v>
      </c>
    </row>
    <row r="75" spans="1:14">
      <c r="A75" s="1" t="s">
        <v>134</v>
      </c>
      <c r="B75" s="1">
        <v>33</v>
      </c>
      <c r="C75" s="1"/>
      <c r="D75" s="1" t="s">
        <v>135</v>
      </c>
      <c r="E75" s="1">
        <v>0.33333333300000001</v>
      </c>
      <c r="F75" s="1">
        <v>0</v>
      </c>
      <c r="G75" s="1">
        <v>0.5</v>
      </c>
      <c r="H75" s="1">
        <v>0</v>
      </c>
      <c r="I75" s="1">
        <v>0</v>
      </c>
      <c r="J75" s="1">
        <v>0</v>
      </c>
      <c r="K75" s="1">
        <v>0</v>
      </c>
      <c r="L75" s="1">
        <v>0</v>
      </c>
      <c r="M75" s="1">
        <v>0</v>
      </c>
      <c r="N75" s="1">
        <v>0</v>
      </c>
    </row>
    <row r="76" spans="1:14">
      <c r="A76" s="1" t="s">
        <v>136</v>
      </c>
      <c r="B76" s="1">
        <v>0</v>
      </c>
      <c r="C76" s="1"/>
      <c r="D76" s="1" t="s">
        <v>137</v>
      </c>
      <c r="E76" s="1">
        <v>0</v>
      </c>
      <c r="F76" s="1">
        <v>0</v>
      </c>
      <c r="G76" s="1">
        <v>0</v>
      </c>
      <c r="H76" s="1">
        <v>0</v>
      </c>
      <c r="I76" s="1">
        <v>0</v>
      </c>
      <c r="J76" s="1">
        <v>0</v>
      </c>
      <c r="K76" s="1">
        <v>0</v>
      </c>
      <c r="L76" s="1">
        <v>0</v>
      </c>
      <c r="M76" s="1">
        <v>0</v>
      </c>
      <c r="N76" s="1">
        <v>0</v>
      </c>
    </row>
    <row r="77" spans="1:14">
      <c r="A77" s="1" t="s">
        <v>138</v>
      </c>
      <c r="B77" s="1">
        <v>1</v>
      </c>
      <c r="C77" s="1"/>
      <c r="D77" s="1" t="s">
        <v>139</v>
      </c>
      <c r="E77" s="1">
        <v>0</v>
      </c>
      <c r="F77" s="1">
        <v>0</v>
      </c>
      <c r="G77" s="1">
        <v>0</v>
      </c>
      <c r="H77" s="1">
        <v>0</v>
      </c>
      <c r="I77" s="1">
        <v>0</v>
      </c>
      <c r="J77" s="1">
        <v>0</v>
      </c>
      <c r="K77" s="1">
        <v>0</v>
      </c>
      <c r="L77" s="1">
        <v>0</v>
      </c>
      <c r="M77" s="1">
        <v>0</v>
      </c>
      <c r="N77" s="1">
        <v>0</v>
      </c>
    </row>
    <row r="78" spans="1:14">
      <c r="A78" s="1" t="s">
        <v>140</v>
      </c>
      <c r="B78" s="1">
        <v>0</v>
      </c>
      <c r="C78" s="1"/>
      <c r="D78" s="1" t="s">
        <v>141</v>
      </c>
      <c r="E78" s="1">
        <v>0</v>
      </c>
      <c r="F78" s="1">
        <v>0</v>
      </c>
      <c r="G78" s="1">
        <v>0</v>
      </c>
      <c r="H78" s="1">
        <v>0</v>
      </c>
      <c r="I78" s="1">
        <v>0</v>
      </c>
      <c r="J78" s="1">
        <v>0</v>
      </c>
      <c r="K78" s="1">
        <v>0</v>
      </c>
      <c r="L78" s="1">
        <v>0</v>
      </c>
      <c r="M78" s="1">
        <v>0</v>
      </c>
      <c r="N78" s="1">
        <v>0</v>
      </c>
    </row>
    <row r="79" spans="1:14">
      <c r="A79" s="1" t="s">
        <v>142</v>
      </c>
      <c r="B79" s="1">
        <v>3</v>
      </c>
      <c r="C79" s="1"/>
      <c r="D79" s="1" t="s">
        <v>143</v>
      </c>
      <c r="E79" s="1">
        <v>0</v>
      </c>
      <c r="F79" s="1">
        <v>0</v>
      </c>
      <c r="G79" s="1">
        <v>0</v>
      </c>
      <c r="H79" s="1">
        <v>0</v>
      </c>
      <c r="I79" s="1">
        <v>0</v>
      </c>
      <c r="J79" s="1">
        <v>0</v>
      </c>
      <c r="K79" s="1">
        <v>0</v>
      </c>
      <c r="L79" s="1">
        <v>0</v>
      </c>
      <c r="M79" s="1">
        <v>0</v>
      </c>
      <c r="N79" s="1">
        <v>0</v>
      </c>
    </row>
    <row r="80" spans="1:14">
      <c r="A80" s="1" t="s">
        <v>144</v>
      </c>
      <c r="B80" s="1">
        <v>10</v>
      </c>
      <c r="C80" s="1"/>
      <c r="D80" s="1" t="s">
        <v>145</v>
      </c>
      <c r="E80" s="1">
        <v>0</v>
      </c>
      <c r="F80" s="1">
        <v>0</v>
      </c>
      <c r="G80" s="1">
        <v>0</v>
      </c>
      <c r="H80" s="1">
        <v>0</v>
      </c>
      <c r="I80" s="1">
        <v>0</v>
      </c>
      <c r="J80" s="1">
        <v>0</v>
      </c>
      <c r="K80" s="1">
        <v>0</v>
      </c>
      <c r="L80" s="1">
        <v>0</v>
      </c>
      <c r="M80" s="1">
        <v>0</v>
      </c>
      <c r="N80" s="1">
        <v>0</v>
      </c>
    </row>
    <row r="81" spans="1:14">
      <c r="A81" s="1" t="s">
        <v>146</v>
      </c>
      <c r="B81" s="1">
        <v>0</v>
      </c>
      <c r="C81" s="1"/>
      <c r="D81" s="1" t="s">
        <v>147</v>
      </c>
      <c r="E81" s="1">
        <v>0</v>
      </c>
      <c r="F81" s="1">
        <v>0</v>
      </c>
      <c r="G81" s="1">
        <v>0</v>
      </c>
      <c r="H81" s="1">
        <v>0</v>
      </c>
      <c r="I81" s="1">
        <v>0</v>
      </c>
      <c r="J81" s="1">
        <v>0</v>
      </c>
      <c r="K81" s="1">
        <v>0</v>
      </c>
      <c r="L81" s="1">
        <v>0</v>
      </c>
      <c r="M81" s="1">
        <v>0</v>
      </c>
      <c r="N81" s="1">
        <v>0</v>
      </c>
    </row>
    <row r="82" spans="1:14">
      <c r="A82" s="1" t="s">
        <v>148</v>
      </c>
      <c r="B82" s="1">
        <v>0</v>
      </c>
      <c r="C82" s="1"/>
      <c r="D82" s="1" t="s">
        <v>149</v>
      </c>
      <c r="E82" s="1">
        <v>0</v>
      </c>
      <c r="F82" s="1">
        <v>0</v>
      </c>
      <c r="G82" s="1">
        <v>0</v>
      </c>
      <c r="H82" s="1">
        <v>0</v>
      </c>
      <c r="I82" s="1">
        <v>0</v>
      </c>
      <c r="J82" s="1">
        <v>0</v>
      </c>
      <c r="K82" s="1">
        <v>0</v>
      </c>
      <c r="L82" s="1">
        <v>0</v>
      </c>
      <c r="M82" s="1">
        <v>0</v>
      </c>
      <c r="N82" s="1">
        <v>0</v>
      </c>
    </row>
    <row r="83" spans="1:14">
      <c r="A83" s="1" t="s">
        <v>150</v>
      </c>
      <c r="B83" s="1">
        <v>17</v>
      </c>
      <c r="C83" s="1"/>
      <c r="D83" s="1" t="s">
        <v>151</v>
      </c>
      <c r="E83" s="1">
        <v>0</v>
      </c>
      <c r="F83" s="1">
        <v>0</v>
      </c>
      <c r="G83" s="1">
        <v>0</v>
      </c>
      <c r="H83" s="1">
        <v>0</v>
      </c>
      <c r="I83" s="1">
        <v>0</v>
      </c>
      <c r="J83" s="1">
        <v>0</v>
      </c>
      <c r="K83" s="1">
        <v>0</v>
      </c>
      <c r="L83" s="1">
        <v>0</v>
      </c>
      <c r="M83" s="1">
        <v>0</v>
      </c>
      <c r="N83" s="1">
        <v>0</v>
      </c>
    </row>
    <row r="84" spans="1:14">
      <c r="A84" s="1" t="s">
        <v>152</v>
      </c>
      <c r="B84" s="1">
        <v>19</v>
      </c>
      <c r="C84" s="1"/>
      <c r="D84" s="1" t="s">
        <v>153</v>
      </c>
      <c r="E84" s="1">
        <v>0</v>
      </c>
      <c r="F84" s="1">
        <v>0</v>
      </c>
      <c r="G84" s="1">
        <v>0</v>
      </c>
      <c r="H84" s="1">
        <v>0</v>
      </c>
      <c r="I84" s="1">
        <v>0</v>
      </c>
      <c r="J84" s="1">
        <v>0</v>
      </c>
      <c r="K84" s="1">
        <v>0</v>
      </c>
      <c r="L84" s="1">
        <v>0</v>
      </c>
      <c r="M84" s="1">
        <v>0</v>
      </c>
      <c r="N84" s="1">
        <v>0</v>
      </c>
    </row>
    <row r="85" spans="1:14">
      <c r="A85" s="1" t="s">
        <v>154</v>
      </c>
      <c r="B85" s="1">
        <v>6</v>
      </c>
      <c r="C85" s="1"/>
      <c r="D85" s="1" t="s">
        <v>155</v>
      </c>
      <c r="E85" s="1">
        <v>0</v>
      </c>
      <c r="F85" s="1">
        <v>0</v>
      </c>
      <c r="G85" s="1">
        <v>0</v>
      </c>
      <c r="H85" s="1">
        <v>0</v>
      </c>
      <c r="I85" s="1">
        <v>0</v>
      </c>
      <c r="J85" s="1">
        <v>0</v>
      </c>
      <c r="K85" s="1">
        <v>0</v>
      </c>
      <c r="L85" s="1">
        <v>0</v>
      </c>
      <c r="M85" s="1">
        <v>0</v>
      </c>
      <c r="N85" s="1">
        <v>0</v>
      </c>
    </row>
    <row r="86" spans="1:14">
      <c r="A86" s="1" t="s">
        <v>156</v>
      </c>
      <c r="B86" s="1">
        <v>1</v>
      </c>
      <c r="C86" s="1"/>
      <c r="D86" s="1" t="s">
        <v>157</v>
      </c>
      <c r="E86" s="1">
        <v>0</v>
      </c>
      <c r="F86" s="1">
        <v>0</v>
      </c>
      <c r="G86" s="1">
        <v>0</v>
      </c>
      <c r="H86" s="1">
        <v>0</v>
      </c>
      <c r="I86" s="1">
        <v>0</v>
      </c>
      <c r="J86" s="1">
        <v>0</v>
      </c>
      <c r="K86" s="1">
        <v>0</v>
      </c>
      <c r="L86" s="1">
        <v>0</v>
      </c>
      <c r="M86" s="1">
        <v>0</v>
      </c>
      <c r="N86" s="1">
        <v>0</v>
      </c>
    </row>
    <row r="87" spans="1:14">
      <c r="A87" s="1" t="s">
        <v>158</v>
      </c>
      <c r="B87" s="1">
        <v>1</v>
      </c>
      <c r="C87" s="1"/>
      <c r="D87" s="1" t="s">
        <v>159</v>
      </c>
      <c r="E87" s="1">
        <v>0</v>
      </c>
      <c r="F87" s="1">
        <v>0</v>
      </c>
      <c r="G87" s="1">
        <v>0</v>
      </c>
      <c r="H87" s="1">
        <v>0</v>
      </c>
      <c r="I87" s="1">
        <v>0</v>
      </c>
      <c r="J87" s="1">
        <v>0</v>
      </c>
      <c r="K87" s="1">
        <v>0</v>
      </c>
      <c r="L87" s="1">
        <v>0</v>
      </c>
      <c r="M87" s="1">
        <v>0</v>
      </c>
      <c r="N87" s="1">
        <v>0</v>
      </c>
    </row>
    <row r="88" spans="1:14">
      <c r="A88" s="1" t="s">
        <v>160</v>
      </c>
      <c r="B88" s="1">
        <v>23</v>
      </c>
      <c r="C88" s="1"/>
      <c r="D88" s="1" t="s">
        <v>161</v>
      </c>
      <c r="E88" s="1">
        <v>0.33333333300000001</v>
      </c>
      <c r="F88" s="1">
        <v>0.5</v>
      </c>
      <c r="G88" s="1">
        <v>0</v>
      </c>
      <c r="H88" s="1">
        <v>1</v>
      </c>
      <c r="I88" s="1">
        <v>1</v>
      </c>
      <c r="J88" s="1">
        <v>0</v>
      </c>
      <c r="K88" s="1">
        <v>0</v>
      </c>
      <c r="L88" s="1">
        <v>0</v>
      </c>
      <c r="M88" s="1">
        <v>0</v>
      </c>
      <c r="N88" s="1">
        <v>0</v>
      </c>
    </row>
    <row r="89" spans="1:14">
      <c r="A89" s="1" t="s">
        <v>162</v>
      </c>
      <c r="B89" s="1">
        <v>1</v>
      </c>
      <c r="C89" s="1"/>
      <c r="D89" s="1" t="s">
        <v>163</v>
      </c>
      <c r="E89" s="1">
        <v>0</v>
      </c>
      <c r="F89" s="1">
        <v>0</v>
      </c>
      <c r="G89" s="1">
        <v>0</v>
      </c>
      <c r="H89" s="1">
        <v>0</v>
      </c>
      <c r="I89" s="1">
        <v>0</v>
      </c>
      <c r="J89" s="1">
        <v>0</v>
      </c>
      <c r="K89" s="1">
        <v>0</v>
      </c>
      <c r="L89" s="1">
        <v>0</v>
      </c>
      <c r="M89" s="1">
        <v>0</v>
      </c>
      <c r="N89" s="1">
        <v>0</v>
      </c>
    </row>
    <row r="90" spans="1:14">
      <c r="A90" s="1" t="s">
        <v>164</v>
      </c>
      <c r="B90" s="1">
        <v>6</v>
      </c>
      <c r="C90" s="1"/>
      <c r="D90" s="1" t="s">
        <v>165</v>
      </c>
      <c r="E90" s="1">
        <v>0.2</v>
      </c>
      <c r="F90" s="1">
        <v>0.6</v>
      </c>
      <c r="G90" s="1">
        <v>0</v>
      </c>
      <c r="H90" s="1">
        <v>0</v>
      </c>
      <c r="I90" s="1">
        <v>1</v>
      </c>
      <c r="J90" s="1">
        <v>0</v>
      </c>
      <c r="K90" s="1">
        <v>0</v>
      </c>
      <c r="L90" s="1">
        <v>0</v>
      </c>
      <c r="M90" s="1">
        <v>0</v>
      </c>
      <c r="N90" s="1">
        <v>0</v>
      </c>
    </row>
    <row r="91" spans="1:14">
      <c r="A91" s="1" t="s">
        <v>166</v>
      </c>
      <c r="B91" s="1">
        <v>1</v>
      </c>
      <c r="C91" s="1"/>
      <c r="D91" s="1" t="s">
        <v>167</v>
      </c>
      <c r="E91" s="1">
        <v>0</v>
      </c>
      <c r="F91" s="1">
        <v>0</v>
      </c>
      <c r="G91" s="1">
        <v>0</v>
      </c>
      <c r="H91" s="1">
        <v>0</v>
      </c>
      <c r="I91" s="1">
        <v>0</v>
      </c>
      <c r="J91" s="1">
        <v>0</v>
      </c>
      <c r="K91" s="1">
        <v>0</v>
      </c>
      <c r="L91" s="1">
        <v>0</v>
      </c>
      <c r="M91" s="1">
        <v>0</v>
      </c>
      <c r="N91" s="1">
        <v>0</v>
      </c>
    </row>
    <row r="92" spans="1:14">
      <c r="A92" s="1" t="s">
        <v>168</v>
      </c>
      <c r="B92" s="1">
        <v>1</v>
      </c>
      <c r="C92" s="1"/>
      <c r="D92" s="1" t="s">
        <v>169</v>
      </c>
      <c r="E92" s="1">
        <v>0</v>
      </c>
      <c r="F92" s="1">
        <v>0</v>
      </c>
      <c r="G92" s="1">
        <v>0</v>
      </c>
      <c r="H92" s="1">
        <v>0</v>
      </c>
      <c r="I92" s="1">
        <v>0</v>
      </c>
      <c r="J92" s="1">
        <v>0</v>
      </c>
      <c r="K92" s="1">
        <v>0</v>
      </c>
      <c r="L92" s="1">
        <v>0</v>
      </c>
      <c r="M92" s="1">
        <v>0</v>
      </c>
      <c r="N92" s="1">
        <v>0</v>
      </c>
    </row>
    <row r="93" spans="1:14">
      <c r="A93" s="1" t="s">
        <v>170</v>
      </c>
      <c r="B93" s="1">
        <v>1</v>
      </c>
      <c r="C93" s="1"/>
      <c r="D93" s="1" t="s">
        <v>171</v>
      </c>
      <c r="E93" s="1">
        <v>0.33333333300000001</v>
      </c>
      <c r="F93" s="1">
        <v>1</v>
      </c>
      <c r="G93" s="1">
        <v>0</v>
      </c>
      <c r="H93" s="1">
        <v>0</v>
      </c>
      <c r="I93" s="1">
        <v>1</v>
      </c>
      <c r="J93" s="1">
        <v>0</v>
      </c>
      <c r="K93" s="1">
        <v>0</v>
      </c>
      <c r="L93" s="1">
        <v>0</v>
      </c>
      <c r="M93" s="1">
        <v>0</v>
      </c>
      <c r="N93" s="1">
        <v>0</v>
      </c>
    </row>
    <row r="94" spans="1:14">
      <c r="A94" s="1" t="s">
        <v>172</v>
      </c>
      <c r="B94" s="1">
        <v>1</v>
      </c>
      <c r="C94" s="1"/>
      <c r="D94" s="1" t="s">
        <v>173</v>
      </c>
      <c r="E94" s="1">
        <v>0</v>
      </c>
      <c r="F94" s="1">
        <v>0</v>
      </c>
      <c r="G94" s="1">
        <v>0</v>
      </c>
      <c r="H94" s="1">
        <v>0</v>
      </c>
      <c r="I94" s="1">
        <v>0</v>
      </c>
      <c r="J94" s="1">
        <v>0</v>
      </c>
      <c r="K94" s="1">
        <v>0</v>
      </c>
      <c r="L94" s="1">
        <v>0</v>
      </c>
      <c r="M94" s="1">
        <v>0</v>
      </c>
      <c r="N94" s="1">
        <v>0</v>
      </c>
    </row>
    <row r="95" spans="1:14">
      <c r="A95" s="1" t="s">
        <v>174</v>
      </c>
      <c r="B95" s="1">
        <v>0</v>
      </c>
      <c r="C95" s="1"/>
      <c r="D95" s="1" t="s">
        <v>175</v>
      </c>
      <c r="E95" s="1">
        <v>0</v>
      </c>
      <c r="F95" s="1">
        <v>0</v>
      </c>
      <c r="G95" s="1">
        <v>0</v>
      </c>
      <c r="H95" s="1">
        <v>0</v>
      </c>
      <c r="I95" s="1">
        <v>0</v>
      </c>
      <c r="J95" s="1">
        <v>0</v>
      </c>
      <c r="K95" s="1">
        <v>0</v>
      </c>
      <c r="L95" s="1">
        <v>0</v>
      </c>
      <c r="M95" s="1">
        <v>0</v>
      </c>
      <c r="N95" s="1">
        <v>0</v>
      </c>
    </row>
    <row r="96" spans="1:14">
      <c r="A96" s="1" t="s">
        <v>176</v>
      </c>
      <c r="B96" s="1">
        <v>1</v>
      </c>
      <c r="C96" s="1"/>
      <c r="D96" s="1" t="s">
        <v>177</v>
      </c>
      <c r="E96" s="1">
        <v>0</v>
      </c>
      <c r="F96" s="1">
        <v>0</v>
      </c>
      <c r="G96" s="1">
        <v>0</v>
      </c>
      <c r="H96" s="1">
        <v>0</v>
      </c>
      <c r="I96" s="1">
        <v>0</v>
      </c>
      <c r="J96" s="1">
        <v>0</v>
      </c>
      <c r="K96" s="1">
        <v>0</v>
      </c>
      <c r="L96" s="1">
        <v>0</v>
      </c>
      <c r="M96" s="1">
        <v>0</v>
      </c>
      <c r="N96" s="1">
        <v>0</v>
      </c>
    </row>
    <row r="97" spans="1:14">
      <c r="A97" s="1" t="s">
        <v>178</v>
      </c>
      <c r="B97" s="1">
        <v>1</v>
      </c>
      <c r="C97" s="1"/>
      <c r="D97" s="1" t="s">
        <v>179</v>
      </c>
      <c r="E97" s="1">
        <v>0</v>
      </c>
      <c r="F97" s="1">
        <v>0</v>
      </c>
      <c r="G97" s="1">
        <v>0</v>
      </c>
      <c r="H97" s="1">
        <v>0</v>
      </c>
      <c r="I97" s="1">
        <v>0</v>
      </c>
      <c r="J97" s="1">
        <v>0</v>
      </c>
      <c r="K97" s="1">
        <v>0</v>
      </c>
      <c r="L97" s="1">
        <v>0</v>
      </c>
      <c r="M97" s="1">
        <v>0</v>
      </c>
      <c r="N97" s="1">
        <v>0</v>
      </c>
    </row>
    <row r="98" spans="1:14">
      <c r="A98" s="1" t="s">
        <v>180</v>
      </c>
      <c r="B98" s="1">
        <v>1</v>
      </c>
      <c r="C98" s="1"/>
      <c r="D98" s="1" t="s">
        <v>181</v>
      </c>
      <c r="E98" s="1">
        <v>0</v>
      </c>
      <c r="F98" s="1">
        <v>0</v>
      </c>
      <c r="G98" s="1">
        <v>0</v>
      </c>
      <c r="H98" s="1">
        <v>0</v>
      </c>
      <c r="I98" s="1">
        <v>0</v>
      </c>
      <c r="J98" s="1">
        <v>0</v>
      </c>
      <c r="K98" s="1">
        <v>0</v>
      </c>
      <c r="L98" s="1">
        <v>0</v>
      </c>
      <c r="M98" s="1">
        <v>0</v>
      </c>
      <c r="N98" s="1">
        <v>0</v>
      </c>
    </row>
    <row r="99" spans="1:14">
      <c r="A99" s="1" t="s">
        <v>182</v>
      </c>
      <c r="B99" s="1">
        <v>1</v>
      </c>
      <c r="C99" s="1"/>
      <c r="D99" s="1" t="s">
        <v>183</v>
      </c>
      <c r="E99" s="1">
        <v>0</v>
      </c>
      <c r="F99" s="1">
        <v>0</v>
      </c>
      <c r="G99" s="1">
        <v>0</v>
      </c>
      <c r="H99" s="1">
        <v>0</v>
      </c>
      <c r="I99" s="1">
        <v>0</v>
      </c>
      <c r="J99" s="1">
        <v>0</v>
      </c>
      <c r="K99" s="1">
        <v>0</v>
      </c>
      <c r="L99" s="1">
        <v>0</v>
      </c>
      <c r="M99" s="1">
        <v>0</v>
      </c>
      <c r="N99" s="1">
        <v>0</v>
      </c>
    </row>
    <row r="100" spans="1:14">
      <c r="A100" s="1" t="s">
        <v>184</v>
      </c>
      <c r="B100" s="1">
        <v>1</v>
      </c>
      <c r="C100" s="1"/>
      <c r="D100" s="1" t="s">
        <v>185</v>
      </c>
      <c r="E100" s="1">
        <v>0</v>
      </c>
      <c r="F100" s="1">
        <v>0</v>
      </c>
      <c r="G100" s="1">
        <v>0</v>
      </c>
      <c r="H100" s="1">
        <v>0</v>
      </c>
      <c r="I100" s="1">
        <v>0</v>
      </c>
      <c r="J100" s="1">
        <v>0</v>
      </c>
      <c r="K100" s="1">
        <v>0</v>
      </c>
      <c r="L100" s="1">
        <v>0</v>
      </c>
      <c r="M100" s="1">
        <v>0</v>
      </c>
      <c r="N100" s="1">
        <v>0</v>
      </c>
    </row>
    <row r="101" spans="1:14">
      <c r="A101" s="1" t="s">
        <v>186</v>
      </c>
      <c r="B101" s="1">
        <v>1</v>
      </c>
      <c r="C101" s="1"/>
      <c r="D101" s="1" t="s">
        <v>187</v>
      </c>
      <c r="E101" s="1">
        <v>0.2</v>
      </c>
      <c r="F101" s="1">
        <v>0</v>
      </c>
      <c r="G101" s="1">
        <v>0</v>
      </c>
      <c r="H101" s="1">
        <v>0.5</v>
      </c>
      <c r="I101" s="1">
        <v>0</v>
      </c>
      <c r="J101" s="1">
        <v>0</v>
      </c>
      <c r="K101" s="1">
        <v>0</v>
      </c>
      <c r="L101" s="1">
        <v>0</v>
      </c>
      <c r="M101" s="1">
        <v>0</v>
      </c>
      <c r="N101" s="1">
        <v>0</v>
      </c>
    </row>
    <row r="102" spans="1:14">
      <c r="A102" s="1" t="s">
        <v>188</v>
      </c>
      <c r="B102" s="1">
        <v>1</v>
      </c>
      <c r="C102" s="1"/>
      <c r="D102" s="1" t="s">
        <v>189</v>
      </c>
      <c r="E102" s="1">
        <v>0</v>
      </c>
      <c r="F102" s="1">
        <v>0</v>
      </c>
      <c r="G102" s="1">
        <v>0</v>
      </c>
      <c r="H102" s="1">
        <v>0</v>
      </c>
      <c r="I102" s="1">
        <v>0</v>
      </c>
      <c r="J102" s="1">
        <v>0</v>
      </c>
      <c r="K102" s="1">
        <v>0</v>
      </c>
      <c r="L102" s="1">
        <v>0</v>
      </c>
      <c r="M102" s="1">
        <v>0</v>
      </c>
      <c r="N102" s="1">
        <v>0</v>
      </c>
    </row>
    <row r="103" spans="1:14">
      <c r="A103" s="1" t="s">
        <v>190</v>
      </c>
      <c r="B103" s="1">
        <v>5</v>
      </c>
      <c r="C103" s="1"/>
      <c r="D103" s="1" t="s">
        <v>191</v>
      </c>
      <c r="E103" s="1">
        <v>0</v>
      </c>
      <c r="F103" s="1">
        <v>0</v>
      </c>
      <c r="G103" s="1">
        <v>0</v>
      </c>
      <c r="H103" s="1">
        <v>0</v>
      </c>
      <c r="I103" s="1">
        <v>0</v>
      </c>
      <c r="J103" s="1">
        <v>0</v>
      </c>
      <c r="K103" s="1">
        <v>0</v>
      </c>
      <c r="L103" s="1">
        <v>0</v>
      </c>
      <c r="M103" s="1">
        <v>0</v>
      </c>
      <c r="N103" s="1">
        <v>0</v>
      </c>
    </row>
    <row r="104" spans="1:14">
      <c r="A104" s="1" t="s">
        <v>192</v>
      </c>
      <c r="B104" s="1">
        <v>1</v>
      </c>
      <c r="C104" s="1"/>
      <c r="D104" s="1" t="s">
        <v>193</v>
      </c>
      <c r="E104" s="1">
        <v>0</v>
      </c>
      <c r="F104" s="1">
        <v>0</v>
      </c>
      <c r="G104" s="1">
        <v>0</v>
      </c>
      <c r="H104" s="1">
        <v>0</v>
      </c>
      <c r="I104" s="1">
        <v>0</v>
      </c>
      <c r="J104" s="1">
        <v>0</v>
      </c>
      <c r="K104" s="1">
        <v>0</v>
      </c>
      <c r="L104" s="1">
        <v>0</v>
      </c>
      <c r="M104" s="1">
        <v>0</v>
      </c>
      <c r="N104" s="1">
        <v>0</v>
      </c>
    </row>
    <row r="105" spans="1:14">
      <c r="A105" s="1" t="s">
        <v>194</v>
      </c>
      <c r="B105" s="1">
        <v>0</v>
      </c>
      <c r="C105" s="1"/>
      <c r="D105" s="1" t="s">
        <v>195</v>
      </c>
      <c r="E105" s="1">
        <v>0</v>
      </c>
      <c r="F105" s="1">
        <v>0</v>
      </c>
      <c r="G105" s="1">
        <v>0</v>
      </c>
      <c r="H105" s="1">
        <v>0</v>
      </c>
      <c r="I105" s="1">
        <v>0</v>
      </c>
      <c r="J105" s="1">
        <v>0</v>
      </c>
      <c r="K105" s="1">
        <v>0</v>
      </c>
      <c r="L105" s="1">
        <v>0</v>
      </c>
      <c r="M105" s="1">
        <v>0</v>
      </c>
      <c r="N105" s="1">
        <v>0</v>
      </c>
    </row>
    <row r="106" spans="1:14">
      <c r="A106" s="1" t="s">
        <v>196</v>
      </c>
      <c r="B106" s="1">
        <v>1</v>
      </c>
      <c r="C106" s="1"/>
      <c r="D106" s="1" t="s">
        <v>197</v>
      </c>
      <c r="E106" s="1">
        <v>0</v>
      </c>
      <c r="F106" s="1">
        <v>0</v>
      </c>
      <c r="G106" s="1">
        <v>0</v>
      </c>
      <c r="H106" s="1">
        <v>0</v>
      </c>
      <c r="I106" s="1">
        <v>0</v>
      </c>
      <c r="J106" s="1">
        <v>0</v>
      </c>
      <c r="K106" s="1">
        <v>0</v>
      </c>
      <c r="L106" s="1">
        <v>0</v>
      </c>
      <c r="M106" s="1">
        <v>0</v>
      </c>
      <c r="N106" s="1">
        <v>0</v>
      </c>
    </row>
    <row r="107" spans="1:14">
      <c r="A107" s="1" t="s">
        <v>198</v>
      </c>
      <c r="B107" s="1">
        <v>17</v>
      </c>
      <c r="C107" s="1"/>
      <c r="D107" s="1" t="s">
        <v>199</v>
      </c>
      <c r="E107" s="1">
        <v>0</v>
      </c>
      <c r="F107" s="1">
        <v>0</v>
      </c>
      <c r="G107" s="1">
        <v>0</v>
      </c>
      <c r="H107" s="1">
        <v>0</v>
      </c>
      <c r="I107" s="1">
        <v>0</v>
      </c>
      <c r="J107" s="1">
        <v>0</v>
      </c>
      <c r="K107" s="1">
        <v>0</v>
      </c>
      <c r="L107" s="1">
        <v>0</v>
      </c>
      <c r="M107" s="1">
        <v>0</v>
      </c>
      <c r="N107" s="1">
        <v>0</v>
      </c>
    </row>
    <row r="108" spans="1:14">
      <c r="A108" s="1" t="s">
        <v>200</v>
      </c>
      <c r="B108" s="1">
        <v>1</v>
      </c>
      <c r="C108" s="1"/>
      <c r="D108" s="1" t="s">
        <v>201</v>
      </c>
      <c r="E108" s="1">
        <v>0</v>
      </c>
      <c r="F108" s="1">
        <v>0</v>
      </c>
      <c r="G108" s="1">
        <v>0</v>
      </c>
      <c r="H108" s="1">
        <v>0</v>
      </c>
      <c r="I108" s="1">
        <v>0</v>
      </c>
      <c r="J108" s="1">
        <v>0</v>
      </c>
      <c r="K108" s="1">
        <v>0</v>
      </c>
      <c r="L108" s="1">
        <v>0</v>
      </c>
      <c r="M108" s="1">
        <v>0</v>
      </c>
      <c r="N108" s="1">
        <v>0</v>
      </c>
    </row>
    <row r="109" spans="1:14">
      <c r="A109" s="1" t="s">
        <v>202</v>
      </c>
      <c r="B109" s="1">
        <v>1</v>
      </c>
      <c r="C109" s="1"/>
      <c r="D109" s="1" t="s">
        <v>203</v>
      </c>
      <c r="E109" s="1">
        <v>0</v>
      </c>
      <c r="F109" s="1">
        <v>0</v>
      </c>
      <c r="G109" s="1">
        <v>0</v>
      </c>
      <c r="H109" s="1">
        <v>0</v>
      </c>
      <c r="I109" s="1">
        <v>0</v>
      </c>
      <c r="J109" s="1">
        <v>0</v>
      </c>
      <c r="K109" s="1">
        <v>0</v>
      </c>
      <c r="L109" s="1">
        <v>0</v>
      </c>
      <c r="M109" s="1">
        <v>0</v>
      </c>
      <c r="N109" s="1">
        <v>0</v>
      </c>
    </row>
    <row r="110" spans="1:14">
      <c r="A110" s="1" t="s">
        <v>204</v>
      </c>
      <c r="B110" s="1">
        <v>1</v>
      </c>
      <c r="C110" s="1"/>
      <c r="D110" s="1" t="s">
        <v>205</v>
      </c>
      <c r="E110" s="1">
        <v>0</v>
      </c>
      <c r="F110" s="1">
        <v>0</v>
      </c>
      <c r="G110" s="1">
        <v>0</v>
      </c>
      <c r="H110" s="1">
        <v>0</v>
      </c>
      <c r="I110" s="1">
        <v>0</v>
      </c>
      <c r="J110" s="1">
        <v>0</v>
      </c>
      <c r="K110" s="1">
        <v>0</v>
      </c>
      <c r="L110" s="1">
        <v>0</v>
      </c>
      <c r="M110" s="1">
        <v>0</v>
      </c>
      <c r="N110" s="1">
        <v>0</v>
      </c>
    </row>
    <row r="111" spans="1:14">
      <c r="A111" s="1" t="s">
        <v>206</v>
      </c>
      <c r="B111" s="1">
        <v>1</v>
      </c>
      <c r="C111" s="1"/>
      <c r="D111" s="1" t="s">
        <v>207</v>
      </c>
      <c r="E111" s="1">
        <v>0</v>
      </c>
      <c r="F111" s="1">
        <v>0</v>
      </c>
      <c r="G111" s="1">
        <v>0</v>
      </c>
      <c r="H111" s="1">
        <v>0</v>
      </c>
      <c r="I111" s="1">
        <v>0</v>
      </c>
      <c r="J111" s="1">
        <v>0</v>
      </c>
      <c r="K111" s="1">
        <v>0</v>
      </c>
      <c r="L111" s="1">
        <v>0</v>
      </c>
      <c r="M111" s="1">
        <v>0</v>
      </c>
      <c r="N111" s="1">
        <v>0</v>
      </c>
    </row>
    <row r="112" spans="1:14">
      <c r="A112" s="1" t="s">
        <v>208</v>
      </c>
      <c r="B112" s="1">
        <v>1</v>
      </c>
      <c r="C112" s="1"/>
      <c r="D112" s="1" t="s">
        <v>209</v>
      </c>
      <c r="E112" s="1">
        <v>0</v>
      </c>
      <c r="F112" s="1">
        <v>0</v>
      </c>
      <c r="G112" s="1">
        <v>0</v>
      </c>
      <c r="H112" s="1">
        <v>0</v>
      </c>
      <c r="I112" s="1">
        <v>0</v>
      </c>
      <c r="J112" s="1">
        <v>0</v>
      </c>
      <c r="K112" s="1">
        <v>0</v>
      </c>
      <c r="L112" s="1">
        <v>0</v>
      </c>
      <c r="M112" s="1">
        <v>0</v>
      </c>
      <c r="N112" s="1">
        <v>0</v>
      </c>
    </row>
    <row r="113" spans="1:14">
      <c r="A113" s="1" t="s">
        <v>210</v>
      </c>
      <c r="B113" s="1">
        <v>1</v>
      </c>
      <c r="C113" s="1"/>
      <c r="D113" s="1" t="s">
        <v>211</v>
      </c>
      <c r="E113" s="1">
        <v>0</v>
      </c>
      <c r="F113" s="1">
        <v>0</v>
      </c>
      <c r="G113" s="1">
        <v>0</v>
      </c>
      <c r="H113" s="1">
        <v>0</v>
      </c>
      <c r="I113" s="1">
        <v>0</v>
      </c>
      <c r="J113" s="1">
        <v>0</v>
      </c>
      <c r="K113" s="1">
        <v>0</v>
      </c>
      <c r="L113" s="1">
        <v>0</v>
      </c>
      <c r="M113" s="1">
        <v>0</v>
      </c>
      <c r="N113" s="1">
        <v>0</v>
      </c>
    </row>
    <row r="114" spans="1:14">
      <c r="A114" s="1" t="s">
        <v>212</v>
      </c>
      <c r="B114" s="1">
        <v>1</v>
      </c>
      <c r="C114" s="1"/>
      <c r="D114" s="1" t="s">
        <v>213</v>
      </c>
      <c r="E114" s="1">
        <v>0</v>
      </c>
      <c r="F114" s="1">
        <v>0</v>
      </c>
      <c r="G114" s="1">
        <v>0</v>
      </c>
      <c r="H114" s="1">
        <v>0</v>
      </c>
      <c r="I114" s="1">
        <v>0</v>
      </c>
      <c r="J114" s="1">
        <v>0</v>
      </c>
      <c r="K114" s="1">
        <v>0</v>
      </c>
      <c r="L114" s="1">
        <v>0</v>
      </c>
      <c r="M114" s="1">
        <v>0</v>
      </c>
      <c r="N114" s="1">
        <v>0</v>
      </c>
    </row>
    <row r="115" spans="1:14">
      <c r="A115" s="1" t="s">
        <v>214</v>
      </c>
      <c r="B115" s="1">
        <v>1</v>
      </c>
      <c r="C115" s="1"/>
      <c r="D115" s="1" t="s">
        <v>215</v>
      </c>
      <c r="E115" s="1">
        <v>0</v>
      </c>
      <c r="F115" s="1">
        <v>0</v>
      </c>
      <c r="G115" s="1">
        <v>0</v>
      </c>
      <c r="H115" s="1">
        <v>0</v>
      </c>
      <c r="I115" s="1">
        <v>0</v>
      </c>
      <c r="J115" s="1">
        <v>0</v>
      </c>
      <c r="K115" s="1">
        <v>0</v>
      </c>
      <c r="L115" s="1">
        <v>0</v>
      </c>
      <c r="M115" s="1">
        <v>0</v>
      </c>
      <c r="N115" s="1">
        <v>0</v>
      </c>
    </row>
    <row r="116" spans="1:14">
      <c r="A116" s="1" t="s">
        <v>216</v>
      </c>
      <c r="B116" s="1">
        <v>1</v>
      </c>
      <c r="C116" s="1"/>
      <c r="D116" s="1" t="s">
        <v>217</v>
      </c>
      <c r="E116" s="1">
        <v>0.16666666699999999</v>
      </c>
      <c r="F116" s="1">
        <v>0</v>
      </c>
      <c r="G116" s="1">
        <v>0</v>
      </c>
      <c r="H116" s="1">
        <v>0.5</v>
      </c>
      <c r="I116" s="1">
        <v>0</v>
      </c>
      <c r="J116" s="1">
        <v>0</v>
      </c>
      <c r="K116" s="1">
        <v>0</v>
      </c>
      <c r="L116" s="1">
        <v>0</v>
      </c>
      <c r="M116" s="1">
        <v>0</v>
      </c>
      <c r="N116" s="1">
        <v>0</v>
      </c>
    </row>
    <row r="117" spans="1:14">
      <c r="A117" s="1" t="s">
        <v>218</v>
      </c>
      <c r="B117" s="1">
        <v>1</v>
      </c>
      <c r="C117" s="1"/>
      <c r="D117" s="1" t="s">
        <v>219</v>
      </c>
      <c r="E117" s="1">
        <v>0</v>
      </c>
      <c r="F117" s="1">
        <v>0</v>
      </c>
      <c r="G117" s="1">
        <v>0</v>
      </c>
      <c r="H117" s="1">
        <v>0</v>
      </c>
      <c r="I117" s="1">
        <v>0</v>
      </c>
      <c r="J117" s="1">
        <v>0</v>
      </c>
      <c r="K117" s="1">
        <v>0</v>
      </c>
      <c r="L117" s="1">
        <v>0</v>
      </c>
      <c r="M117" s="1">
        <v>0</v>
      </c>
      <c r="N117" s="1">
        <v>0</v>
      </c>
    </row>
    <row r="118" spans="1:14">
      <c r="A118" s="1" t="s">
        <v>220</v>
      </c>
      <c r="B118" s="1">
        <v>1</v>
      </c>
      <c r="C118" s="1"/>
      <c r="D118" s="1" t="s">
        <v>221</v>
      </c>
      <c r="E118" s="1">
        <v>0</v>
      </c>
      <c r="F118" s="1">
        <v>0</v>
      </c>
      <c r="G118" s="1">
        <v>0</v>
      </c>
      <c r="H118" s="1">
        <v>0</v>
      </c>
      <c r="I118" s="1">
        <v>0</v>
      </c>
      <c r="J118" s="1">
        <v>0</v>
      </c>
      <c r="K118" s="1">
        <v>0</v>
      </c>
      <c r="L118" s="1">
        <v>0</v>
      </c>
      <c r="M118" s="1">
        <v>0</v>
      </c>
      <c r="N118" s="1">
        <v>0</v>
      </c>
    </row>
    <row r="119" spans="1:14">
      <c r="A119" s="1" t="s">
        <v>222</v>
      </c>
      <c r="B119" s="1">
        <v>1</v>
      </c>
      <c r="C119" s="1"/>
      <c r="D119" s="1" t="s">
        <v>223</v>
      </c>
      <c r="E119" s="1">
        <v>0</v>
      </c>
      <c r="F119" s="1">
        <v>0</v>
      </c>
      <c r="G119" s="1">
        <v>0</v>
      </c>
      <c r="H119" s="1">
        <v>0</v>
      </c>
      <c r="I119" s="1">
        <v>0</v>
      </c>
      <c r="J119" s="1">
        <v>0</v>
      </c>
      <c r="K119" s="1">
        <v>0</v>
      </c>
      <c r="L119" s="1">
        <v>0</v>
      </c>
      <c r="M119" s="1">
        <v>0</v>
      </c>
      <c r="N119" s="1">
        <v>0</v>
      </c>
    </row>
    <row r="120" spans="1:14">
      <c r="A120" s="1" t="s">
        <v>224</v>
      </c>
      <c r="B120" s="1">
        <v>1</v>
      </c>
      <c r="C120" s="1"/>
      <c r="D120" s="1" t="s">
        <v>225</v>
      </c>
      <c r="E120" s="1">
        <v>0</v>
      </c>
      <c r="F120" s="1">
        <v>0</v>
      </c>
      <c r="G120" s="1">
        <v>0</v>
      </c>
      <c r="H120" s="1">
        <v>0</v>
      </c>
      <c r="I120" s="1">
        <v>0</v>
      </c>
      <c r="J120" s="1">
        <v>0</v>
      </c>
      <c r="K120" s="1">
        <v>0</v>
      </c>
      <c r="L120" s="1">
        <v>0</v>
      </c>
      <c r="M120" s="1">
        <v>0</v>
      </c>
      <c r="N120" s="1">
        <v>0</v>
      </c>
    </row>
    <row r="121" spans="1:14">
      <c r="A121" s="1" t="s">
        <v>226</v>
      </c>
      <c r="B121" s="1">
        <v>1</v>
      </c>
      <c r="C121" s="1"/>
      <c r="D121" s="1" t="s">
        <v>227</v>
      </c>
      <c r="E121" s="1">
        <v>0</v>
      </c>
      <c r="F121" s="1">
        <v>0</v>
      </c>
      <c r="G121" s="1">
        <v>0</v>
      </c>
      <c r="H121" s="1">
        <v>0</v>
      </c>
      <c r="I121" s="1">
        <v>0</v>
      </c>
      <c r="J121" s="1">
        <v>0</v>
      </c>
      <c r="K121" s="1">
        <v>0</v>
      </c>
      <c r="L121" s="1">
        <v>0</v>
      </c>
      <c r="M121" s="1">
        <v>0</v>
      </c>
      <c r="N121" s="1">
        <v>0</v>
      </c>
    </row>
    <row r="122" spans="1:14">
      <c r="A122" s="1" t="s">
        <v>228</v>
      </c>
      <c r="B122" s="1">
        <v>1</v>
      </c>
      <c r="C122" s="1"/>
      <c r="D122" s="1" t="s">
        <v>229</v>
      </c>
      <c r="E122" s="1">
        <v>0</v>
      </c>
      <c r="F122" s="1">
        <v>0</v>
      </c>
      <c r="G122" s="1">
        <v>0</v>
      </c>
      <c r="H122" s="1">
        <v>0</v>
      </c>
      <c r="I122" s="1">
        <v>0</v>
      </c>
      <c r="J122" s="1">
        <v>0</v>
      </c>
      <c r="K122" s="1">
        <v>0</v>
      </c>
      <c r="L122" s="1">
        <v>0</v>
      </c>
      <c r="M122" s="1">
        <v>0</v>
      </c>
      <c r="N122" s="1">
        <v>0</v>
      </c>
    </row>
    <row r="123" spans="1:14">
      <c r="A123" s="1" t="s">
        <v>230</v>
      </c>
      <c r="B123" s="1">
        <v>1</v>
      </c>
      <c r="C123" s="1"/>
      <c r="D123" s="1" t="s">
        <v>231</v>
      </c>
      <c r="E123" s="1">
        <v>0</v>
      </c>
      <c r="F123" s="1">
        <v>0</v>
      </c>
      <c r="G123" s="1">
        <v>0</v>
      </c>
      <c r="H123" s="1">
        <v>0</v>
      </c>
      <c r="I123" s="1">
        <v>0</v>
      </c>
      <c r="J123" s="1">
        <v>0</v>
      </c>
      <c r="K123" s="1">
        <v>0</v>
      </c>
      <c r="L123" s="1">
        <v>0</v>
      </c>
      <c r="M123" s="1">
        <v>0</v>
      </c>
      <c r="N123" s="1">
        <v>0</v>
      </c>
    </row>
    <row r="124" spans="1:14">
      <c r="A124" s="1" t="s">
        <v>232</v>
      </c>
      <c r="B124" s="1">
        <v>1</v>
      </c>
      <c r="C124" s="1"/>
      <c r="D124" s="1" t="s">
        <v>233</v>
      </c>
      <c r="E124" s="1">
        <v>0</v>
      </c>
      <c r="F124" s="1">
        <v>0</v>
      </c>
      <c r="G124" s="1">
        <v>0</v>
      </c>
      <c r="H124" s="1">
        <v>0</v>
      </c>
      <c r="I124" s="1">
        <v>0</v>
      </c>
      <c r="J124" s="1">
        <v>0</v>
      </c>
      <c r="K124" s="1">
        <v>0</v>
      </c>
      <c r="L124" s="1">
        <v>0</v>
      </c>
      <c r="M124" s="1">
        <v>0</v>
      </c>
      <c r="N124" s="1">
        <v>0</v>
      </c>
    </row>
    <row r="125" spans="1:14">
      <c r="A125" s="1" t="s">
        <v>234</v>
      </c>
      <c r="B125" s="1">
        <v>1</v>
      </c>
      <c r="C125" s="1"/>
      <c r="D125" s="1" t="s">
        <v>233</v>
      </c>
      <c r="E125" s="1">
        <v>0.16666666699999999</v>
      </c>
      <c r="F125" s="1">
        <v>0</v>
      </c>
      <c r="G125" s="1">
        <v>0</v>
      </c>
      <c r="H125" s="1">
        <v>0.5</v>
      </c>
      <c r="I125" s="1">
        <v>0</v>
      </c>
      <c r="J125" s="1">
        <v>0</v>
      </c>
      <c r="K125" s="1">
        <v>0</v>
      </c>
      <c r="L125" s="1">
        <v>0</v>
      </c>
      <c r="M125" s="1">
        <v>0</v>
      </c>
      <c r="N125" s="1">
        <v>0</v>
      </c>
    </row>
    <row r="126" spans="1:14">
      <c r="A126" s="1" t="s">
        <v>235</v>
      </c>
      <c r="B126" s="1">
        <v>2</v>
      </c>
      <c r="C126" s="1"/>
      <c r="D126" s="1" t="s">
        <v>236</v>
      </c>
      <c r="E126" s="1">
        <v>0</v>
      </c>
      <c r="F126" s="1">
        <v>0</v>
      </c>
      <c r="G126" s="1">
        <v>0</v>
      </c>
      <c r="H126" s="1">
        <v>0</v>
      </c>
      <c r="I126" s="1">
        <v>0</v>
      </c>
      <c r="J126" s="1">
        <v>0</v>
      </c>
      <c r="K126" s="1">
        <v>0</v>
      </c>
      <c r="L126" s="1">
        <v>0</v>
      </c>
      <c r="M126" s="1">
        <v>0</v>
      </c>
      <c r="N126" s="1">
        <v>0</v>
      </c>
    </row>
    <row r="127" spans="1:14">
      <c r="A127" s="1" t="s">
        <v>237</v>
      </c>
      <c r="B127" s="1">
        <v>1</v>
      </c>
      <c r="C127" s="1"/>
      <c r="D127" s="1" t="s">
        <v>238</v>
      </c>
      <c r="E127" s="1">
        <v>0</v>
      </c>
      <c r="F127" s="1">
        <v>0</v>
      </c>
      <c r="G127" s="1">
        <v>0</v>
      </c>
      <c r="H127" s="1">
        <v>0</v>
      </c>
      <c r="I127" s="1">
        <v>0</v>
      </c>
      <c r="J127" s="1">
        <v>0</v>
      </c>
      <c r="K127" s="1">
        <v>0</v>
      </c>
      <c r="L127" s="1">
        <v>0</v>
      </c>
      <c r="M127" s="1">
        <v>0</v>
      </c>
      <c r="N127" s="1">
        <v>0</v>
      </c>
    </row>
    <row r="128" spans="1:14">
      <c r="A128" s="1" t="s">
        <v>239</v>
      </c>
      <c r="B128" s="1">
        <v>1</v>
      </c>
      <c r="C128" s="1"/>
      <c r="D128" s="1" t="s">
        <v>240</v>
      </c>
      <c r="E128" s="1">
        <v>0</v>
      </c>
      <c r="F128" s="1">
        <v>0</v>
      </c>
      <c r="G128" s="1">
        <v>0</v>
      </c>
      <c r="H128" s="1">
        <v>0</v>
      </c>
      <c r="I128" s="1">
        <v>0</v>
      </c>
      <c r="J128" s="1">
        <v>0</v>
      </c>
      <c r="K128" s="1">
        <v>0</v>
      </c>
      <c r="L128" s="1">
        <v>0</v>
      </c>
      <c r="M128" s="1">
        <v>0</v>
      </c>
      <c r="N128" s="1">
        <v>0</v>
      </c>
    </row>
    <row r="129" spans="1:14">
      <c r="A129" s="1" t="s">
        <v>241</v>
      </c>
      <c r="B129" s="1">
        <v>1</v>
      </c>
      <c r="C129" s="1"/>
      <c r="D129" s="1" t="s">
        <v>242</v>
      </c>
      <c r="E129" s="1">
        <v>0</v>
      </c>
      <c r="F129" s="1">
        <v>0</v>
      </c>
      <c r="G129" s="1">
        <v>0</v>
      </c>
      <c r="H129" s="1">
        <v>0</v>
      </c>
      <c r="I129" s="1">
        <v>0</v>
      </c>
      <c r="J129" s="1">
        <v>0</v>
      </c>
      <c r="K129" s="1">
        <v>0</v>
      </c>
      <c r="L129" s="1">
        <v>0</v>
      </c>
      <c r="M129" s="1">
        <v>0</v>
      </c>
      <c r="N129" s="1">
        <v>0</v>
      </c>
    </row>
    <row r="130" spans="1:14">
      <c r="A130" s="1" t="s">
        <v>243</v>
      </c>
      <c r="B130" s="1">
        <v>1</v>
      </c>
      <c r="C130" s="1"/>
      <c r="D130" s="1" t="s">
        <v>244</v>
      </c>
      <c r="E130" s="1">
        <v>0</v>
      </c>
      <c r="F130" s="1">
        <v>0</v>
      </c>
      <c r="G130" s="1">
        <v>0</v>
      </c>
      <c r="H130" s="1">
        <v>0</v>
      </c>
      <c r="I130" s="1">
        <v>0</v>
      </c>
      <c r="J130" s="1">
        <v>0</v>
      </c>
      <c r="K130" s="1">
        <v>0</v>
      </c>
      <c r="L130" s="1">
        <v>0</v>
      </c>
      <c r="M130" s="1">
        <v>0</v>
      </c>
      <c r="N130" s="1">
        <v>0</v>
      </c>
    </row>
    <row r="131" spans="1:14">
      <c r="A131" s="1" t="s">
        <v>245</v>
      </c>
      <c r="B131" s="1">
        <v>2</v>
      </c>
      <c r="C131" s="1"/>
      <c r="D131" s="1" t="s">
        <v>246</v>
      </c>
      <c r="E131" s="1">
        <v>0.5</v>
      </c>
      <c r="F131" s="1">
        <v>0.75</v>
      </c>
      <c r="G131" s="1">
        <v>0</v>
      </c>
      <c r="H131" s="1">
        <v>1</v>
      </c>
      <c r="I131" s="1">
        <v>1</v>
      </c>
      <c r="J131" s="1">
        <v>0</v>
      </c>
      <c r="K131" s="1">
        <v>0</v>
      </c>
      <c r="L131" s="1">
        <v>0</v>
      </c>
      <c r="M131" s="1">
        <v>0</v>
      </c>
      <c r="N131" s="1">
        <v>0</v>
      </c>
    </row>
    <row r="132" spans="1:14">
      <c r="A132" s="1" t="s">
        <v>247</v>
      </c>
      <c r="B132" s="1">
        <v>1</v>
      </c>
      <c r="C132" s="1"/>
      <c r="D132" s="1" t="s">
        <v>248</v>
      </c>
      <c r="E132" s="1">
        <v>0</v>
      </c>
      <c r="F132" s="1">
        <v>0</v>
      </c>
      <c r="G132" s="1">
        <v>0</v>
      </c>
      <c r="H132" s="1">
        <v>0</v>
      </c>
      <c r="I132" s="1">
        <v>0</v>
      </c>
      <c r="J132" s="1">
        <v>0</v>
      </c>
      <c r="K132" s="1">
        <v>0</v>
      </c>
      <c r="L132" s="1">
        <v>0</v>
      </c>
      <c r="M132" s="1">
        <v>0</v>
      </c>
      <c r="N132" s="1">
        <v>0</v>
      </c>
    </row>
    <row r="133" spans="1:14">
      <c r="A133" s="1" t="s">
        <v>249</v>
      </c>
      <c r="B133" s="1">
        <v>1</v>
      </c>
      <c r="C133" s="1"/>
      <c r="D133" s="1" t="s">
        <v>250</v>
      </c>
      <c r="E133" s="1">
        <v>0.16666666699999999</v>
      </c>
      <c r="F133" s="1">
        <v>0</v>
      </c>
      <c r="G133" s="1">
        <v>0</v>
      </c>
      <c r="H133" s="1">
        <v>0.5</v>
      </c>
      <c r="I133" s="1">
        <v>0</v>
      </c>
      <c r="J133" s="1">
        <v>0</v>
      </c>
      <c r="K133" s="1">
        <v>0</v>
      </c>
      <c r="L133" s="1">
        <v>0</v>
      </c>
      <c r="M133" s="1">
        <v>0</v>
      </c>
      <c r="N133" s="1">
        <v>0</v>
      </c>
    </row>
    <row r="134" spans="1:14">
      <c r="A134" s="1" t="s">
        <v>251</v>
      </c>
      <c r="B134" s="1">
        <v>1</v>
      </c>
      <c r="C134" s="1"/>
      <c r="D134" s="1" t="s">
        <v>252</v>
      </c>
      <c r="E134" s="1">
        <v>0</v>
      </c>
      <c r="F134" s="1">
        <v>0</v>
      </c>
      <c r="G134" s="1">
        <v>0</v>
      </c>
      <c r="H134" s="1">
        <v>0</v>
      </c>
      <c r="I134" s="1">
        <v>0</v>
      </c>
      <c r="J134" s="1">
        <v>0</v>
      </c>
      <c r="K134" s="1">
        <v>0</v>
      </c>
      <c r="L134" s="1">
        <v>0</v>
      </c>
      <c r="M134" s="1">
        <v>0</v>
      </c>
      <c r="N134" s="1">
        <v>0</v>
      </c>
    </row>
    <row r="135" spans="1:14">
      <c r="A135" s="1" t="s">
        <v>253</v>
      </c>
      <c r="B135" s="1">
        <v>1</v>
      </c>
      <c r="C135" s="1"/>
      <c r="D135" s="1" t="s">
        <v>254</v>
      </c>
      <c r="E135" s="1">
        <v>0</v>
      </c>
      <c r="F135" s="1">
        <v>0</v>
      </c>
      <c r="G135" s="1">
        <v>0</v>
      </c>
      <c r="H135" s="1">
        <v>0</v>
      </c>
      <c r="I135" s="1">
        <v>0</v>
      </c>
      <c r="J135" s="1">
        <v>0</v>
      </c>
      <c r="K135" s="1">
        <v>0</v>
      </c>
      <c r="L135" s="1">
        <v>0</v>
      </c>
      <c r="M135" s="1">
        <v>0</v>
      </c>
      <c r="N135" s="1">
        <v>0</v>
      </c>
    </row>
    <row r="136" spans="1:14">
      <c r="A136" s="1" t="s">
        <v>255</v>
      </c>
      <c r="B136" s="1">
        <v>1</v>
      </c>
      <c r="C136" s="1"/>
      <c r="D136" s="1" t="s">
        <v>256</v>
      </c>
      <c r="E136" s="1">
        <v>0</v>
      </c>
      <c r="F136" s="1">
        <v>0</v>
      </c>
      <c r="G136" s="1">
        <v>0</v>
      </c>
      <c r="H136" s="1">
        <v>0</v>
      </c>
      <c r="I136" s="1">
        <v>0</v>
      </c>
      <c r="J136" s="1">
        <v>0</v>
      </c>
      <c r="K136" s="1">
        <v>0</v>
      </c>
      <c r="L136" s="1">
        <v>0</v>
      </c>
      <c r="M136" s="1">
        <v>0</v>
      </c>
      <c r="N136" s="1">
        <v>0</v>
      </c>
    </row>
    <row r="137" spans="1:14">
      <c r="A137" s="1" t="s">
        <v>257</v>
      </c>
      <c r="B137" s="1">
        <v>1</v>
      </c>
      <c r="C137" s="1"/>
      <c r="D137" s="1" t="s">
        <v>258</v>
      </c>
      <c r="E137" s="1">
        <v>0</v>
      </c>
      <c r="F137" s="1">
        <v>0</v>
      </c>
      <c r="G137" s="1">
        <v>0</v>
      </c>
      <c r="H137" s="1">
        <v>0</v>
      </c>
      <c r="I137" s="1">
        <v>0</v>
      </c>
      <c r="J137" s="1">
        <v>0</v>
      </c>
      <c r="K137" s="1">
        <v>0</v>
      </c>
      <c r="L137" s="1">
        <v>0</v>
      </c>
      <c r="M137" s="1">
        <v>0</v>
      </c>
      <c r="N137" s="1">
        <v>0</v>
      </c>
    </row>
    <row r="138" spans="1:14">
      <c r="A138" s="1" t="s">
        <v>259</v>
      </c>
      <c r="B138" s="1">
        <v>0</v>
      </c>
      <c r="C138" s="1"/>
      <c r="D138" s="1" t="s">
        <v>260</v>
      </c>
      <c r="E138" s="1">
        <v>0</v>
      </c>
      <c r="F138" s="1">
        <v>0</v>
      </c>
      <c r="G138" s="1">
        <v>0</v>
      </c>
      <c r="H138" s="1">
        <v>0</v>
      </c>
      <c r="I138" s="1">
        <v>0</v>
      </c>
      <c r="J138" s="1">
        <v>0</v>
      </c>
      <c r="K138" s="1">
        <v>0</v>
      </c>
      <c r="L138" s="1">
        <v>0</v>
      </c>
      <c r="M138" s="1">
        <v>0</v>
      </c>
      <c r="N138" s="1">
        <v>0</v>
      </c>
    </row>
    <row r="139" spans="1:14">
      <c r="A139" s="1" t="s">
        <v>261</v>
      </c>
      <c r="B139" s="1">
        <v>14</v>
      </c>
      <c r="C139" s="1"/>
      <c r="D139" s="1" t="s">
        <v>262</v>
      </c>
      <c r="E139" s="1">
        <v>0.2</v>
      </c>
      <c r="F139" s="1">
        <v>0</v>
      </c>
      <c r="G139" s="1">
        <v>0</v>
      </c>
      <c r="H139" s="1">
        <v>0.5</v>
      </c>
      <c r="I139" s="1">
        <v>0</v>
      </c>
      <c r="J139" s="1">
        <v>0</v>
      </c>
      <c r="K139" s="1">
        <v>0</v>
      </c>
      <c r="L139" s="1">
        <v>0</v>
      </c>
      <c r="M139" s="1">
        <v>0</v>
      </c>
      <c r="N139" s="1">
        <v>0</v>
      </c>
    </row>
    <row r="140" spans="1:14">
      <c r="A140" s="1" t="s">
        <v>263</v>
      </c>
      <c r="B140" s="1">
        <v>6</v>
      </c>
      <c r="C140" s="1"/>
      <c r="D140" s="1" t="s">
        <v>264</v>
      </c>
      <c r="E140" s="1">
        <v>0</v>
      </c>
      <c r="F140" s="1">
        <v>0</v>
      </c>
      <c r="G140" s="1">
        <v>0</v>
      </c>
      <c r="H140" s="1">
        <v>0</v>
      </c>
      <c r="I140" s="1">
        <v>0</v>
      </c>
      <c r="J140" s="1">
        <v>0</v>
      </c>
      <c r="K140" s="1">
        <v>0</v>
      </c>
      <c r="L140" s="1">
        <v>0</v>
      </c>
      <c r="M140" s="1">
        <v>0</v>
      </c>
      <c r="N140" s="1">
        <v>0</v>
      </c>
    </row>
    <row r="141" spans="1:14">
      <c r="A141" s="1" t="s">
        <v>265</v>
      </c>
      <c r="B141" s="1">
        <v>470</v>
      </c>
      <c r="C141" s="1"/>
      <c r="D141" s="1" t="s">
        <v>266</v>
      </c>
      <c r="E141" s="1">
        <v>0.33333333300000001</v>
      </c>
      <c r="F141" s="1">
        <v>1</v>
      </c>
      <c r="G141" s="1">
        <v>0</v>
      </c>
      <c r="H141" s="1">
        <v>0</v>
      </c>
      <c r="I141" s="1">
        <v>1</v>
      </c>
      <c r="J141" s="1">
        <v>0</v>
      </c>
      <c r="K141" s="1">
        <v>0</v>
      </c>
      <c r="L141" s="1">
        <v>0</v>
      </c>
      <c r="M141" s="1">
        <v>0</v>
      </c>
      <c r="N141" s="1">
        <v>0</v>
      </c>
    </row>
    <row r="142" spans="1:14">
      <c r="A142" s="1" t="s">
        <v>267</v>
      </c>
      <c r="B142" s="1">
        <v>8</v>
      </c>
      <c r="C142" s="1"/>
      <c r="D142" s="1" t="s">
        <v>268</v>
      </c>
      <c r="E142" s="1">
        <v>0</v>
      </c>
      <c r="F142" s="1">
        <v>0</v>
      </c>
      <c r="G142" s="1">
        <v>0</v>
      </c>
      <c r="H142" s="1">
        <v>0</v>
      </c>
      <c r="I142" s="1">
        <v>0</v>
      </c>
      <c r="J142" s="1">
        <v>0</v>
      </c>
      <c r="K142" s="1">
        <v>0</v>
      </c>
      <c r="L142" s="1">
        <v>0</v>
      </c>
      <c r="M142" s="1">
        <v>0</v>
      </c>
      <c r="N142" s="1">
        <v>0</v>
      </c>
    </row>
    <row r="143" spans="1:14">
      <c r="A143" s="1" t="s">
        <v>269</v>
      </c>
      <c r="B143" s="1">
        <v>1</v>
      </c>
      <c r="C143" s="1"/>
      <c r="D143" s="1" t="s">
        <v>270</v>
      </c>
      <c r="E143" s="1">
        <v>0.2</v>
      </c>
      <c r="F143" s="1">
        <v>0</v>
      </c>
      <c r="G143" s="1">
        <v>0</v>
      </c>
      <c r="H143" s="1">
        <v>0.5</v>
      </c>
      <c r="I143" s="1">
        <v>0</v>
      </c>
      <c r="J143" s="1">
        <v>0</v>
      </c>
      <c r="K143" s="1">
        <v>0</v>
      </c>
      <c r="L143" s="1">
        <v>0</v>
      </c>
      <c r="M143" s="1">
        <v>0</v>
      </c>
      <c r="N143" s="1">
        <v>0</v>
      </c>
    </row>
    <row r="144" spans="1:14">
      <c r="A144" s="1" t="s">
        <v>271</v>
      </c>
      <c r="B144" s="1">
        <v>1</v>
      </c>
      <c r="C144" s="1"/>
      <c r="D144" s="1" t="s">
        <v>272</v>
      </c>
      <c r="E144" s="1">
        <v>0.2</v>
      </c>
      <c r="F144" s="1">
        <v>0</v>
      </c>
      <c r="G144" s="1">
        <v>0</v>
      </c>
      <c r="H144" s="1">
        <v>0.5</v>
      </c>
      <c r="I144" s="1">
        <v>0</v>
      </c>
      <c r="J144" s="1">
        <v>0</v>
      </c>
      <c r="K144" s="1">
        <v>0</v>
      </c>
      <c r="L144" s="1">
        <v>0</v>
      </c>
      <c r="M144" s="1">
        <v>0</v>
      </c>
      <c r="N144" s="1">
        <v>0</v>
      </c>
    </row>
    <row r="145" spans="1:14">
      <c r="A145" s="1" t="s">
        <v>273</v>
      </c>
      <c r="B145" s="1">
        <v>6</v>
      </c>
      <c r="C145" s="1"/>
      <c r="D145" s="1" t="s">
        <v>274</v>
      </c>
      <c r="E145" s="1">
        <v>0</v>
      </c>
      <c r="F145" s="1">
        <v>0</v>
      </c>
      <c r="G145" s="1">
        <v>0</v>
      </c>
      <c r="H145" s="1">
        <v>0</v>
      </c>
      <c r="I145" s="1">
        <v>0</v>
      </c>
      <c r="J145" s="1">
        <v>0</v>
      </c>
      <c r="K145" s="1">
        <v>0</v>
      </c>
      <c r="L145" s="1">
        <v>0</v>
      </c>
      <c r="M145" s="1">
        <v>0</v>
      </c>
      <c r="N145" s="1">
        <v>0</v>
      </c>
    </row>
    <row r="146" spans="1:14">
      <c r="A146" s="1" t="s">
        <v>275</v>
      </c>
      <c r="B146" s="1">
        <v>7</v>
      </c>
      <c r="C146" s="1"/>
      <c r="D146" s="1" t="s">
        <v>276</v>
      </c>
      <c r="E146" s="1">
        <v>0.14285714299999999</v>
      </c>
      <c r="F146" s="1">
        <v>0.428571429</v>
      </c>
      <c r="G146" s="1">
        <v>0</v>
      </c>
      <c r="H146" s="1">
        <v>0</v>
      </c>
      <c r="I146" s="1">
        <v>1</v>
      </c>
      <c r="J146" s="1">
        <v>0</v>
      </c>
      <c r="K146" s="1">
        <v>0</v>
      </c>
      <c r="L146" s="1">
        <v>0</v>
      </c>
      <c r="M146" s="1">
        <v>0</v>
      </c>
      <c r="N146" s="1">
        <v>0</v>
      </c>
    </row>
    <row r="147" spans="1:14">
      <c r="A147" s="1" t="s">
        <v>277</v>
      </c>
      <c r="B147" s="1">
        <v>10</v>
      </c>
      <c r="C147" s="1"/>
      <c r="D147" s="1" t="s">
        <v>278</v>
      </c>
      <c r="E147" s="1">
        <v>0</v>
      </c>
      <c r="F147" s="1">
        <v>0</v>
      </c>
      <c r="G147" s="1">
        <v>0</v>
      </c>
      <c r="H147" s="1">
        <v>0</v>
      </c>
      <c r="I147" s="1">
        <v>0</v>
      </c>
      <c r="J147" s="1">
        <v>0</v>
      </c>
      <c r="K147" s="1">
        <v>0</v>
      </c>
      <c r="L147" s="1">
        <v>0</v>
      </c>
      <c r="M147" s="1">
        <v>0</v>
      </c>
      <c r="N147" s="1">
        <v>0</v>
      </c>
    </row>
    <row r="148" spans="1:14">
      <c r="A148" s="1" t="s">
        <v>279</v>
      </c>
      <c r="B148" s="1">
        <v>8</v>
      </c>
      <c r="C148" s="1"/>
      <c r="D148" s="1" t="s">
        <v>280</v>
      </c>
      <c r="E148" s="1">
        <v>0</v>
      </c>
      <c r="F148" s="1">
        <v>0</v>
      </c>
      <c r="G148" s="1">
        <v>0</v>
      </c>
      <c r="H148" s="1">
        <v>0</v>
      </c>
      <c r="I148" s="1">
        <v>0</v>
      </c>
      <c r="J148" s="1">
        <v>0</v>
      </c>
      <c r="K148" s="1">
        <v>0</v>
      </c>
      <c r="L148" s="1">
        <v>0</v>
      </c>
      <c r="M148" s="1">
        <v>0</v>
      </c>
      <c r="N148" s="1">
        <v>0</v>
      </c>
    </row>
    <row r="149" spans="1:14">
      <c r="A149" s="1" t="s">
        <v>281</v>
      </c>
      <c r="B149" s="1">
        <v>1</v>
      </c>
      <c r="C149" s="1"/>
      <c r="D149" s="1" t="s">
        <v>282</v>
      </c>
      <c r="E149" s="1">
        <v>0</v>
      </c>
      <c r="F149" s="1">
        <v>0</v>
      </c>
      <c r="G149" s="1">
        <v>0</v>
      </c>
      <c r="H149" s="1">
        <v>0</v>
      </c>
      <c r="I149" s="1">
        <v>0</v>
      </c>
      <c r="J149" s="1">
        <v>0</v>
      </c>
      <c r="K149" s="1">
        <v>0</v>
      </c>
      <c r="L149" s="1">
        <v>0</v>
      </c>
      <c r="M149" s="1">
        <v>0</v>
      </c>
      <c r="N149" s="1">
        <v>0</v>
      </c>
    </row>
    <row r="150" spans="1:14">
      <c r="A150" s="1" t="s">
        <v>283</v>
      </c>
      <c r="B150" s="1">
        <v>1</v>
      </c>
      <c r="C150" s="1"/>
      <c r="D150" s="1" t="s">
        <v>284</v>
      </c>
      <c r="E150" s="1">
        <v>0</v>
      </c>
      <c r="F150" s="1">
        <v>0</v>
      </c>
      <c r="G150" s="1">
        <v>0</v>
      </c>
      <c r="H150" s="1">
        <v>0</v>
      </c>
      <c r="I150" s="1">
        <v>0</v>
      </c>
      <c r="J150" s="1">
        <v>0</v>
      </c>
      <c r="K150" s="1">
        <v>0</v>
      </c>
      <c r="L150" s="1">
        <v>0</v>
      </c>
      <c r="M150" s="1">
        <v>0</v>
      </c>
      <c r="N150" s="1">
        <v>0</v>
      </c>
    </row>
    <row r="151" spans="1:14">
      <c r="A151" s="1" t="s">
        <v>285</v>
      </c>
      <c r="B151" s="1">
        <v>1</v>
      </c>
      <c r="C151" s="1"/>
      <c r="D151" s="1" t="s">
        <v>286</v>
      </c>
      <c r="E151" s="1">
        <v>0</v>
      </c>
      <c r="F151" s="1">
        <v>0</v>
      </c>
      <c r="G151" s="1">
        <v>0</v>
      </c>
      <c r="H151" s="1">
        <v>0</v>
      </c>
      <c r="I151" s="1">
        <v>0</v>
      </c>
      <c r="J151" s="1">
        <v>0</v>
      </c>
      <c r="K151" s="1">
        <v>0</v>
      </c>
      <c r="L151" s="1">
        <v>0</v>
      </c>
      <c r="M151" s="1">
        <v>0</v>
      </c>
      <c r="N151" s="1">
        <v>0</v>
      </c>
    </row>
    <row r="152" spans="1:14">
      <c r="A152" s="1" t="s">
        <v>287</v>
      </c>
      <c r="B152" s="1">
        <v>0</v>
      </c>
      <c r="C152" s="1"/>
      <c r="D152" s="1" t="s">
        <v>288</v>
      </c>
      <c r="E152" s="1">
        <v>0</v>
      </c>
      <c r="F152" s="1">
        <v>0</v>
      </c>
      <c r="G152" s="1">
        <v>0</v>
      </c>
      <c r="H152" s="1">
        <v>0</v>
      </c>
      <c r="I152" s="1">
        <v>0</v>
      </c>
      <c r="J152" s="1">
        <v>0</v>
      </c>
      <c r="K152" s="1">
        <v>0</v>
      </c>
      <c r="L152" s="1">
        <v>0</v>
      </c>
      <c r="M152" s="1">
        <v>0</v>
      </c>
      <c r="N152" s="1">
        <v>0</v>
      </c>
    </row>
    <row r="153" spans="1:14">
      <c r="A153" s="1" t="s">
        <v>289</v>
      </c>
      <c r="B153" s="1">
        <v>0</v>
      </c>
      <c r="C153" s="1"/>
      <c r="D153" s="1" t="s">
        <v>290</v>
      </c>
      <c r="E153" s="1">
        <v>0</v>
      </c>
      <c r="F153" s="1">
        <v>0</v>
      </c>
      <c r="G153" s="1">
        <v>0</v>
      </c>
      <c r="H153" s="1">
        <v>0</v>
      </c>
      <c r="I153" s="1">
        <v>0</v>
      </c>
      <c r="J153" s="1">
        <v>0</v>
      </c>
      <c r="K153" s="1">
        <v>0</v>
      </c>
      <c r="L153" s="1">
        <v>0</v>
      </c>
      <c r="M153" s="1">
        <v>0</v>
      </c>
      <c r="N153" s="1">
        <v>0</v>
      </c>
    </row>
    <row r="154" spans="1:14">
      <c r="A154" s="1" t="s">
        <v>291</v>
      </c>
      <c r="B154" s="1">
        <v>47</v>
      </c>
      <c r="C154" s="1"/>
      <c r="D154" s="1" t="s">
        <v>292</v>
      </c>
      <c r="E154" s="1">
        <v>0</v>
      </c>
      <c r="F154" s="1">
        <v>0</v>
      </c>
      <c r="G154" s="1">
        <v>0</v>
      </c>
      <c r="H154" s="1">
        <v>0</v>
      </c>
      <c r="I154" s="1">
        <v>0</v>
      </c>
      <c r="J154" s="1">
        <v>0</v>
      </c>
      <c r="K154" s="1">
        <v>0</v>
      </c>
      <c r="L154" s="1">
        <v>0</v>
      </c>
      <c r="M154" s="1">
        <v>0</v>
      </c>
      <c r="N154" s="1">
        <v>0</v>
      </c>
    </row>
    <row r="155" spans="1:14">
      <c r="A155" s="1" t="s">
        <v>293</v>
      </c>
      <c r="B155" s="1">
        <v>30</v>
      </c>
      <c r="C155" s="1"/>
      <c r="D155" s="1" t="s">
        <v>294</v>
      </c>
      <c r="E155" s="1">
        <v>0</v>
      </c>
      <c r="F155" s="1">
        <v>0</v>
      </c>
      <c r="G155" s="1">
        <v>0</v>
      </c>
      <c r="H155" s="1">
        <v>0</v>
      </c>
      <c r="I155" s="1">
        <v>0</v>
      </c>
      <c r="J155" s="1">
        <v>0</v>
      </c>
      <c r="K155" s="1">
        <v>0</v>
      </c>
      <c r="L155" s="1">
        <v>0</v>
      </c>
      <c r="M155" s="1">
        <v>0</v>
      </c>
      <c r="N155" s="1">
        <v>0</v>
      </c>
    </row>
    <row r="156" spans="1:14">
      <c r="A156" s="1" t="s">
        <v>295</v>
      </c>
      <c r="B156" s="1">
        <v>6</v>
      </c>
      <c r="C156" s="1"/>
      <c r="D156" s="1" t="s">
        <v>296</v>
      </c>
      <c r="E156" s="1">
        <v>0</v>
      </c>
      <c r="F156" s="1">
        <v>0</v>
      </c>
      <c r="G156" s="1">
        <v>0</v>
      </c>
      <c r="H156" s="1">
        <v>0</v>
      </c>
      <c r="I156" s="1">
        <v>0</v>
      </c>
      <c r="J156" s="1">
        <v>0</v>
      </c>
      <c r="K156" s="1">
        <v>0</v>
      </c>
      <c r="L156" s="1">
        <v>0</v>
      </c>
      <c r="M156" s="1">
        <v>0</v>
      </c>
      <c r="N156" s="1">
        <v>0</v>
      </c>
    </row>
    <row r="157" spans="1:14">
      <c r="A157" s="1" t="s">
        <v>297</v>
      </c>
      <c r="B157" s="1">
        <v>1</v>
      </c>
      <c r="C157" s="1"/>
      <c r="D157" s="1" t="s">
        <v>298</v>
      </c>
      <c r="E157" s="1">
        <v>0</v>
      </c>
      <c r="F157" s="1">
        <v>0</v>
      </c>
      <c r="G157" s="1">
        <v>0</v>
      </c>
      <c r="H157" s="1">
        <v>0</v>
      </c>
      <c r="I157" s="1">
        <v>0</v>
      </c>
      <c r="J157" s="1">
        <v>0</v>
      </c>
      <c r="K157" s="1">
        <v>0</v>
      </c>
      <c r="L157" s="1">
        <v>0</v>
      </c>
      <c r="M157" s="1">
        <v>0</v>
      </c>
      <c r="N157" s="1">
        <v>0</v>
      </c>
    </row>
    <row r="158" spans="1:14">
      <c r="A158" s="1" t="s">
        <v>299</v>
      </c>
      <c r="B158" s="1"/>
      <c r="C158" s="1"/>
      <c r="D158" s="1" t="s">
        <v>57</v>
      </c>
      <c r="E158" s="1">
        <v>1</v>
      </c>
      <c r="F158" s="1">
        <v>3</v>
      </c>
      <c r="G158" s="1">
        <v>0</v>
      </c>
      <c r="H158" s="1">
        <v>0</v>
      </c>
      <c r="I158" s="1">
        <v>1</v>
      </c>
      <c r="J158" s="1">
        <v>0</v>
      </c>
      <c r="K158" s="1">
        <v>0</v>
      </c>
      <c r="L158" s="1">
        <v>0</v>
      </c>
      <c r="M158" s="1">
        <v>0</v>
      </c>
      <c r="N158" s="1">
        <v>0</v>
      </c>
    </row>
    <row r="159" spans="1:14">
      <c r="A159" s="1" t="s">
        <v>300</v>
      </c>
      <c r="B159" s="1">
        <v>35</v>
      </c>
      <c r="C159" s="1"/>
      <c r="D159" s="1" t="s">
        <v>301</v>
      </c>
      <c r="E159" s="1">
        <v>0.2</v>
      </c>
      <c r="F159" s="1">
        <v>0.6</v>
      </c>
      <c r="G159" s="1">
        <v>0</v>
      </c>
      <c r="H159" s="1">
        <v>0</v>
      </c>
      <c r="I159" s="1">
        <v>1</v>
      </c>
      <c r="J159" s="1">
        <v>0</v>
      </c>
      <c r="K159" s="1">
        <v>0</v>
      </c>
      <c r="L159" s="1">
        <v>0</v>
      </c>
      <c r="M159" s="1">
        <v>0</v>
      </c>
      <c r="N159" s="1">
        <v>0</v>
      </c>
    </row>
    <row r="160" spans="1:14">
      <c r="A160" s="1" t="s">
        <v>302</v>
      </c>
      <c r="B160" s="1">
        <v>15</v>
      </c>
      <c r="C160" s="1"/>
      <c r="D160" s="1" t="s">
        <v>303</v>
      </c>
      <c r="E160" s="1">
        <v>0.2</v>
      </c>
      <c r="F160" s="1">
        <v>0.6</v>
      </c>
      <c r="G160" s="1">
        <v>0</v>
      </c>
      <c r="H160" s="1">
        <v>0</v>
      </c>
      <c r="I160" s="1">
        <v>1</v>
      </c>
      <c r="J160" s="1">
        <v>0</v>
      </c>
      <c r="K160" s="1">
        <v>0</v>
      </c>
      <c r="L160" s="1">
        <v>0</v>
      </c>
      <c r="M160" s="1">
        <v>0</v>
      </c>
      <c r="N160" s="1">
        <v>0</v>
      </c>
    </row>
    <row r="161" spans="1:14">
      <c r="A161" s="1" t="s">
        <v>304</v>
      </c>
      <c r="B161" s="1">
        <v>5</v>
      </c>
      <c r="C161" s="1"/>
      <c r="D161" s="1" t="s">
        <v>305</v>
      </c>
      <c r="E161" s="1">
        <v>0.5</v>
      </c>
      <c r="F161" s="1">
        <v>0.75</v>
      </c>
      <c r="G161" s="1">
        <v>0</v>
      </c>
      <c r="H161" s="1">
        <v>1</v>
      </c>
      <c r="I161" s="1">
        <v>1</v>
      </c>
      <c r="J161" s="1">
        <v>0</v>
      </c>
      <c r="K161" s="1">
        <v>0</v>
      </c>
      <c r="L161" s="1">
        <v>0</v>
      </c>
      <c r="M161" s="1">
        <v>0</v>
      </c>
      <c r="N161" s="1">
        <v>0</v>
      </c>
    </row>
    <row r="162" spans="1:14">
      <c r="A162" s="1" t="s">
        <v>306</v>
      </c>
      <c r="B162" s="1">
        <v>4</v>
      </c>
      <c r="C162" s="1"/>
      <c r="D162" s="1" t="s">
        <v>307</v>
      </c>
      <c r="E162" s="1">
        <v>0</v>
      </c>
      <c r="F162" s="1">
        <v>0</v>
      </c>
      <c r="G162" s="1">
        <v>0</v>
      </c>
      <c r="H162" s="1">
        <v>0</v>
      </c>
      <c r="I162" s="1">
        <v>0</v>
      </c>
      <c r="J162" s="1">
        <v>0</v>
      </c>
      <c r="K162" s="1">
        <v>0</v>
      </c>
      <c r="L162" s="1">
        <v>0</v>
      </c>
      <c r="M162" s="1">
        <v>0</v>
      </c>
      <c r="N162" s="1">
        <v>0</v>
      </c>
    </row>
    <row r="163" spans="1:14">
      <c r="A163" s="1" t="s">
        <v>308</v>
      </c>
      <c r="B163" s="1">
        <v>11</v>
      </c>
      <c r="C163" s="1"/>
      <c r="D163" s="1" t="s">
        <v>309</v>
      </c>
      <c r="E163" s="1">
        <v>0.25</v>
      </c>
      <c r="F163" s="1">
        <v>0.75</v>
      </c>
      <c r="G163" s="1">
        <v>0</v>
      </c>
      <c r="H163" s="1">
        <v>0</v>
      </c>
      <c r="I163" s="1">
        <v>1</v>
      </c>
      <c r="J163" s="1">
        <v>0</v>
      </c>
      <c r="K163" s="1">
        <v>0</v>
      </c>
      <c r="L163" s="1">
        <v>0</v>
      </c>
      <c r="M163" s="1">
        <v>0</v>
      </c>
      <c r="N163" s="1">
        <v>0</v>
      </c>
    </row>
    <row r="164" spans="1:14">
      <c r="A164" s="1" t="s">
        <v>310</v>
      </c>
      <c r="B164" s="1">
        <v>15</v>
      </c>
      <c r="C164" s="1"/>
      <c r="D164" s="1" t="s">
        <v>311</v>
      </c>
      <c r="E164" s="1">
        <v>1</v>
      </c>
      <c r="F164" s="1">
        <v>0</v>
      </c>
      <c r="G164" s="1">
        <v>0</v>
      </c>
      <c r="H164" s="1">
        <v>1</v>
      </c>
      <c r="I164" s="1">
        <v>0</v>
      </c>
      <c r="J164" s="1">
        <v>0</v>
      </c>
      <c r="K164" s="1">
        <v>0</v>
      </c>
      <c r="L164" s="1">
        <v>0</v>
      </c>
      <c r="M164" s="1">
        <v>0</v>
      </c>
      <c r="N164" s="1">
        <v>0</v>
      </c>
    </row>
    <row r="165" spans="1:14">
      <c r="A165" s="1" t="s">
        <v>312</v>
      </c>
      <c r="B165" s="1">
        <v>3</v>
      </c>
      <c r="C165" s="1"/>
      <c r="D165" s="1" t="s">
        <v>313</v>
      </c>
      <c r="E165" s="1">
        <v>0</v>
      </c>
      <c r="F165" s="1">
        <v>0</v>
      </c>
      <c r="G165" s="1">
        <v>0</v>
      </c>
      <c r="H165" s="1">
        <v>0</v>
      </c>
      <c r="I165" s="1">
        <v>0</v>
      </c>
      <c r="J165" s="1">
        <v>0</v>
      </c>
      <c r="K165" s="1">
        <v>0</v>
      </c>
      <c r="L165" s="1">
        <v>0</v>
      </c>
      <c r="M165" s="1">
        <v>0</v>
      </c>
      <c r="N165" s="1">
        <v>0</v>
      </c>
    </row>
    <row r="166" spans="1:14">
      <c r="A166" s="1" t="s">
        <v>314</v>
      </c>
      <c r="B166" s="1">
        <v>11</v>
      </c>
      <c r="C166" s="1"/>
      <c r="D166" s="1" t="s">
        <v>315</v>
      </c>
      <c r="E166" s="1">
        <v>0</v>
      </c>
      <c r="F166" s="1">
        <v>0</v>
      </c>
      <c r="G166" s="1">
        <v>0</v>
      </c>
      <c r="H166" s="1">
        <v>0</v>
      </c>
      <c r="I166" s="1">
        <v>0</v>
      </c>
      <c r="J166" s="1">
        <v>0</v>
      </c>
      <c r="K166" s="1">
        <v>0</v>
      </c>
      <c r="L166" s="1">
        <v>0</v>
      </c>
      <c r="M166" s="1">
        <v>0</v>
      </c>
      <c r="N166" s="1">
        <v>0</v>
      </c>
    </row>
    <row r="167" spans="1:14">
      <c r="A167" s="1" t="s">
        <v>316</v>
      </c>
      <c r="B167" s="1">
        <v>22</v>
      </c>
      <c r="C167" s="1"/>
      <c r="D167" s="1" t="s">
        <v>317</v>
      </c>
      <c r="E167" s="1">
        <v>0</v>
      </c>
      <c r="F167" s="1">
        <v>0</v>
      </c>
      <c r="G167" s="1">
        <v>0</v>
      </c>
      <c r="H167" s="1">
        <v>0</v>
      </c>
      <c r="I167" s="1">
        <v>0</v>
      </c>
      <c r="J167" s="1">
        <v>0</v>
      </c>
      <c r="K167" s="1">
        <v>0</v>
      </c>
      <c r="L167" s="1">
        <v>0</v>
      </c>
      <c r="M167" s="1">
        <v>0</v>
      </c>
      <c r="N167" s="1">
        <v>0</v>
      </c>
    </row>
    <row r="168" spans="1:14">
      <c r="A168" s="1" t="s">
        <v>318</v>
      </c>
      <c r="B168" s="1">
        <v>22</v>
      </c>
      <c r="C168" s="1"/>
      <c r="D168" s="1" t="s">
        <v>319</v>
      </c>
      <c r="E168" s="1">
        <v>0</v>
      </c>
      <c r="F168" s="1">
        <v>0</v>
      </c>
      <c r="G168" s="1">
        <v>0</v>
      </c>
      <c r="H168" s="1">
        <v>0</v>
      </c>
      <c r="I168" s="1">
        <v>0</v>
      </c>
      <c r="J168" s="1">
        <v>0</v>
      </c>
      <c r="K168" s="1">
        <v>0</v>
      </c>
      <c r="L168" s="1">
        <v>0</v>
      </c>
      <c r="M168" s="1">
        <v>0</v>
      </c>
      <c r="N168" s="1">
        <v>0</v>
      </c>
    </row>
    <row r="169" spans="1:14">
      <c r="A169" s="1" t="s">
        <v>320</v>
      </c>
      <c r="B169" s="1">
        <v>4</v>
      </c>
      <c r="C169" s="1"/>
      <c r="D169" s="1" t="s">
        <v>321</v>
      </c>
      <c r="E169" s="1">
        <v>0</v>
      </c>
      <c r="F169" s="1">
        <v>0</v>
      </c>
      <c r="G169" s="1">
        <v>0</v>
      </c>
      <c r="H169" s="1">
        <v>0</v>
      </c>
      <c r="I169" s="1">
        <v>0</v>
      </c>
      <c r="J169" s="1">
        <v>0</v>
      </c>
      <c r="K169" s="1">
        <v>0</v>
      </c>
      <c r="L169" s="1">
        <v>0</v>
      </c>
      <c r="M169" s="1">
        <v>0</v>
      </c>
      <c r="N169" s="1">
        <v>0</v>
      </c>
    </row>
    <row r="170" spans="1:14">
      <c r="A170" s="1" t="s">
        <v>322</v>
      </c>
      <c r="B170" s="1">
        <v>10</v>
      </c>
      <c r="C170" s="1"/>
      <c r="D170" s="1" t="s">
        <v>323</v>
      </c>
      <c r="E170" s="1">
        <v>1</v>
      </c>
      <c r="F170" s="1">
        <v>3</v>
      </c>
      <c r="G170" s="1">
        <v>0</v>
      </c>
      <c r="H170" s="1">
        <v>0</v>
      </c>
      <c r="I170" s="1">
        <v>3</v>
      </c>
      <c r="J170" s="1">
        <v>0</v>
      </c>
      <c r="K170" s="1">
        <v>0</v>
      </c>
      <c r="L170" s="1">
        <v>0</v>
      </c>
      <c r="M170" s="1">
        <v>0</v>
      </c>
      <c r="N170" s="1">
        <v>0</v>
      </c>
    </row>
    <row r="171" spans="1:14">
      <c r="A171" s="1" t="s">
        <v>324</v>
      </c>
      <c r="B171" s="1">
        <v>4</v>
      </c>
      <c r="C171" s="1"/>
      <c r="D171" s="1" t="s">
        <v>325</v>
      </c>
      <c r="E171" s="1">
        <v>0</v>
      </c>
      <c r="F171" s="1">
        <v>0</v>
      </c>
      <c r="G171" s="1">
        <v>0</v>
      </c>
      <c r="H171" s="1">
        <v>0</v>
      </c>
      <c r="I171" s="1">
        <v>0</v>
      </c>
      <c r="J171" s="1">
        <v>0</v>
      </c>
      <c r="K171" s="1">
        <v>0</v>
      </c>
      <c r="L171" s="1">
        <v>0</v>
      </c>
      <c r="M171" s="1">
        <v>0</v>
      </c>
      <c r="N171" s="1">
        <v>0</v>
      </c>
    </row>
    <row r="172" spans="1:14">
      <c r="A172" s="1" t="s">
        <v>326</v>
      </c>
      <c r="B172" s="1">
        <v>3</v>
      </c>
      <c r="C172" s="1"/>
      <c r="D172" s="1" t="s">
        <v>327</v>
      </c>
      <c r="E172" s="1">
        <v>3</v>
      </c>
      <c r="F172" s="1">
        <v>9</v>
      </c>
      <c r="G172" s="1">
        <v>0</v>
      </c>
      <c r="H172" s="1">
        <v>0</v>
      </c>
      <c r="I172" s="1">
        <v>0</v>
      </c>
      <c r="J172" s="1">
        <v>0</v>
      </c>
      <c r="K172" s="1">
        <v>3</v>
      </c>
      <c r="L172" s="1">
        <v>0</v>
      </c>
      <c r="M172" s="1">
        <v>0</v>
      </c>
      <c r="N172" s="1">
        <v>0</v>
      </c>
    </row>
    <row r="173" spans="1:14">
      <c r="A173" s="1" t="s">
        <v>328</v>
      </c>
      <c r="B173" s="1">
        <v>1</v>
      </c>
      <c r="C173" s="1"/>
      <c r="D173" s="1" t="s">
        <v>329</v>
      </c>
      <c r="E173" s="1">
        <v>0</v>
      </c>
      <c r="F173" s="1">
        <v>0</v>
      </c>
      <c r="G173" s="1">
        <v>0</v>
      </c>
      <c r="H173" s="1">
        <v>0</v>
      </c>
      <c r="I173" s="1">
        <v>0</v>
      </c>
      <c r="J173" s="1">
        <v>0</v>
      </c>
      <c r="K173" s="1">
        <v>0</v>
      </c>
      <c r="L173" s="1">
        <v>0</v>
      </c>
      <c r="M173" s="1">
        <v>0</v>
      </c>
      <c r="N173" s="1">
        <v>0</v>
      </c>
    </row>
    <row r="174" spans="1:14">
      <c r="A174" s="1" t="s">
        <v>330</v>
      </c>
      <c r="B174" s="1">
        <v>2</v>
      </c>
      <c r="C174" s="1"/>
      <c r="D174" s="1" t="s">
        <v>331</v>
      </c>
      <c r="E174" s="1">
        <v>0</v>
      </c>
      <c r="F174" s="1">
        <v>0</v>
      </c>
      <c r="G174" s="1">
        <v>0</v>
      </c>
      <c r="H174" s="1">
        <v>0</v>
      </c>
      <c r="I174" s="1">
        <v>0</v>
      </c>
      <c r="J174" s="1">
        <v>0</v>
      </c>
      <c r="K174" s="1">
        <v>0</v>
      </c>
      <c r="L174" s="1">
        <v>0</v>
      </c>
      <c r="M174" s="1">
        <v>0</v>
      </c>
      <c r="N174" s="1">
        <v>0</v>
      </c>
    </row>
    <row r="175" spans="1:14">
      <c r="A175" s="1" t="s">
        <v>332</v>
      </c>
      <c r="B175" s="1">
        <v>1</v>
      </c>
      <c r="C175" s="1"/>
      <c r="D175" s="1" t="s">
        <v>333</v>
      </c>
      <c r="E175" s="1">
        <v>0</v>
      </c>
      <c r="F175" s="1">
        <v>0</v>
      </c>
      <c r="G175" s="1">
        <v>0</v>
      </c>
      <c r="H175" s="1">
        <v>0</v>
      </c>
      <c r="I175" s="1">
        <v>0</v>
      </c>
      <c r="J175" s="1">
        <v>0</v>
      </c>
      <c r="K175" s="1">
        <v>0</v>
      </c>
      <c r="L175" s="1">
        <v>0</v>
      </c>
      <c r="M175" s="1">
        <v>0</v>
      </c>
      <c r="N175" s="1">
        <v>0</v>
      </c>
    </row>
    <row r="176" spans="1:14">
      <c r="A176" s="1" t="s">
        <v>334</v>
      </c>
      <c r="B176" s="1">
        <v>20</v>
      </c>
      <c r="C176" s="1"/>
      <c r="D176" s="1" t="s">
        <v>335</v>
      </c>
      <c r="E176" s="1">
        <v>0</v>
      </c>
      <c r="F176" s="1">
        <v>0</v>
      </c>
      <c r="G176" s="1">
        <v>0</v>
      </c>
      <c r="H176" s="1">
        <v>0</v>
      </c>
      <c r="I176" s="1">
        <v>0</v>
      </c>
      <c r="J176" s="1">
        <v>0</v>
      </c>
      <c r="K176" s="1">
        <v>0</v>
      </c>
      <c r="L176" s="1">
        <v>0</v>
      </c>
      <c r="M176" s="1">
        <v>0</v>
      </c>
      <c r="N176" s="1">
        <v>0</v>
      </c>
    </row>
    <row r="177" spans="1:14">
      <c r="A177" s="1" t="s">
        <v>336</v>
      </c>
      <c r="B177" s="1">
        <v>6</v>
      </c>
      <c r="C177" s="1"/>
      <c r="D177" s="1" t="s">
        <v>337</v>
      </c>
      <c r="E177" s="1">
        <v>0</v>
      </c>
      <c r="F177" s="1">
        <v>0</v>
      </c>
      <c r="G177" s="1">
        <v>0</v>
      </c>
      <c r="H177" s="1">
        <v>0</v>
      </c>
      <c r="I177" s="1">
        <v>0</v>
      </c>
      <c r="J177" s="1">
        <v>0</v>
      </c>
      <c r="K177" s="1">
        <v>0</v>
      </c>
      <c r="L177" s="1">
        <v>0</v>
      </c>
      <c r="M177" s="1">
        <v>0</v>
      </c>
      <c r="N177" s="1">
        <v>0</v>
      </c>
    </row>
    <row r="178" spans="1:14">
      <c r="A178" s="1" t="s">
        <v>338</v>
      </c>
      <c r="B178" s="1">
        <v>10</v>
      </c>
      <c r="C178" s="1"/>
      <c r="D178" s="1" t="s">
        <v>339</v>
      </c>
      <c r="E178" s="1">
        <v>0</v>
      </c>
      <c r="F178" s="1">
        <v>0</v>
      </c>
      <c r="G178" s="1">
        <v>0</v>
      </c>
      <c r="H178" s="1">
        <v>0</v>
      </c>
      <c r="I178" s="1">
        <v>0</v>
      </c>
      <c r="J178" s="1">
        <v>0</v>
      </c>
      <c r="K178" s="1">
        <v>0</v>
      </c>
      <c r="L178" s="1">
        <v>0</v>
      </c>
      <c r="M178" s="1">
        <v>0</v>
      </c>
      <c r="N178" s="1">
        <v>0</v>
      </c>
    </row>
    <row r="179" spans="1:14">
      <c r="A179" s="1" t="s">
        <v>340</v>
      </c>
      <c r="B179" s="1">
        <v>2</v>
      </c>
      <c r="C179" s="1"/>
      <c r="D179" s="1" t="s">
        <v>341</v>
      </c>
      <c r="E179" s="1">
        <v>0</v>
      </c>
      <c r="F179" s="1">
        <v>0</v>
      </c>
      <c r="G179" s="1">
        <v>0</v>
      </c>
      <c r="H179" s="1">
        <v>0</v>
      </c>
      <c r="I179" s="1">
        <v>0</v>
      </c>
      <c r="J179" s="1">
        <v>0</v>
      </c>
      <c r="K179" s="1">
        <v>0</v>
      </c>
      <c r="L179" s="1">
        <v>0</v>
      </c>
      <c r="M179" s="1">
        <v>0</v>
      </c>
      <c r="N179" s="1">
        <v>0</v>
      </c>
    </row>
    <row r="180" spans="1:14">
      <c r="A180" s="1" t="s">
        <v>342</v>
      </c>
      <c r="B180" s="1">
        <v>6</v>
      </c>
      <c r="C180" s="1"/>
      <c r="D180" s="1" t="s">
        <v>343</v>
      </c>
      <c r="E180" s="1">
        <v>0</v>
      </c>
      <c r="F180" s="1">
        <v>0</v>
      </c>
      <c r="G180" s="1">
        <v>0</v>
      </c>
      <c r="H180" s="1">
        <v>0</v>
      </c>
      <c r="I180" s="1">
        <v>0</v>
      </c>
      <c r="J180" s="1">
        <v>0</v>
      </c>
      <c r="K180" s="1">
        <v>0</v>
      </c>
      <c r="L180" s="1">
        <v>0</v>
      </c>
      <c r="M180" s="1">
        <v>0</v>
      </c>
      <c r="N180" s="1">
        <v>0</v>
      </c>
    </row>
    <row r="181" spans="1:14">
      <c r="A181" s="1" t="s">
        <v>344</v>
      </c>
      <c r="B181" s="1">
        <v>6</v>
      </c>
      <c r="C181" s="1"/>
      <c r="D181" s="1" t="s">
        <v>345</v>
      </c>
      <c r="E181" s="1">
        <v>1</v>
      </c>
      <c r="F181" s="1">
        <v>0</v>
      </c>
      <c r="G181" s="1">
        <v>0</v>
      </c>
      <c r="H181" s="1">
        <v>1</v>
      </c>
      <c r="I181" s="1">
        <v>0</v>
      </c>
      <c r="J181" s="1">
        <v>0</v>
      </c>
      <c r="K181" s="1">
        <v>0</v>
      </c>
      <c r="L181" s="1">
        <v>0</v>
      </c>
      <c r="M181" s="1">
        <v>0</v>
      </c>
      <c r="N181" s="1">
        <v>0</v>
      </c>
    </row>
    <row r="182" spans="1:14">
      <c r="A182" s="1" t="s">
        <v>346</v>
      </c>
      <c r="B182" s="1">
        <v>2</v>
      </c>
      <c r="C182" s="1"/>
      <c r="D182" s="1" t="s">
        <v>347</v>
      </c>
      <c r="E182" s="1">
        <v>0</v>
      </c>
      <c r="F182" s="1">
        <v>0</v>
      </c>
      <c r="G182" s="1">
        <v>0</v>
      </c>
      <c r="H182" s="1">
        <v>0</v>
      </c>
      <c r="I182" s="1">
        <v>0</v>
      </c>
      <c r="J182" s="1">
        <v>0</v>
      </c>
      <c r="K182" s="1">
        <v>0</v>
      </c>
      <c r="L182" s="1">
        <v>0</v>
      </c>
      <c r="M182" s="1">
        <v>0</v>
      </c>
      <c r="N182" s="1">
        <v>0</v>
      </c>
    </row>
    <row r="183" spans="1:14">
      <c r="A183" s="1" t="s">
        <v>348</v>
      </c>
      <c r="B183" s="1">
        <v>10</v>
      </c>
      <c r="C183" s="1"/>
      <c r="D183" s="1" t="s">
        <v>349</v>
      </c>
      <c r="E183" s="1">
        <v>0</v>
      </c>
      <c r="F183" s="1">
        <v>0</v>
      </c>
      <c r="G183" s="1">
        <v>0</v>
      </c>
      <c r="H183" s="1">
        <v>0</v>
      </c>
      <c r="I183" s="1">
        <v>0</v>
      </c>
      <c r="J183" s="1">
        <v>0</v>
      </c>
      <c r="K183" s="1">
        <v>0</v>
      </c>
      <c r="L183" s="1">
        <v>0</v>
      </c>
      <c r="M183" s="1">
        <v>0</v>
      </c>
      <c r="N183" s="1">
        <v>0</v>
      </c>
    </row>
    <row r="184" spans="1:14">
      <c r="A184" s="1" t="s">
        <v>350</v>
      </c>
      <c r="B184" s="1">
        <v>17</v>
      </c>
      <c r="C184" s="1"/>
      <c r="D184" s="1" t="s">
        <v>351</v>
      </c>
      <c r="E184" s="1">
        <v>0</v>
      </c>
      <c r="F184" s="1">
        <v>0</v>
      </c>
      <c r="G184" s="1">
        <v>0</v>
      </c>
      <c r="H184" s="1">
        <v>0</v>
      </c>
      <c r="I184" s="1">
        <v>0</v>
      </c>
      <c r="J184" s="1">
        <v>0</v>
      </c>
      <c r="K184" s="1">
        <v>0</v>
      </c>
      <c r="L184" s="1">
        <v>0</v>
      </c>
      <c r="M184" s="1">
        <v>0</v>
      </c>
      <c r="N184" s="1">
        <v>0</v>
      </c>
    </row>
    <row r="185" spans="1:14">
      <c r="A185" s="1" t="s">
        <v>352</v>
      </c>
      <c r="B185" s="1">
        <v>7</v>
      </c>
      <c r="C185" s="1"/>
      <c r="D185" s="1" t="s">
        <v>353</v>
      </c>
      <c r="E185" s="1">
        <v>0</v>
      </c>
      <c r="F185" s="1">
        <v>0</v>
      </c>
      <c r="G185" s="1">
        <v>0</v>
      </c>
      <c r="H185" s="1">
        <v>0</v>
      </c>
      <c r="I185" s="1">
        <v>0</v>
      </c>
      <c r="J185" s="1">
        <v>0</v>
      </c>
      <c r="K185" s="1">
        <v>0</v>
      </c>
      <c r="L185" s="1">
        <v>0</v>
      </c>
      <c r="M185" s="1">
        <v>0</v>
      </c>
      <c r="N185" s="1">
        <v>0</v>
      </c>
    </row>
    <row r="186" spans="1:14">
      <c r="A186" s="1" t="s">
        <v>354</v>
      </c>
      <c r="B186" s="1">
        <v>1</v>
      </c>
      <c r="C186" s="1"/>
      <c r="D186" s="1" t="s">
        <v>355</v>
      </c>
      <c r="E186" s="1">
        <v>0</v>
      </c>
      <c r="F186" s="1">
        <v>0</v>
      </c>
      <c r="G186" s="1">
        <v>0</v>
      </c>
      <c r="H186" s="1">
        <v>0</v>
      </c>
      <c r="I186" s="1">
        <v>0</v>
      </c>
      <c r="J186" s="1">
        <v>0</v>
      </c>
      <c r="K186" s="1">
        <v>0</v>
      </c>
      <c r="L186" s="1">
        <v>0</v>
      </c>
      <c r="M186" s="1">
        <v>0</v>
      </c>
      <c r="N186" s="1">
        <v>0</v>
      </c>
    </row>
    <row r="187" spans="1:14">
      <c r="A187" s="1" t="s">
        <v>356</v>
      </c>
      <c r="B187" s="1">
        <v>9</v>
      </c>
      <c r="C187" s="1"/>
      <c r="D187" s="1" t="s">
        <v>357</v>
      </c>
      <c r="E187" s="1">
        <v>0</v>
      </c>
      <c r="F187" s="1">
        <v>0</v>
      </c>
      <c r="G187" s="1">
        <v>0</v>
      </c>
      <c r="H187" s="1">
        <v>0</v>
      </c>
      <c r="I187" s="1">
        <v>0</v>
      </c>
      <c r="J187" s="1">
        <v>0</v>
      </c>
      <c r="K187" s="1">
        <v>0</v>
      </c>
      <c r="L187" s="1">
        <v>0</v>
      </c>
      <c r="M187" s="1">
        <v>0</v>
      </c>
      <c r="N187" s="1">
        <v>0</v>
      </c>
    </row>
    <row r="188" spans="1:14">
      <c r="A188" s="1" t="s">
        <v>358</v>
      </c>
      <c r="B188" s="1">
        <v>6</v>
      </c>
      <c r="C188" s="1"/>
      <c r="D188" s="1" t="s">
        <v>359</v>
      </c>
      <c r="E188" s="1">
        <v>0.33333333300000001</v>
      </c>
      <c r="F188" s="1">
        <v>0</v>
      </c>
      <c r="G188" s="1">
        <v>0</v>
      </c>
      <c r="H188" s="1">
        <v>0.5</v>
      </c>
      <c r="I188" s="1">
        <v>0</v>
      </c>
      <c r="J188" s="1">
        <v>0</v>
      </c>
      <c r="K188" s="1">
        <v>0</v>
      </c>
      <c r="L188" s="1">
        <v>0</v>
      </c>
      <c r="M188" s="1">
        <v>0</v>
      </c>
      <c r="N188" s="1">
        <v>0</v>
      </c>
    </row>
    <row r="189" spans="1:14">
      <c r="A189" s="1" t="s">
        <v>360</v>
      </c>
      <c r="B189" s="1">
        <v>13</v>
      </c>
      <c r="C189" s="1"/>
      <c r="D189" s="1" t="s">
        <v>361</v>
      </c>
      <c r="E189" s="1">
        <v>0</v>
      </c>
      <c r="F189" s="1">
        <v>0</v>
      </c>
      <c r="G189" s="1">
        <v>0</v>
      </c>
      <c r="H189" s="1">
        <v>0</v>
      </c>
      <c r="I189" s="1">
        <v>0</v>
      </c>
      <c r="J189" s="1">
        <v>0</v>
      </c>
      <c r="K189" s="1">
        <v>0</v>
      </c>
      <c r="L189" s="1">
        <v>0</v>
      </c>
      <c r="M189" s="1">
        <v>0</v>
      </c>
      <c r="N189" s="1">
        <v>0</v>
      </c>
    </row>
    <row r="190" spans="1:14">
      <c r="A190" s="1" t="s">
        <v>362</v>
      </c>
      <c r="B190" s="1">
        <v>16</v>
      </c>
      <c r="C190" s="1"/>
      <c r="D190" s="1" t="s">
        <v>363</v>
      </c>
      <c r="E190" s="1">
        <v>0</v>
      </c>
      <c r="F190" s="1">
        <v>0</v>
      </c>
      <c r="G190" s="1">
        <v>0</v>
      </c>
      <c r="H190" s="1">
        <v>0</v>
      </c>
      <c r="I190" s="1">
        <v>0</v>
      </c>
      <c r="J190" s="1">
        <v>0</v>
      </c>
      <c r="K190" s="1">
        <v>0</v>
      </c>
      <c r="L190" s="1">
        <v>0</v>
      </c>
      <c r="M190" s="1">
        <v>0</v>
      </c>
      <c r="N190" s="1">
        <v>0</v>
      </c>
    </row>
    <row r="191" spans="1:14">
      <c r="A191" s="1" t="s">
        <v>364</v>
      </c>
      <c r="B191" s="1">
        <v>9</v>
      </c>
      <c r="C191" s="1"/>
      <c r="D191" s="1" t="s">
        <v>365</v>
      </c>
      <c r="E191" s="1">
        <v>2.3333333330000001</v>
      </c>
      <c r="F191" s="1">
        <v>7</v>
      </c>
      <c r="G191" s="1">
        <v>0</v>
      </c>
      <c r="H191" s="1">
        <v>0</v>
      </c>
      <c r="I191" s="1">
        <v>0</v>
      </c>
      <c r="J191" s="1">
        <v>0</v>
      </c>
      <c r="K191" s="1">
        <v>3.5</v>
      </c>
      <c r="L191" s="1">
        <v>0</v>
      </c>
      <c r="M191" s="1">
        <v>0</v>
      </c>
      <c r="N191" s="1">
        <v>0</v>
      </c>
    </row>
    <row r="192" spans="1:14">
      <c r="A192" s="1" t="s">
        <v>366</v>
      </c>
      <c r="B192" s="1">
        <v>2</v>
      </c>
      <c r="C192" s="1"/>
      <c r="D192" s="1" t="s">
        <v>367</v>
      </c>
      <c r="E192" s="1">
        <v>1</v>
      </c>
      <c r="F192" s="1">
        <v>3</v>
      </c>
      <c r="G192" s="1">
        <v>0</v>
      </c>
      <c r="H192" s="1">
        <v>0</v>
      </c>
      <c r="I192" s="1">
        <v>0</v>
      </c>
      <c r="J192" s="1">
        <v>0</v>
      </c>
      <c r="K192" s="1">
        <v>3</v>
      </c>
      <c r="L192" s="1">
        <v>0</v>
      </c>
      <c r="M192" s="1">
        <v>0</v>
      </c>
      <c r="N192" s="1">
        <v>0</v>
      </c>
    </row>
    <row r="193" spans="1:14">
      <c r="A193" s="1" t="s">
        <v>368</v>
      </c>
      <c r="B193" s="1">
        <v>2</v>
      </c>
      <c r="C193" s="1"/>
      <c r="D193" s="1" t="s">
        <v>369</v>
      </c>
      <c r="E193" s="1">
        <v>0</v>
      </c>
      <c r="F193" s="1">
        <v>0</v>
      </c>
      <c r="G193" s="1">
        <v>0</v>
      </c>
      <c r="H193" s="1">
        <v>0</v>
      </c>
      <c r="I193" s="1">
        <v>0</v>
      </c>
      <c r="J193" s="1">
        <v>0</v>
      </c>
      <c r="K193" s="1">
        <v>0</v>
      </c>
      <c r="L193" s="1">
        <v>0</v>
      </c>
      <c r="M193" s="1">
        <v>0</v>
      </c>
      <c r="N193" s="1">
        <v>0</v>
      </c>
    </row>
    <row r="194" spans="1:14">
      <c r="A194" s="1" t="s">
        <v>370</v>
      </c>
      <c r="B194" s="1">
        <v>7</v>
      </c>
      <c r="C194" s="1"/>
      <c r="D194" s="1" t="s">
        <v>371</v>
      </c>
      <c r="E194" s="1">
        <v>0</v>
      </c>
      <c r="F194" s="1">
        <v>0</v>
      </c>
      <c r="G194" s="1">
        <v>0</v>
      </c>
      <c r="H194" s="1">
        <v>0</v>
      </c>
      <c r="I194" s="1">
        <v>0</v>
      </c>
      <c r="J194" s="1">
        <v>0</v>
      </c>
      <c r="K194" s="1">
        <v>0</v>
      </c>
      <c r="L194" s="1">
        <v>0</v>
      </c>
      <c r="M194" s="1">
        <v>0</v>
      </c>
      <c r="N194" s="1">
        <v>0</v>
      </c>
    </row>
    <row r="195" spans="1:14">
      <c r="A195" s="1" t="s">
        <v>372</v>
      </c>
      <c r="B195" s="1">
        <v>11</v>
      </c>
      <c r="C195" s="1"/>
      <c r="D195" s="1"/>
      <c r="E195" s="1">
        <v>0</v>
      </c>
      <c r="F195" s="1">
        <v>0</v>
      </c>
      <c r="G195" s="1">
        <v>0</v>
      </c>
      <c r="H195" s="1">
        <v>0</v>
      </c>
      <c r="I195" s="1">
        <v>0</v>
      </c>
      <c r="J195" s="1">
        <v>0</v>
      </c>
      <c r="K195" s="1">
        <v>0</v>
      </c>
      <c r="L195" s="1">
        <v>0</v>
      </c>
      <c r="M195" s="1">
        <v>0</v>
      </c>
      <c r="N195" s="1">
        <v>0</v>
      </c>
    </row>
    <row r="196" spans="1:14">
      <c r="A196" s="1" t="s">
        <v>373</v>
      </c>
      <c r="B196" s="1">
        <v>6</v>
      </c>
      <c r="C196" s="1"/>
      <c r="D196" s="1" t="s">
        <v>374</v>
      </c>
      <c r="E196" s="1">
        <v>0</v>
      </c>
      <c r="F196" s="1">
        <v>0</v>
      </c>
      <c r="G196" s="1">
        <v>0</v>
      </c>
      <c r="H196" s="1">
        <v>0</v>
      </c>
      <c r="I196" s="1">
        <v>0</v>
      </c>
      <c r="J196" s="1">
        <v>0</v>
      </c>
      <c r="K196" s="1">
        <v>0</v>
      </c>
      <c r="L196" s="1">
        <v>0</v>
      </c>
      <c r="M196" s="1">
        <v>0</v>
      </c>
      <c r="N196" s="1">
        <v>0</v>
      </c>
    </row>
    <row r="197" spans="1:14">
      <c r="A197" s="1" t="s">
        <v>375</v>
      </c>
      <c r="B197" s="1">
        <v>2</v>
      </c>
      <c r="C197" s="1"/>
      <c r="D197" s="1" t="s">
        <v>376</v>
      </c>
      <c r="E197" s="1">
        <v>0</v>
      </c>
      <c r="F197" s="1">
        <v>0</v>
      </c>
      <c r="G197" s="1">
        <v>0</v>
      </c>
      <c r="H197" s="1">
        <v>0</v>
      </c>
      <c r="I197" s="1">
        <v>0</v>
      </c>
      <c r="J197" s="1">
        <v>0</v>
      </c>
      <c r="K197" s="1">
        <v>0</v>
      </c>
      <c r="L197" s="1">
        <v>0</v>
      </c>
      <c r="M197" s="1">
        <v>0</v>
      </c>
      <c r="N197" s="1">
        <v>0</v>
      </c>
    </row>
    <row r="198" spans="1:14">
      <c r="A198" s="1" t="s">
        <v>377</v>
      </c>
      <c r="B198" s="1">
        <v>1</v>
      </c>
      <c r="C198" s="1"/>
      <c r="D198" s="1" t="s">
        <v>378</v>
      </c>
      <c r="E198" s="1">
        <v>0</v>
      </c>
      <c r="F198" s="1">
        <v>0</v>
      </c>
      <c r="G198" s="1">
        <v>0</v>
      </c>
      <c r="H198" s="1">
        <v>0</v>
      </c>
      <c r="I198" s="1">
        <v>0</v>
      </c>
      <c r="J198" s="1">
        <v>0</v>
      </c>
      <c r="K198" s="1">
        <v>0</v>
      </c>
      <c r="L198" s="1">
        <v>0</v>
      </c>
      <c r="M198" s="1">
        <v>0</v>
      </c>
      <c r="N198" s="1">
        <v>0</v>
      </c>
    </row>
    <row r="199" spans="1:14">
      <c r="A199" s="1" t="s">
        <v>379</v>
      </c>
      <c r="B199" s="1">
        <v>4</v>
      </c>
      <c r="C199" s="1"/>
      <c r="D199" s="1"/>
      <c r="E199" s="1">
        <v>0</v>
      </c>
      <c r="F199" s="1">
        <v>0</v>
      </c>
      <c r="G199" s="1">
        <v>0</v>
      </c>
      <c r="H199" s="1">
        <v>0</v>
      </c>
      <c r="I199" s="1">
        <v>0</v>
      </c>
      <c r="J199" s="1">
        <v>0</v>
      </c>
      <c r="K199" s="1">
        <v>0</v>
      </c>
      <c r="L199" s="1">
        <v>0</v>
      </c>
      <c r="M199" s="1">
        <v>0</v>
      </c>
      <c r="N199" s="1">
        <v>0</v>
      </c>
    </row>
    <row r="200" spans="1:14">
      <c r="A200" s="1" t="s">
        <v>380</v>
      </c>
      <c r="B200" s="1">
        <v>3</v>
      </c>
      <c r="C200" s="1"/>
      <c r="D200" s="1" t="s">
        <v>381</v>
      </c>
      <c r="E200" s="1">
        <v>0.66666666699999999</v>
      </c>
      <c r="F200" s="1">
        <v>1</v>
      </c>
      <c r="G200" s="1">
        <v>0</v>
      </c>
      <c r="H200" s="1">
        <v>0</v>
      </c>
      <c r="I200" s="1">
        <v>1</v>
      </c>
      <c r="J200" s="1">
        <v>0</v>
      </c>
      <c r="K200" s="1">
        <v>0</v>
      </c>
      <c r="L200" s="1">
        <v>0</v>
      </c>
      <c r="M200" s="1">
        <v>0</v>
      </c>
      <c r="N200" s="1">
        <v>0.5</v>
      </c>
    </row>
    <row r="201" spans="1:14">
      <c r="A201" s="1" t="s">
        <v>382</v>
      </c>
      <c r="B201" s="1">
        <v>10</v>
      </c>
      <c r="C201" s="1"/>
      <c r="D201" s="1" t="s">
        <v>383</v>
      </c>
      <c r="E201" s="1">
        <v>2</v>
      </c>
      <c r="F201" s="1">
        <v>6</v>
      </c>
      <c r="G201" s="1">
        <v>0</v>
      </c>
      <c r="H201" s="1">
        <v>0</v>
      </c>
      <c r="I201" s="1">
        <v>3</v>
      </c>
      <c r="J201" s="1">
        <v>0</v>
      </c>
      <c r="K201" s="1">
        <v>3</v>
      </c>
      <c r="L201" s="1">
        <v>0</v>
      </c>
      <c r="M201" s="1">
        <v>0</v>
      </c>
      <c r="N201" s="1">
        <v>0</v>
      </c>
    </row>
    <row r="202" spans="1:14">
      <c r="A202" s="1" t="s">
        <v>384</v>
      </c>
      <c r="B202" s="1">
        <v>3</v>
      </c>
      <c r="C202" s="1"/>
      <c r="D202" s="1" t="s">
        <v>385</v>
      </c>
      <c r="E202" s="1">
        <v>0</v>
      </c>
      <c r="F202" s="1">
        <v>0</v>
      </c>
      <c r="G202" s="1">
        <v>0</v>
      </c>
      <c r="H202" s="1">
        <v>0</v>
      </c>
      <c r="I202" s="1">
        <v>0</v>
      </c>
      <c r="J202" s="1">
        <v>0</v>
      </c>
      <c r="K202" s="1">
        <v>0</v>
      </c>
      <c r="L202" s="1">
        <v>0</v>
      </c>
      <c r="M202" s="1">
        <v>0</v>
      </c>
      <c r="N202" s="1">
        <v>0</v>
      </c>
    </row>
    <row r="203" spans="1:14">
      <c r="A203" s="1" t="s">
        <v>386</v>
      </c>
      <c r="B203" s="1">
        <v>1</v>
      </c>
      <c r="C203" s="1"/>
      <c r="D203" s="1" t="s">
        <v>387</v>
      </c>
      <c r="E203" s="1">
        <v>0</v>
      </c>
      <c r="F203" s="1">
        <v>0</v>
      </c>
      <c r="G203" s="1">
        <v>0</v>
      </c>
      <c r="H203" s="1">
        <v>0</v>
      </c>
      <c r="I203" s="1">
        <v>0</v>
      </c>
      <c r="J203" s="1">
        <v>0</v>
      </c>
      <c r="K203" s="1">
        <v>0</v>
      </c>
      <c r="L203" s="1">
        <v>0</v>
      </c>
      <c r="M203" s="1">
        <v>0</v>
      </c>
      <c r="N203" s="1">
        <v>0</v>
      </c>
    </row>
    <row r="204" spans="1:14">
      <c r="A204" s="1" t="s">
        <v>388</v>
      </c>
      <c r="B204" s="1">
        <v>3</v>
      </c>
      <c r="C204" s="1"/>
      <c r="D204" s="1" t="s">
        <v>389</v>
      </c>
      <c r="E204" s="1">
        <v>0</v>
      </c>
      <c r="F204" s="1">
        <v>0</v>
      </c>
      <c r="G204" s="1">
        <v>0</v>
      </c>
      <c r="H204" s="1">
        <v>0</v>
      </c>
      <c r="I204" s="1">
        <v>0</v>
      </c>
      <c r="J204" s="1">
        <v>0</v>
      </c>
      <c r="K204" s="1">
        <v>0</v>
      </c>
      <c r="L204" s="1">
        <v>0</v>
      </c>
      <c r="M204" s="1">
        <v>0</v>
      </c>
      <c r="N204" s="1">
        <v>0</v>
      </c>
    </row>
    <row r="205" spans="1:14">
      <c r="A205" s="1" t="s">
        <v>390</v>
      </c>
      <c r="B205" s="1">
        <v>10</v>
      </c>
      <c r="C205" s="1"/>
      <c r="D205" s="1" t="s">
        <v>391</v>
      </c>
      <c r="E205" s="1">
        <v>0.5</v>
      </c>
      <c r="F205" s="1">
        <v>0</v>
      </c>
      <c r="G205" s="1">
        <v>0</v>
      </c>
      <c r="H205" s="1">
        <v>1</v>
      </c>
      <c r="I205" s="1">
        <v>0</v>
      </c>
      <c r="J205" s="1">
        <v>0</v>
      </c>
      <c r="K205" s="1">
        <v>0</v>
      </c>
      <c r="L205" s="1">
        <v>0</v>
      </c>
      <c r="M205" s="1">
        <v>0</v>
      </c>
      <c r="N205" s="1">
        <v>0</v>
      </c>
    </row>
    <row r="206" spans="1:14">
      <c r="A206" s="1" t="s">
        <v>392</v>
      </c>
      <c r="B206" s="1">
        <v>1</v>
      </c>
      <c r="C206" s="1"/>
      <c r="D206" s="1" t="s">
        <v>393</v>
      </c>
      <c r="E206" s="1">
        <v>0</v>
      </c>
      <c r="F206" s="1">
        <v>0</v>
      </c>
      <c r="G206" s="1">
        <v>0</v>
      </c>
      <c r="H206" s="1">
        <v>0</v>
      </c>
      <c r="I206" s="1">
        <v>0</v>
      </c>
      <c r="J206" s="1">
        <v>0</v>
      </c>
      <c r="K206" s="1">
        <v>0</v>
      </c>
      <c r="L206" s="1">
        <v>0</v>
      </c>
      <c r="M206" s="1">
        <v>0</v>
      </c>
      <c r="N206" s="1">
        <v>0</v>
      </c>
    </row>
    <row r="207" spans="1:14">
      <c r="A207" s="1" t="s">
        <v>394</v>
      </c>
      <c r="B207" s="1">
        <v>2</v>
      </c>
      <c r="C207" s="1"/>
      <c r="D207" s="1" t="s">
        <v>395</v>
      </c>
      <c r="E207" s="1">
        <v>0</v>
      </c>
      <c r="F207" s="1">
        <v>0</v>
      </c>
      <c r="G207" s="1">
        <v>0</v>
      </c>
      <c r="H207" s="1">
        <v>0</v>
      </c>
      <c r="I207" s="1">
        <v>0</v>
      </c>
      <c r="J207" s="1">
        <v>0</v>
      </c>
      <c r="K207" s="1">
        <v>0</v>
      </c>
      <c r="L207" s="1">
        <v>0</v>
      </c>
      <c r="M207" s="1">
        <v>0</v>
      </c>
      <c r="N207" s="1">
        <v>0</v>
      </c>
    </row>
    <row r="208" spans="1:14">
      <c r="A208" s="1" t="s">
        <v>396</v>
      </c>
      <c r="B208" s="1">
        <v>2</v>
      </c>
      <c r="C208" s="1"/>
      <c r="D208" s="1" t="s">
        <v>397</v>
      </c>
      <c r="E208" s="1">
        <v>0.5</v>
      </c>
      <c r="F208" s="1">
        <v>1.5</v>
      </c>
      <c r="G208" s="1">
        <v>0</v>
      </c>
      <c r="H208" s="1">
        <v>0</v>
      </c>
      <c r="I208" s="1">
        <v>3</v>
      </c>
      <c r="J208" s="1">
        <v>0</v>
      </c>
      <c r="K208" s="1">
        <v>0</v>
      </c>
      <c r="L208" s="1">
        <v>0</v>
      </c>
      <c r="M208" s="1">
        <v>0</v>
      </c>
      <c r="N208" s="1">
        <v>0</v>
      </c>
    </row>
    <row r="209" spans="1:14">
      <c r="A209" s="1" t="s">
        <v>398</v>
      </c>
      <c r="B209" s="1">
        <v>0</v>
      </c>
      <c r="C209" s="1"/>
      <c r="D209" s="1" t="s">
        <v>399</v>
      </c>
      <c r="E209" s="1">
        <v>0</v>
      </c>
      <c r="F209" s="1">
        <v>0</v>
      </c>
      <c r="G209" s="1">
        <v>0</v>
      </c>
      <c r="H209" s="1">
        <v>0</v>
      </c>
      <c r="I209" s="1">
        <v>0</v>
      </c>
      <c r="J209" s="1">
        <v>0</v>
      </c>
      <c r="K209" s="1">
        <v>0</v>
      </c>
      <c r="L209" s="1">
        <v>0</v>
      </c>
      <c r="M209" s="1">
        <v>0</v>
      </c>
      <c r="N209" s="1">
        <v>0</v>
      </c>
    </row>
    <row r="210" spans="1:14">
      <c r="A210" s="1" t="s">
        <v>400</v>
      </c>
      <c r="B210" s="1"/>
      <c r="C210" s="1"/>
      <c r="D210" s="1" t="s">
        <v>401</v>
      </c>
      <c r="E210" s="1">
        <v>1.5</v>
      </c>
      <c r="F210" s="1">
        <v>4.5</v>
      </c>
      <c r="G210" s="1">
        <v>0</v>
      </c>
      <c r="H210" s="1">
        <v>0</v>
      </c>
      <c r="I210" s="1">
        <v>3</v>
      </c>
      <c r="J210" s="1">
        <v>0</v>
      </c>
      <c r="K210" s="1">
        <v>0</v>
      </c>
      <c r="L210" s="1">
        <v>0</v>
      </c>
      <c r="M210" s="1">
        <v>0</v>
      </c>
      <c r="N210" s="1">
        <v>0</v>
      </c>
    </row>
    <row r="211" spans="1:14">
      <c r="A211" s="1" t="s">
        <v>402</v>
      </c>
      <c r="B211" s="1"/>
      <c r="C211" s="1"/>
      <c r="D211" s="1" t="s">
        <v>403</v>
      </c>
      <c r="E211" s="1">
        <v>3</v>
      </c>
      <c r="F211" s="1">
        <v>9</v>
      </c>
      <c r="G211" s="1">
        <v>0</v>
      </c>
      <c r="H211" s="1">
        <v>0</v>
      </c>
      <c r="I211" s="1">
        <v>0</v>
      </c>
      <c r="J211" s="1">
        <v>0</v>
      </c>
      <c r="K211" s="1">
        <v>3</v>
      </c>
      <c r="L211" s="1">
        <v>0</v>
      </c>
      <c r="M211" s="1">
        <v>0</v>
      </c>
      <c r="N211" s="1">
        <v>0</v>
      </c>
    </row>
    <row r="212" spans="1:14">
      <c r="A212" s="1" t="s">
        <v>404</v>
      </c>
      <c r="B212" s="1"/>
      <c r="C212" s="1"/>
      <c r="D212" s="1" t="s">
        <v>405</v>
      </c>
      <c r="E212" s="1">
        <v>1.5</v>
      </c>
      <c r="F212" s="1">
        <v>4.5</v>
      </c>
      <c r="G212" s="1">
        <v>0</v>
      </c>
      <c r="H212" s="1">
        <v>0</v>
      </c>
      <c r="I212" s="1">
        <v>0</v>
      </c>
      <c r="J212" s="1">
        <v>0</v>
      </c>
      <c r="K212" s="1">
        <v>3</v>
      </c>
      <c r="L212" s="1">
        <v>0</v>
      </c>
      <c r="M212" s="1">
        <v>0</v>
      </c>
      <c r="N212" s="1">
        <v>0</v>
      </c>
    </row>
    <row r="213" spans="1:14">
      <c r="A213" s="1" t="s">
        <v>406</v>
      </c>
      <c r="B213" s="1"/>
      <c r="C213" s="1"/>
      <c r="D213" s="1" t="s">
        <v>407</v>
      </c>
      <c r="E213" s="1">
        <v>1.5</v>
      </c>
      <c r="F213" s="1">
        <v>4.5</v>
      </c>
      <c r="G213" s="1">
        <v>0</v>
      </c>
      <c r="H213" s="1">
        <v>0</v>
      </c>
      <c r="I213" s="1">
        <v>3</v>
      </c>
      <c r="J213" s="1">
        <v>0</v>
      </c>
      <c r="K213" s="1">
        <v>0</v>
      </c>
      <c r="L213" s="1">
        <v>0</v>
      </c>
      <c r="M213" s="1">
        <v>0</v>
      </c>
      <c r="N213" s="1">
        <v>0</v>
      </c>
    </row>
    <row r="214" spans="1:14">
      <c r="A214" s="1" t="s">
        <v>408</v>
      </c>
      <c r="B214" s="1"/>
      <c r="C214" s="1"/>
      <c r="D214" s="1" t="s">
        <v>409</v>
      </c>
      <c r="E214" s="1">
        <v>0</v>
      </c>
      <c r="F214" s="1">
        <v>0</v>
      </c>
      <c r="G214" s="1">
        <v>0</v>
      </c>
      <c r="H214" s="1">
        <v>0</v>
      </c>
      <c r="I214" s="1">
        <v>0</v>
      </c>
      <c r="J214" s="1">
        <v>0</v>
      </c>
      <c r="K214" s="1">
        <v>0</v>
      </c>
      <c r="L214" s="1">
        <v>0</v>
      </c>
      <c r="M214" s="1">
        <v>0</v>
      </c>
      <c r="N214" s="1">
        <v>0</v>
      </c>
    </row>
    <row r="215" spans="1:14">
      <c r="A215" s="1" t="s">
        <v>410</v>
      </c>
      <c r="B215" s="1">
        <v>1</v>
      </c>
      <c r="C215" s="1"/>
      <c r="D215" s="1" t="s">
        <v>411</v>
      </c>
      <c r="E215" s="1">
        <v>0</v>
      </c>
      <c r="F215" s="1">
        <v>0</v>
      </c>
      <c r="G215" s="1">
        <v>0</v>
      </c>
      <c r="H215" s="1">
        <v>0</v>
      </c>
      <c r="I215" s="1">
        <v>0</v>
      </c>
      <c r="J215" s="1">
        <v>0</v>
      </c>
      <c r="K215" s="1">
        <v>0</v>
      </c>
      <c r="L215" s="1">
        <v>0</v>
      </c>
      <c r="M215" s="1">
        <v>0</v>
      </c>
      <c r="N215" s="1">
        <v>0</v>
      </c>
    </row>
    <row r="216" spans="1:14">
      <c r="A216" s="1" t="s">
        <v>412</v>
      </c>
      <c r="B216" s="1">
        <v>101</v>
      </c>
      <c r="C216" s="1"/>
      <c r="D216" s="1" t="s">
        <v>413</v>
      </c>
      <c r="E216" s="1">
        <v>0</v>
      </c>
      <c r="F216" s="1">
        <v>0</v>
      </c>
      <c r="G216" s="1">
        <v>0</v>
      </c>
      <c r="H216" s="1">
        <v>0</v>
      </c>
      <c r="I216" s="1">
        <v>0</v>
      </c>
      <c r="J216" s="1">
        <v>0</v>
      </c>
      <c r="K216" s="1">
        <v>0</v>
      </c>
      <c r="L216" s="1">
        <v>0</v>
      </c>
      <c r="M216" s="1">
        <v>0</v>
      </c>
      <c r="N216" s="1">
        <v>0</v>
      </c>
    </row>
    <row r="217" spans="1:14">
      <c r="A217" s="1" t="s">
        <v>414</v>
      </c>
      <c r="B217" s="1">
        <v>76</v>
      </c>
      <c r="C217" s="1"/>
      <c r="D217" s="1" t="s">
        <v>415</v>
      </c>
      <c r="E217" s="1">
        <v>0.33333333300000001</v>
      </c>
      <c r="F217" s="1">
        <v>0</v>
      </c>
      <c r="G217" s="1">
        <v>0</v>
      </c>
      <c r="H217" s="1">
        <v>1</v>
      </c>
      <c r="I217" s="1">
        <v>0</v>
      </c>
      <c r="J217" s="1">
        <v>0</v>
      </c>
      <c r="K217" s="1">
        <v>0</v>
      </c>
      <c r="L217" s="1">
        <v>0</v>
      </c>
      <c r="M217" s="1">
        <v>0</v>
      </c>
      <c r="N217" s="1">
        <v>0</v>
      </c>
    </row>
    <row r="218" spans="1:14">
      <c r="A218" s="1" t="s">
        <v>416</v>
      </c>
      <c r="B218" s="1">
        <v>60</v>
      </c>
      <c r="C218" s="1"/>
      <c r="D218" s="1" t="s">
        <v>417</v>
      </c>
      <c r="E218" s="1">
        <v>0.33333333300000001</v>
      </c>
      <c r="F218" s="1">
        <v>0</v>
      </c>
      <c r="G218" s="1">
        <v>0</v>
      </c>
      <c r="H218" s="1">
        <v>1</v>
      </c>
      <c r="I218" s="1">
        <v>0</v>
      </c>
      <c r="J218" s="1">
        <v>0</v>
      </c>
      <c r="K218" s="1">
        <v>0</v>
      </c>
      <c r="L218" s="1">
        <v>0</v>
      </c>
      <c r="M218" s="1">
        <v>0</v>
      </c>
      <c r="N218" s="1">
        <v>0</v>
      </c>
    </row>
    <row r="219" spans="1:14">
      <c r="A219" s="1" t="s">
        <v>418</v>
      </c>
      <c r="B219" s="1">
        <v>14</v>
      </c>
      <c r="C219" s="1"/>
      <c r="D219" s="1" t="s">
        <v>419</v>
      </c>
      <c r="E219" s="1">
        <v>0.5</v>
      </c>
      <c r="F219" s="1">
        <v>0</v>
      </c>
      <c r="G219" s="1">
        <v>0</v>
      </c>
      <c r="H219" s="1">
        <v>1</v>
      </c>
      <c r="I219" s="1">
        <v>0</v>
      </c>
      <c r="J219" s="1">
        <v>0</v>
      </c>
      <c r="K219" s="1">
        <v>0</v>
      </c>
      <c r="L219" s="1">
        <v>0</v>
      </c>
      <c r="M219" s="1">
        <v>0</v>
      </c>
      <c r="N219" s="1">
        <v>0</v>
      </c>
    </row>
    <row r="220" spans="1:14">
      <c r="A220" s="1" t="s">
        <v>420</v>
      </c>
      <c r="B220" s="1">
        <v>16</v>
      </c>
      <c r="C220" s="1"/>
      <c r="D220" s="1" t="s">
        <v>421</v>
      </c>
      <c r="E220" s="1">
        <v>0</v>
      </c>
      <c r="F220" s="1">
        <v>0</v>
      </c>
      <c r="G220" s="1">
        <v>0</v>
      </c>
      <c r="H220" s="1">
        <v>0</v>
      </c>
      <c r="I220" s="1">
        <v>0</v>
      </c>
      <c r="J220" s="1">
        <v>0</v>
      </c>
      <c r="K220" s="1">
        <v>0</v>
      </c>
      <c r="L220" s="1">
        <v>0</v>
      </c>
      <c r="M220" s="1">
        <v>0</v>
      </c>
      <c r="N220" s="1">
        <v>0</v>
      </c>
    </row>
    <row r="221" spans="1:14">
      <c r="A221" s="1" t="s">
        <v>422</v>
      </c>
      <c r="B221" s="1">
        <v>8</v>
      </c>
      <c r="C221" s="1"/>
      <c r="D221" s="1" t="s">
        <v>423</v>
      </c>
      <c r="E221" s="1">
        <v>1</v>
      </c>
      <c r="F221" s="1">
        <v>1.5</v>
      </c>
      <c r="G221" s="1">
        <v>0</v>
      </c>
      <c r="H221" s="1">
        <v>1</v>
      </c>
      <c r="I221" s="1">
        <v>1</v>
      </c>
      <c r="J221" s="1">
        <v>0</v>
      </c>
      <c r="K221" s="1">
        <v>0</v>
      </c>
      <c r="L221" s="1">
        <v>0</v>
      </c>
      <c r="M221" s="1">
        <v>0</v>
      </c>
      <c r="N221" s="1">
        <v>0</v>
      </c>
    </row>
    <row r="222" spans="1:14">
      <c r="A222" s="1" t="s">
        <v>424</v>
      </c>
      <c r="B222" s="1">
        <v>5</v>
      </c>
      <c r="C222" s="1"/>
      <c r="D222" s="1" t="s">
        <v>425</v>
      </c>
      <c r="E222" s="1">
        <v>0</v>
      </c>
      <c r="F222" s="1">
        <v>0</v>
      </c>
      <c r="G222" s="1">
        <v>0</v>
      </c>
      <c r="H222" s="1">
        <v>0</v>
      </c>
      <c r="I222" s="1">
        <v>0</v>
      </c>
      <c r="J222" s="1">
        <v>0</v>
      </c>
      <c r="K222" s="1">
        <v>0</v>
      </c>
      <c r="L222" s="1">
        <v>0</v>
      </c>
      <c r="M222" s="1">
        <v>0</v>
      </c>
      <c r="N222" s="1">
        <v>0</v>
      </c>
    </row>
    <row r="223" spans="1:14">
      <c r="A223" s="1" t="s">
        <v>426</v>
      </c>
      <c r="B223" s="1">
        <v>3</v>
      </c>
      <c r="C223" s="1"/>
      <c r="D223" s="1" t="s">
        <v>427</v>
      </c>
      <c r="E223" s="1">
        <v>0</v>
      </c>
      <c r="F223" s="1">
        <v>0</v>
      </c>
      <c r="G223" s="1">
        <v>0</v>
      </c>
      <c r="H223" s="1">
        <v>0</v>
      </c>
      <c r="I223" s="1">
        <v>0</v>
      </c>
      <c r="J223" s="1">
        <v>0</v>
      </c>
      <c r="K223" s="1">
        <v>0</v>
      </c>
      <c r="L223" s="1">
        <v>0</v>
      </c>
      <c r="M223" s="1">
        <v>0</v>
      </c>
      <c r="N223" s="1">
        <v>0</v>
      </c>
    </row>
    <row r="224" spans="1:14">
      <c r="A224" s="1" t="s">
        <v>428</v>
      </c>
      <c r="B224" s="1">
        <v>2</v>
      </c>
      <c r="C224" s="1"/>
      <c r="D224" s="1" t="s">
        <v>429</v>
      </c>
      <c r="E224" s="1">
        <v>0</v>
      </c>
      <c r="F224" s="1">
        <v>0</v>
      </c>
      <c r="G224" s="1">
        <v>0</v>
      </c>
      <c r="H224" s="1">
        <v>0</v>
      </c>
      <c r="I224" s="1">
        <v>0</v>
      </c>
      <c r="J224" s="1">
        <v>0</v>
      </c>
      <c r="K224" s="1">
        <v>0</v>
      </c>
      <c r="L224" s="1">
        <v>0</v>
      </c>
      <c r="M224" s="1">
        <v>0</v>
      </c>
      <c r="N224" s="1">
        <v>0</v>
      </c>
    </row>
    <row r="225" spans="1:14">
      <c r="A225" s="1" t="s">
        <v>430</v>
      </c>
      <c r="B225" s="1">
        <v>1</v>
      </c>
      <c r="C225" s="1"/>
      <c r="D225" s="1" t="s">
        <v>431</v>
      </c>
      <c r="E225" s="1">
        <v>0</v>
      </c>
      <c r="F225" s="1">
        <v>0</v>
      </c>
      <c r="G225" s="1">
        <v>0</v>
      </c>
      <c r="H225" s="1">
        <v>0</v>
      </c>
      <c r="I225" s="1">
        <v>0</v>
      </c>
      <c r="J225" s="1">
        <v>0</v>
      </c>
      <c r="K225" s="1">
        <v>0</v>
      </c>
      <c r="L225" s="1">
        <v>0</v>
      </c>
      <c r="M225" s="1">
        <v>0</v>
      </c>
      <c r="N225" s="1">
        <v>0</v>
      </c>
    </row>
    <row r="226" spans="1:14">
      <c r="A226" s="1" t="s">
        <v>432</v>
      </c>
      <c r="B226" s="1">
        <v>3</v>
      </c>
      <c r="C226" s="1"/>
      <c r="D226" s="1" t="s">
        <v>433</v>
      </c>
      <c r="E226" s="1">
        <v>0</v>
      </c>
      <c r="F226" s="1">
        <v>0</v>
      </c>
      <c r="G226" s="1">
        <v>0</v>
      </c>
      <c r="H226" s="1">
        <v>0</v>
      </c>
      <c r="I226" s="1">
        <v>0</v>
      </c>
      <c r="J226" s="1">
        <v>0</v>
      </c>
      <c r="K226" s="1">
        <v>0</v>
      </c>
      <c r="L226" s="1">
        <v>0</v>
      </c>
      <c r="M226" s="1">
        <v>0</v>
      </c>
      <c r="N226" s="1">
        <v>0</v>
      </c>
    </row>
    <row r="227" spans="1:14">
      <c r="A227" s="1" t="s">
        <v>434</v>
      </c>
      <c r="B227" s="1">
        <v>17</v>
      </c>
      <c r="C227" s="1"/>
      <c r="D227" s="1" t="s">
        <v>435</v>
      </c>
      <c r="E227" s="1">
        <v>1.5</v>
      </c>
      <c r="F227" s="1">
        <v>4.5</v>
      </c>
      <c r="G227" s="1">
        <v>0</v>
      </c>
      <c r="H227" s="1">
        <v>0</v>
      </c>
      <c r="I227" s="1">
        <v>0</v>
      </c>
      <c r="J227" s="1">
        <v>0</v>
      </c>
      <c r="K227" s="1">
        <v>3</v>
      </c>
      <c r="L227" s="1">
        <v>0</v>
      </c>
      <c r="M227" s="1">
        <v>0</v>
      </c>
      <c r="N227" s="1">
        <v>0</v>
      </c>
    </row>
    <row r="228" spans="1:14">
      <c r="A228" s="1" t="s">
        <v>436</v>
      </c>
      <c r="B228" s="1">
        <v>9</v>
      </c>
      <c r="C228" s="1"/>
      <c r="D228" s="1" t="s">
        <v>437</v>
      </c>
      <c r="E228" s="1">
        <v>0.33333333300000001</v>
      </c>
      <c r="F228" s="1">
        <v>0</v>
      </c>
      <c r="G228" s="1">
        <v>0</v>
      </c>
      <c r="H228" s="1">
        <v>1</v>
      </c>
      <c r="I228" s="1">
        <v>0</v>
      </c>
      <c r="J228" s="1">
        <v>0</v>
      </c>
      <c r="K228" s="1">
        <v>0</v>
      </c>
      <c r="L228" s="1">
        <v>0</v>
      </c>
      <c r="M228" s="1">
        <v>0</v>
      </c>
      <c r="N228" s="1">
        <v>0</v>
      </c>
    </row>
    <row r="229" spans="1:14">
      <c r="A229" s="1" t="s">
        <v>438</v>
      </c>
      <c r="B229" s="1">
        <v>3</v>
      </c>
      <c r="C229" s="1"/>
      <c r="D229" s="1" t="s">
        <v>439</v>
      </c>
      <c r="E229" s="1">
        <v>0</v>
      </c>
      <c r="F229" s="1">
        <v>0</v>
      </c>
      <c r="G229" s="1">
        <v>0</v>
      </c>
      <c r="H229" s="1">
        <v>0</v>
      </c>
      <c r="I229" s="1">
        <v>0</v>
      </c>
      <c r="J229" s="1">
        <v>0</v>
      </c>
      <c r="K229" s="1">
        <v>0</v>
      </c>
      <c r="L229" s="1">
        <v>0</v>
      </c>
      <c r="M229" s="1">
        <v>0</v>
      </c>
      <c r="N229" s="1">
        <v>0</v>
      </c>
    </row>
    <row r="230" spans="1:14">
      <c r="A230" s="1" t="s">
        <v>440</v>
      </c>
      <c r="B230" s="1">
        <v>2</v>
      </c>
      <c r="C230" s="1"/>
      <c r="D230" s="1" t="s">
        <v>441</v>
      </c>
      <c r="E230" s="1">
        <v>1</v>
      </c>
      <c r="F230" s="1">
        <v>0</v>
      </c>
      <c r="G230" s="1">
        <v>0</v>
      </c>
      <c r="H230" s="1">
        <v>1</v>
      </c>
      <c r="I230" s="1">
        <v>0</v>
      </c>
      <c r="J230" s="1">
        <v>0</v>
      </c>
      <c r="K230" s="1">
        <v>0</v>
      </c>
      <c r="L230" s="1">
        <v>0</v>
      </c>
      <c r="M230" s="1">
        <v>0</v>
      </c>
      <c r="N230" s="1">
        <v>0</v>
      </c>
    </row>
    <row r="231" spans="1:14">
      <c r="A231" s="1" t="s">
        <v>442</v>
      </c>
      <c r="B231" s="1">
        <v>3</v>
      </c>
      <c r="C231" s="1"/>
      <c r="D231" s="1" t="s">
        <v>443</v>
      </c>
      <c r="E231" s="1">
        <v>0</v>
      </c>
      <c r="F231" s="1">
        <v>0</v>
      </c>
      <c r="G231" s="1">
        <v>0</v>
      </c>
      <c r="H231" s="1">
        <v>0</v>
      </c>
      <c r="I231" s="1">
        <v>0</v>
      </c>
      <c r="J231" s="1">
        <v>0</v>
      </c>
      <c r="K231" s="1">
        <v>0</v>
      </c>
      <c r="L231" s="1">
        <v>0</v>
      </c>
      <c r="M231" s="1">
        <v>0</v>
      </c>
      <c r="N231" s="1">
        <v>0</v>
      </c>
    </row>
    <row r="232" spans="1:14">
      <c r="A232" s="1" t="s">
        <v>444</v>
      </c>
      <c r="B232" s="1">
        <v>7</v>
      </c>
      <c r="C232" s="1"/>
      <c r="D232" s="1" t="s">
        <v>445</v>
      </c>
      <c r="E232" s="1">
        <v>0</v>
      </c>
      <c r="F232" s="1">
        <v>0</v>
      </c>
      <c r="G232" s="1">
        <v>0</v>
      </c>
      <c r="H232" s="1">
        <v>0</v>
      </c>
      <c r="I232" s="1">
        <v>0</v>
      </c>
      <c r="J232" s="1">
        <v>0</v>
      </c>
      <c r="K232" s="1">
        <v>0</v>
      </c>
      <c r="L232" s="1">
        <v>0</v>
      </c>
      <c r="M232" s="1">
        <v>0</v>
      </c>
      <c r="N232" s="1">
        <v>0</v>
      </c>
    </row>
    <row r="233" spans="1:14">
      <c r="A233" s="1" t="s">
        <v>446</v>
      </c>
      <c r="B233" s="1">
        <v>3</v>
      </c>
      <c r="C233" s="1"/>
      <c r="D233" s="1" t="s">
        <v>447</v>
      </c>
      <c r="E233" s="1">
        <v>0</v>
      </c>
      <c r="F233" s="1">
        <v>0</v>
      </c>
      <c r="G233" s="1">
        <v>0</v>
      </c>
      <c r="H233" s="1">
        <v>0</v>
      </c>
      <c r="I233" s="1">
        <v>0</v>
      </c>
      <c r="J233" s="1">
        <v>0</v>
      </c>
      <c r="K233" s="1">
        <v>0</v>
      </c>
      <c r="L233" s="1">
        <v>0</v>
      </c>
      <c r="M233" s="1">
        <v>0</v>
      </c>
      <c r="N233" s="1">
        <v>0</v>
      </c>
    </row>
    <row r="234" spans="1:14">
      <c r="A234" s="1" t="s">
        <v>448</v>
      </c>
      <c r="B234" s="1">
        <v>0</v>
      </c>
      <c r="C234" s="1"/>
      <c r="D234" s="1"/>
      <c r="E234" s="1">
        <v>0</v>
      </c>
      <c r="F234" s="1">
        <v>0</v>
      </c>
      <c r="G234" s="1">
        <v>0</v>
      </c>
      <c r="H234" s="1">
        <v>0</v>
      </c>
      <c r="I234" s="1">
        <v>0</v>
      </c>
      <c r="J234" s="1">
        <v>0</v>
      </c>
      <c r="K234" s="1">
        <v>0</v>
      </c>
      <c r="L234" s="1">
        <v>0</v>
      </c>
      <c r="M234" s="1">
        <v>0</v>
      </c>
      <c r="N234" s="1">
        <v>0</v>
      </c>
    </row>
    <row r="235" spans="1:14">
      <c r="A235" s="1" t="s">
        <v>449</v>
      </c>
      <c r="B235" s="1">
        <v>1</v>
      </c>
      <c r="C235" s="1"/>
      <c r="D235" s="1" t="s">
        <v>450</v>
      </c>
      <c r="E235" s="1">
        <v>0.428571429</v>
      </c>
      <c r="F235" s="1">
        <v>1.2857142859999999</v>
      </c>
      <c r="G235" s="1">
        <v>0</v>
      </c>
      <c r="H235" s="1">
        <v>0</v>
      </c>
      <c r="I235" s="1">
        <v>0</v>
      </c>
      <c r="J235" s="1">
        <v>0</v>
      </c>
      <c r="K235" s="1">
        <v>0</v>
      </c>
      <c r="L235" s="1">
        <v>0</v>
      </c>
      <c r="M235" s="1">
        <v>3</v>
      </c>
      <c r="N235" s="1">
        <v>0</v>
      </c>
    </row>
    <row r="236" spans="1:14">
      <c r="A236" s="1" t="s">
        <v>451</v>
      </c>
      <c r="B236" s="1">
        <v>1</v>
      </c>
      <c r="C236" s="1"/>
      <c r="D236" s="1" t="s">
        <v>452</v>
      </c>
      <c r="E236" s="1">
        <v>0</v>
      </c>
      <c r="F236" s="1">
        <v>0</v>
      </c>
      <c r="G236" s="1">
        <v>0</v>
      </c>
      <c r="H236" s="1">
        <v>0</v>
      </c>
      <c r="I236" s="1">
        <v>0</v>
      </c>
      <c r="J236" s="1">
        <v>0</v>
      </c>
      <c r="K236" s="1">
        <v>0</v>
      </c>
      <c r="L236" s="1">
        <v>0</v>
      </c>
      <c r="M236" s="1">
        <v>0</v>
      </c>
      <c r="N236" s="1">
        <v>0</v>
      </c>
    </row>
    <row r="237" spans="1:14">
      <c r="A237" s="1" t="s">
        <v>453</v>
      </c>
      <c r="B237" s="1">
        <v>284</v>
      </c>
      <c r="C237" s="1"/>
      <c r="D237" s="1" t="s">
        <v>454</v>
      </c>
      <c r="E237" s="1">
        <v>0</v>
      </c>
      <c r="F237" s="1">
        <v>0</v>
      </c>
      <c r="G237" s="1">
        <v>0</v>
      </c>
      <c r="H237" s="1">
        <v>0</v>
      </c>
      <c r="I237" s="1">
        <v>0</v>
      </c>
      <c r="J237" s="1">
        <v>0</v>
      </c>
      <c r="K237" s="1">
        <v>0</v>
      </c>
      <c r="L237" s="1">
        <v>0</v>
      </c>
      <c r="M237" s="1">
        <v>0</v>
      </c>
      <c r="N237" s="1">
        <v>0</v>
      </c>
    </row>
    <row r="238" spans="1:14">
      <c r="A238" s="1" t="s">
        <v>455</v>
      </c>
      <c r="B238" s="1">
        <v>54</v>
      </c>
      <c r="C238" s="1"/>
      <c r="D238" s="1" t="s">
        <v>456</v>
      </c>
      <c r="E238" s="1">
        <v>0</v>
      </c>
      <c r="F238" s="1">
        <v>0</v>
      </c>
      <c r="G238" s="1">
        <v>0</v>
      </c>
      <c r="H238" s="1">
        <v>0</v>
      </c>
      <c r="I238" s="1">
        <v>0</v>
      </c>
      <c r="J238" s="1">
        <v>0</v>
      </c>
      <c r="K238" s="1">
        <v>0</v>
      </c>
      <c r="L238" s="1">
        <v>0</v>
      </c>
      <c r="M238" s="1">
        <v>0</v>
      </c>
      <c r="N238" s="1">
        <v>0</v>
      </c>
    </row>
    <row r="239" spans="1:14">
      <c r="A239" s="1" t="s">
        <v>457</v>
      </c>
      <c r="B239" s="1">
        <v>51</v>
      </c>
      <c r="C239" s="1"/>
      <c r="D239" s="1" t="s">
        <v>458</v>
      </c>
      <c r="E239" s="1">
        <v>0</v>
      </c>
      <c r="F239" s="1">
        <v>0</v>
      </c>
      <c r="G239" s="1">
        <v>0</v>
      </c>
      <c r="H239" s="1">
        <v>0</v>
      </c>
      <c r="I239" s="1">
        <v>0</v>
      </c>
      <c r="J239" s="1">
        <v>0</v>
      </c>
      <c r="K239" s="1">
        <v>0</v>
      </c>
      <c r="L239" s="1">
        <v>0</v>
      </c>
      <c r="M239" s="1">
        <v>0</v>
      </c>
      <c r="N239" s="1">
        <v>0</v>
      </c>
    </row>
    <row r="240" spans="1:14">
      <c r="A240" s="1" t="s">
        <v>459</v>
      </c>
      <c r="B240" s="1">
        <v>8</v>
      </c>
      <c r="C240" s="1"/>
      <c r="D240" s="1" t="s">
        <v>460</v>
      </c>
      <c r="E240" s="1">
        <v>0</v>
      </c>
      <c r="F240" s="1">
        <v>0</v>
      </c>
      <c r="G240" s="1">
        <v>0</v>
      </c>
      <c r="H240" s="1">
        <v>0</v>
      </c>
      <c r="I240" s="1">
        <v>0</v>
      </c>
      <c r="J240" s="1">
        <v>0</v>
      </c>
      <c r="K240" s="1">
        <v>0</v>
      </c>
      <c r="L240" s="1">
        <v>0</v>
      </c>
      <c r="M240" s="1">
        <v>0</v>
      </c>
      <c r="N240" s="1">
        <v>0</v>
      </c>
    </row>
    <row r="241" spans="1:14">
      <c r="A241" s="1" t="s">
        <v>461</v>
      </c>
      <c r="B241" s="1">
        <v>10</v>
      </c>
      <c r="C241" s="1"/>
      <c r="D241" s="1" t="s">
        <v>462</v>
      </c>
      <c r="E241" s="1">
        <v>0</v>
      </c>
      <c r="F241" s="1">
        <v>0</v>
      </c>
      <c r="G241" s="1">
        <v>0</v>
      </c>
      <c r="H241" s="1">
        <v>0</v>
      </c>
      <c r="I241" s="1">
        <v>0</v>
      </c>
      <c r="J241" s="1">
        <v>0</v>
      </c>
      <c r="K241" s="1">
        <v>0</v>
      </c>
      <c r="L241" s="1">
        <v>0</v>
      </c>
      <c r="M241" s="1">
        <v>0</v>
      </c>
      <c r="N241" s="1">
        <v>0</v>
      </c>
    </row>
    <row r="242" spans="1:14">
      <c r="A242" s="1" t="s">
        <v>463</v>
      </c>
      <c r="B242" s="1">
        <v>148</v>
      </c>
      <c r="C242" s="1"/>
      <c r="D242" s="1" t="s">
        <v>464</v>
      </c>
      <c r="E242" s="1">
        <v>0</v>
      </c>
      <c r="F242" s="1">
        <v>0</v>
      </c>
      <c r="G242" s="1">
        <v>0</v>
      </c>
      <c r="H242" s="1">
        <v>0</v>
      </c>
      <c r="I242" s="1">
        <v>0</v>
      </c>
      <c r="J242" s="1">
        <v>0</v>
      </c>
      <c r="K242" s="1">
        <v>0</v>
      </c>
      <c r="L242" s="1">
        <v>0</v>
      </c>
      <c r="M242" s="1">
        <v>0</v>
      </c>
      <c r="N242" s="1">
        <v>0</v>
      </c>
    </row>
    <row r="243" spans="1:14">
      <c r="A243" s="1" t="s">
        <v>465</v>
      </c>
      <c r="B243" s="1">
        <v>151</v>
      </c>
      <c r="C243" s="1"/>
      <c r="D243" s="1" t="s">
        <v>466</v>
      </c>
      <c r="E243" s="1">
        <v>1</v>
      </c>
      <c r="F243" s="1">
        <v>3</v>
      </c>
      <c r="G243" s="1">
        <v>0</v>
      </c>
      <c r="H243" s="1">
        <v>0</v>
      </c>
      <c r="I243" s="1">
        <v>0</v>
      </c>
      <c r="J243" s="1">
        <v>0</v>
      </c>
      <c r="K243" s="1">
        <v>3</v>
      </c>
      <c r="L243" s="1">
        <v>0</v>
      </c>
      <c r="M243" s="1">
        <v>0</v>
      </c>
      <c r="N243" s="1">
        <v>0</v>
      </c>
    </row>
    <row r="244" spans="1:14">
      <c r="A244" s="1" t="s">
        <v>467</v>
      </c>
      <c r="B244" s="1">
        <v>107</v>
      </c>
      <c r="C244" s="1"/>
      <c r="D244" s="1" t="s">
        <v>468</v>
      </c>
      <c r="E244" s="1">
        <v>0.25</v>
      </c>
      <c r="F244" s="1">
        <v>0.75</v>
      </c>
      <c r="G244" s="1">
        <v>0</v>
      </c>
      <c r="H244" s="1">
        <v>0</v>
      </c>
      <c r="I244" s="1">
        <v>1</v>
      </c>
      <c r="J244" s="1">
        <v>0</v>
      </c>
      <c r="K244" s="1">
        <v>0</v>
      </c>
      <c r="L244" s="1">
        <v>0</v>
      </c>
      <c r="M244" s="1">
        <v>0</v>
      </c>
      <c r="N244" s="1">
        <v>0</v>
      </c>
    </row>
    <row r="245" spans="1:14">
      <c r="A245" s="1" t="s">
        <v>469</v>
      </c>
      <c r="B245" s="1">
        <v>9</v>
      </c>
      <c r="C245" s="1"/>
      <c r="D245" s="1" t="s">
        <v>470</v>
      </c>
      <c r="E245" s="1">
        <v>0</v>
      </c>
      <c r="F245" s="1">
        <v>0</v>
      </c>
      <c r="G245" s="1">
        <v>0</v>
      </c>
      <c r="H245" s="1">
        <v>0</v>
      </c>
      <c r="I245" s="1">
        <v>0</v>
      </c>
      <c r="J245" s="1">
        <v>0</v>
      </c>
      <c r="K245" s="1">
        <v>0</v>
      </c>
      <c r="L245" s="1">
        <v>0</v>
      </c>
      <c r="M245" s="1">
        <v>0</v>
      </c>
      <c r="N245" s="1">
        <v>0</v>
      </c>
    </row>
    <row r="246" spans="1:14">
      <c r="A246" s="1" t="s">
        <v>471</v>
      </c>
      <c r="B246" s="1">
        <v>22</v>
      </c>
      <c r="C246" s="1"/>
      <c r="D246" s="1" t="s">
        <v>472</v>
      </c>
      <c r="E246" s="1">
        <v>1.3333333329999999</v>
      </c>
      <c r="F246" s="1">
        <v>4</v>
      </c>
      <c r="G246" s="1">
        <v>0</v>
      </c>
      <c r="H246" s="1">
        <v>0</v>
      </c>
      <c r="I246" s="1">
        <v>1</v>
      </c>
      <c r="J246" s="1">
        <v>0</v>
      </c>
      <c r="K246" s="1">
        <v>3</v>
      </c>
      <c r="L246" s="1">
        <v>0</v>
      </c>
      <c r="M246" s="1">
        <v>0</v>
      </c>
      <c r="N246" s="1">
        <v>0</v>
      </c>
    </row>
    <row r="247" spans="1:14">
      <c r="A247" s="1" t="s">
        <v>473</v>
      </c>
      <c r="B247" s="1">
        <v>7</v>
      </c>
      <c r="C247" s="1"/>
      <c r="D247" s="1" t="s">
        <v>474</v>
      </c>
      <c r="E247" s="1">
        <v>1</v>
      </c>
      <c r="F247" s="1">
        <v>3</v>
      </c>
      <c r="G247" s="1">
        <v>0</v>
      </c>
      <c r="H247" s="1">
        <v>0</v>
      </c>
      <c r="I247" s="1">
        <v>1</v>
      </c>
      <c r="J247" s="1">
        <v>0</v>
      </c>
      <c r="K247" s="1">
        <v>0</v>
      </c>
      <c r="L247" s="1">
        <v>0</v>
      </c>
      <c r="M247" s="1">
        <v>0</v>
      </c>
      <c r="N247" s="1">
        <v>0</v>
      </c>
    </row>
    <row r="248" spans="1:14">
      <c r="A248" s="1" t="s">
        <v>475</v>
      </c>
      <c r="B248" s="1"/>
      <c r="C248" s="1"/>
      <c r="D248" s="1" t="s">
        <v>476</v>
      </c>
      <c r="E248" s="1">
        <v>1</v>
      </c>
      <c r="F248" s="1">
        <v>3</v>
      </c>
      <c r="G248" s="1">
        <v>0</v>
      </c>
      <c r="H248" s="1">
        <v>0</v>
      </c>
      <c r="I248" s="1">
        <v>0</v>
      </c>
      <c r="J248" s="1">
        <v>0</v>
      </c>
      <c r="K248" s="1">
        <v>0</v>
      </c>
      <c r="L248" s="1">
        <v>0</v>
      </c>
      <c r="M248" s="1">
        <v>2</v>
      </c>
      <c r="N248" s="1">
        <v>0</v>
      </c>
    </row>
    <row r="249" spans="1:14">
      <c r="A249" s="1" t="s">
        <v>477</v>
      </c>
      <c r="B249" s="1"/>
      <c r="C249" s="1"/>
      <c r="D249" s="1" t="s">
        <v>478</v>
      </c>
      <c r="E249" s="1">
        <v>0</v>
      </c>
      <c r="F249" s="1">
        <v>0</v>
      </c>
      <c r="G249" s="1">
        <v>0</v>
      </c>
      <c r="H249" s="1">
        <v>0</v>
      </c>
      <c r="I249" s="1">
        <v>0</v>
      </c>
      <c r="J249" s="1">
        <v>0</v>
      </c>
      <c r="K249" s="1">
        <v>0</v>
      </c>
      <c r="L249" s="1">
        <v>0</v>
      </c>
      <c r="M249" s="1">
        <v>0</v>
      </c>
      <c r="N249" s="1">
        <v>0</v>
      </c>
    </row>
    <row r="250" spans="1:14">
      <c r="A250" s="1" t="s">
        <v>479</v>
      </c>
      <c r="B250" s="1"/>
      <c r="C250" s="1"/>
      <c r="D250" s="1" t="s">
        <v>480</v>
      </c>
      <c r="E250" s="1">
        <v>0</v>
      </c>
      <c r="F250" s="1">
        <v>0</v>
      </c>
      <c r="G250" s="1">
        <v>0</v>
      </c>
      <c r="H250" s="1">
        <v>0</v>
      </c>
      <c r="I250" s="1">
        <v>0</v>
      </c>
      <c r="J250" s="1">
        <v>0</v>
      </c>
      <c r="K250" s="1">
        <v>0</v>
      </c>
      <c r="L250" s="1">
        <v>0</v>
      </c>
      <c r="M250" s="1">
        <v>0</v>
      </c>
      <c r="N250" s="1">
        <v>0</v>
      </c>
    </row>
    <row r="251" spans="1:14">
      <c r="A251" s="1" t="s">
        <v>481</v>
      </c>
      <c r="B251" s="1"/>
      <c r="C251" s="1"/>
      <c r="D251" s="1" t="s">
        <v>482</v>
      </c>
      <c r="E251" s="1">
        <v>0.5</v>
      </c>
      <c r="F251" s="1">
        <v>1.5</v>
      </c>
      <c r="G251" s="1">
        <v>0</v>
      </c>
      <c r="H251" s="1">
        <v>0</v>
      </c>
      <c r="I251" s="1">
        <v>1</v>
      </c>
      <c r="J251" s="1">
        <v>0</v>
      </c>
      <c r="K251" s="1">
        <v>0</v>
      </c>
      <c r="L251" s="1">
        <v>0</v>
      </c>
      <c r="M251" s="1">
        <v>0</v>
      </c>
      <c r="N251" s="1">
        <v>0</v>
      </c>
    </row>
    <row r="252" spans="1:14">
      <c r="A252" s="1" t="s">
        <v>483</v>
      </c>
      <c r="B252" s="1">
        <v>50</v>
      </c>
      <c r="C252" s="1"/>
      <c r="D252" s="1" t="s">
        <v>484</v>
      </c>
      <c r="E252" s="1">
        <v>0.5</v>
      </c>
      <c r="F252" s="1">
        <v>1.5</v>
      </c>
      <c r="G252" s="1">
        <v>0</v>
      </c>
      <c r="H252" s="1">
        <v>0</v>
      </c>
      <c r="I252" s="1">
        <v>1</v>
      </c>
      <c r="J252" s="1">
        <v>0</v>
      </c>
      <c r="K252" s="1">
        <v>0</v>
      </c>
      <c r="L252" s="1">
        <v>0</v>
      </c>
      <c r="M252" s="1">
        <v>0</v>
      </c>
      <c r="N252" s="1">
        <v>0</v>
      </c>
    </row>
    <row r="253" spans="1:14">
      <c r="A253" s="1" t="s">
        <v>485</v>
      </c>
      <c r="B253" s="1">
        <v>17</v>
      </c>
      <c r="C253" s="1"/>
      <c r="D253" s="1" t="s">
        <v>486</v>
      </c>
      <c r="E253" s="1">
        <v>0</v>
      </c>
      <c r="F253" s="1">
        <v>0</v>
      </c>
      <c r="G253" s="1">
        <v>0</v>
      </c>
      <c r="H253" s="1">
        <v>0</v>
      </c>
      <c r="I253" s="1">
        <v>0</v>
      </c>
      <c r="J253" s="1">
        <v>0</v>
      </c>
      <c r="K253" s="1">
        <v>0</v>
      </c>
      <c r="L253" s="1">
        <v>0</v>
      </c>
      <c r="M253" s="1">
        <v>0</v>
      </c>
      <c r="N253" s="1">
        <v>0</v>
      </c>
    </row>
    <row r="254" spans="1:14">
      <c r="A254" s="1" t="s">
        <v>487</v>
      </c>
      <c r="B254" s="1">
        <v>10</v>
      </c>
      <c r="C254" s="1"/>
      <c r="D254" s="1" t="s">
        <v>488</v>
      </c>
      <c r="E254" s="1">
        <v>0</v>
      </c>
      <c r="F254" s="1">
        <v>0</v>
      </c>
      <c r="G254" s="1">
        <v>0</v>
      </c>
      <c r="H254" s="1">
        <v>0</v>
      </c>
      <c r="I254" s="1">
        <v>0</v>
      </c>
      <c r="J254" s="1">
        <v>0</v>
      </c>
      <c r="K254" s="1">
        <v>0</v>
      </c>
      <c r="L254" s="1">
        <v>0</v>
      </c>
      <c r="M254" s="1">
        <v>0</v>
      </c>
      <c r="N254" s="1">
        <v>0</v>
      </c>
    </row>
    <row r="255" spans="1:14">
      <c r="A255" s="1" t="s">
        <v>489</v>
      </c>
      <c r="B255" s="1">
        <v>12</v>
      </c>
      <c r="C255" s="1"/>
      <c r="D255" s="1" t="s">
        <v>490</v>
      </c>
      <c r="E255" s="1">
        <v>0</v>
      </c>
      <c r="F255" s="1">
        <v>0</v>
      </c>
      <c r="G255" s="1">
        <v>0</v>
      </c>
      <c r="H255" s="1">
        <v>0</v>
      </c>
      <c r="I255" s="1">
        <v>0</v>
      </c>
      <c r="J255" s="1">
        <v>0</v>
      </c>
      <c r="K255" s="1">
        <v>0</v>
      </c>
      <c r="L255" s="1">
        <v>0</v>
      </c>
      <c r="M255" s="1">
        <v>0</v>
      </c>
      <c r="N255" s="1">
        <v>0</v>
      </c>
    </row>
    <row r="256" spans="1:14">
      <c r="A256" s="1" t="s">
        <v>491</v>
      </c>
      <c r="B256" s="1">
        <v>10</v>
      </c>
      <c r="C256" s="1"/>
      <c r="D256" s="1" t="s">
        <v>492</v>
      </c>
      <c r="E256" s="1">
        <v>0</v>
      </c>
      <c r="F256" s="1">
        <v>0</v>
      </c>
      <c r="G256" s="1">
        <v>0</v>
      </c>
      <c r="H256" s="1">
        <v>0</v>
      </c>
      <c r="I256" s="1">
        <v>0</v>
      </c>
      <c r="J256" s="1">
        <v>0</v>
      </c>
      <c r="K256" s="1">
        <v>0</v>
      </c>
      <c r="L256" s="1">
        <v>0</v>
      </c>
      <c r="M256" s="1">
        <v>0</v>
      </c>
      <c r="N256" s="1">
        <v>0</v>
      </c>
    </row>
    <row r="257" spans="1:14">
      <c r="A257" s="1" t="s">
        <v>493</v>
      </c>
      <c r="B257" s="1">
        <v>8</v>
      </c>
      <c r="C257" s="1"/>
      <c r="D257" s="1" t="s">
        <v>494</v>
      </c>
      <c r="E257" s="1">
        <v>0</v>
      </c>
      <c r="F257" s="1">
        <v>0</v>
      </c>
      <c r="G257" s="1">
        <v>0</v>
      </c>
      <c r="H257" s="1">
        <v>0</v>
      </c>
      <c r="I257" s="1">
        <v>0</v>
      </c>
      <c r="J257" s="1">
        <v>0</v>
      </c>
      <c r="K257" s="1">
        <v>0</v>
      </c>
      <c r="L257" s="1">
        <v>0</v>
      </c>
      <c r="M257" s="1">
        <v>0</v>
      </c>
      <c r="N257" s="1">
        <v>0</v>
      </c>
    </row>
    <row r="258" spans="1:14">
      <c r="A258" s="1" t="s">
        <v>495</v>
      </c>
      <c r="B258" s="1">
        <v>3</v>
      </c>
      <c r="C258" s="1"/>
      <c r="D258" s="1" t="s">
        <v>496</v>
      </c>
      <c r="E258" s="1">
        <v>0</v>
      </c>
      <c r="F258" s="1">
        <v>0</v>
      </c>
      <c r="G258" s="1">
        <v>0</v>
      </c>
      <c r="H258" s="1">
        <v>0</v>
      </c>
      <c r="I258" s="1">
        <v>0</v>
      </c>
      <c r="J258" s="1">
        <v>0</v>
      </c>
      <c r="K258" s="1">
        <v>0</v>
      </c>
      <c r="L258" s="1">
        <v>0</v>
      </c>
      <c r="M258" s="1">
        <v>0</v>
      </c>
      <c r="N258" s="1">
        <v>0</v>
      </c>
    </row>
    <row r="259" spans="1:14">
      <c r="A259" s="1" t="s">
        <v>497</v>
      </c>
      <c r="B259" s="1">
        <v>20</v>
      </c>
      <c r="C259" s="1"/>
      <c r="D259" s="1" t="s">
        <v>498</v>
      </c>
      <c r="E259" s="1">
        <v>0</v>
      </c>
      <c r="F259" s="1">
        <v>0</v>
      </c>
      <c r="G259" s="1">
        <v>0</v>
      </c>
      <c r="H259" s="1">
        <v>0</v>
      </c>
      <c r="I259" s="1">
        <v>0</v>
      </c>
      <c r="J259" s="1">
        <v>0</v>
      </c>
      <c r="K259" s="1">
        <v>0</v>
      </c>
      <c r="L259" s="1">
        <v>0</v>
      </c>
      <c r="M259" s="1">
        <v>0</v>
      </c>
      <c r="N259" s="1">
        <v>0</v>
      </c>
    </row>
    <row r="260" spans="1:14">
      <c r="A260" s="1" t="s">
        <v>499</v>
      </c>
      <c r="B260" s="1">
        <v>10</v>
      </c>
      <c r="C260" s="1"/>
      <c r="D260" s="1" t="s">
        <v>500</v>
      </c>
      <c r="E260" s="1">
        <v>3</v>
      </c>
      <c r="F260" s="1">
        <v>9</v>
      </c>
      <c r="G260" s="1">
        <v>0</v>
      </c>
      <c r="H260" s="1">
        <v>0</v>
      </c>
      <c r="I260" s="1">
        <v>0</v>
      </c>
      <c r="J260" s="1">
        <v>0</v>
      </c>
      <c r="K260" s="1">
        <v>3</v>
      </c>
      <c r="L260" s="1">
        <v>0</v>
      </c>
      <c r="M260" s="1">
        <v>0</v>
      </c>
      <c r="N260" s="1">
        <v>0</v>
      </c>
    </row>
    <row r="261" spans="1:14">
      <c r="A261" s="1" t="s">
        <v>501</v>
      </c>
      <c r="B261" s="1">
        <v>1</v>
      </c>
      <c r="C261" s="1"/>
      <c r="D261" s="1" t="s">
        <v>502</v>
      </c>
      <c r="E261" s="1">
        <v>0</v>
      </c>
      <c r="F261" s="1">
        <v>0</v>
      </c>
      <c r="G261" s="1">
        <v>0</v>
      </c>
      <c r="H261" s="1">
        <v>0</v>
      </c>
      <c r="I261" s="1">
        <v>0</v>
      </c>
      <c r="J261" s="1">
        <v>0</v>
      </c>
      <c r="K261" s="1">
        <v>0</v>
      </c>
      <c r="L261" s="1">
        <v>0</v>
      </c>
      <c r="M261" s="1">
        <v>0</v>
      </c>
      <c r="N261" s="1">
        <v>0</v>
      </c>
    </row>
    <row r="262" spans="1:14">
      <c r="A262" s="1" t="s">
        <v>503</v>
      </c>
      <c r="B262" s="1">
        <v>5</v>
      </c>
      <c r="C262" s="1"/>
      <c r="D262" s="1" t="s">
        <v>504</v>
      </c>
      <c r="E262" s="1">
        <v>0</v>
      </c>
      <c r="F262" s="1">
        <v>0</v>
      </c>
      <c r="G262" s="1">
        <v>0</v>
      </c>
      <c r="H262" s="1">
        <v>0</v>
      </c>
      <c r="I262" s="1">
        <v>0</v>
      </c>
      <c r="J262" s="1">
        <v>0</v>
      </c>
      <c r="K262" s="1">
        <v>0</v>
      </c>
      <c r="L262" s="1">
        <v>0</v>
      </c>
      <c r="M262" s="1">
        <v>0</v>
      </c>
      <c r="N262" s="1">
        <v>0</v>
      </c>
    </row>
    <row r="263" spans="1:14">
      <c r="A263" s="1" t="s">
        <v>505</v>
      </c>
      <c r="B263" s="1">
        <v>30</v>
      </c>
      <c r="C263" s="1"/>
      <c r="D263" s="1" t="s">
        <v>506</v>
      </c>
      <c r="E263" s="1">
        <v>0</v>
      </c>
      <c r="F263" s="1">
        <v>0</v>
      </c>
      <c r="G263" s="1">
        <v>0</v>
      </c>
      <c r="H263" s="1">
        <v>0</v>
      </c>
      <c r="I263" s="1">
        <v>0</v>
      </c>
      <c r="J263" s="1">
        <v>0</v>
      </c>
      <c r="K263" s="1">
        <v>0</v>
      </c>
      <c r="L263" s="1">
        <v>0</v>
      </c>
      <c r="M263" s="1">
        <v>0</v>
      </c>
      <c r="N263" s="1">
        <v>0</v>
      </c>
    </row>
    <row r="264" spans="1:14">
      <c r="A264" s="1" t="s">
        <v>507</v>
      </c>
      <c r="B264" s="1">
        <v>1</v>
      </c>
      <c r="C264" s="1"/>
      <c r="D264" s="1" t="s">
        <v>508</v>
      </c>
      <c r="E264" s="1">
        <v>0</v>
      </c>
      <c r="F264" s="1">
        <v>0</v>
      </c>
      <c r="G264" s="1">
        <v>0</v>
      </c>
      <c r="H264" s="1">
        <v>0</v>
      </c>
      <c r="I264" s="1">
        <v>0</v>
      </c>
      <c r="J264" s="1">
        <v>0</v>
      </c>
      <c r="K264" s="1">
        <v>0</v>
      </c>
      <c r="L264" s="1">
        <v>0</v>
      </c>
      <c r="M264" s="1">
        <v>0</v>
      </c>
      <c r="N264" s="1">
        <v>0</v>
      </c>
    </row>
    <row r="265" spans="1:14">
      <c r="A265" s="1" t="s">
        <v>509</v>
      </c>
      <c r="B265" s="1">
        <v>1</v>
      </c>
      <c r="C265" s="1"/>
      <c r="D265" s="1" t="s">
        <v>510</v>
      </c>
      <c r="E265" s="1">
        <v>0</v>
      </c>
      <c r="F265" s="1">
        <v>0</v>
      </c>
      <c r="G265" s="1">
        <v>0</v>
      </c>
      <c r="H265" s="1">
        <v>0</v>
      </c>
      <c r="I265" s="1">
        <v>0</v>
      </c>
      <c r="J265" s="1">
        <v>0</v>
      </c>
      <c r="K265" s="1">
        <v>0</v>
      </c>
      <c r="L265" s="1">
        <v>0</v>
      </c>
      <c r="M265" s="1">
        <v>0</v>
      </c>
      <c r="N265" s="1">
        <v>0</v>
      </c>
    </row>
    <row r="266" spans="1:14">
      <c r="A266" s="1" t="s">
        <v>511</v>
      </c>
      <c r="B266" s="1">
        <v>1</v>
      </c>
      <c r="C266" s="1"/>
      <c r="D266" s="1" t="s">
        <v>512</v>
      </c>
      <c r="E266" s="1">
        <v>0</v>
      </c>
      <c r="F266" s="1">
        <v>0</v>
      </c>
      <c r="G266" s="1">
        <v>0</v>
      </c>
      <c r="H266" s="1">
        <v>0</v>
      </c>
      <c r="I266" s="1">
        <v>0</v>
      </c>
      <c r="J266" s="1">
        <v>0</v>
      </c>
      <c r="K266" s="1">
        <v>0</v>
      </c>
      <c r="L266" s="1">
        <v>0</v>
      </c>
      <c r="M266" s="1">
        <v>0</v>
      </c>
      <c r="N266" s="1">
        <v>0</v>
      </c>
    </row>
    <row r="267" spans="1:14">
      <c r="A267" s="1" t="s">
        <v>513</v>
      </c>
      <c r="B267" s="1">
        <v>30</v>
      </c>
      <c r="C267" s="1"/>
      <c r="D267" s="1" t="s">
        <v>514</v>
      </c>
      <c r="E267" s="1">
        <v>0</v>
      </c>
      <c r="F267" s="1">
        <v>0</v>
      </c>
      <c r="G267" s="1">
        <v>0</v>
      </c>
      <c r="H267" s="1">
        <v>0</v>
      </c>
      <c r="I267" s="1">
        <v>0</v>
      </c>
      <c r="J267" s="1">
        <v>0</v>
      </c>
      <c r="K267" s="1">
        <v>0</v>
      </c>
      <c r="L267" s="1">
        <v>0</v>
      </c>
      <c r="M267" s="1">
        <v>0</v>
      </c>
      <c r="N267" s="1">
        <v>0</v>
      </c>
    </row>
    <row r="268" spans="1:14">
      <c r="A268" s="1" t="s">
        <v>515</v>
      </c>
      <c r="B268" s="1">
        <v>31</v>
      </c>
      <c r="C268" s="1"/>
      <c r="D268" s="1" t="s">
        <v>516</v>
      </c>
      <c r="E268" s="1">
        <v>1.5</v>
      </c>
      <c r="F268" s="1">
        <v>4.5</v>
      </c>
      <c r="G268" s="1">
        <v>0</v>
      </c>
      <c r="H268" s="1">
        <v>0</v>
      </c>
      <c r="I268" s="1">
        <v>0</v>
      </c>
      <c r="J268" s="1">
        <v>0</v>
      </c>
      <c r="K268" s="1">
        <v>3</v>
      </c>
      <c r="L268" s="1">
        <v>0</v>
      </c>
      <c r="M268" s="1">
        <v>0</v>
      </c>
      <c r="N268" s="1">
        <v>0</v>
      </c>
    </row>
    <row r="269" spans="1:14">
      <c r="A269" s="1" t="s">
        <v>517</v>
      </c>
      <c r="B269" s="1">
        <v>87</v>
      </c>
      <c r="C269" s="1"/>
      <c r="D269" s="1" t="s">
        <v>518</v>
      </c>
      <c r="E269" s="1">
        <v>1</v>
      </c>
      <c r="F269" s="1">
        <v>3</v>
      </c>
      <c r="G269" s="1">
        <v>0</v>
      </c>
      <c r="H269" s="1">
        <v>0</v>
      </c>
      <c r="I269" s="1">
        <v>3</v>
      </c>
      <c r="J269" s="1">
        <v>0</v>
      </c>
      <c r="K269" s="1">
        <v>0</v>
      </c>
      <c r="L269" s="1">
        <v>0</v>
      </c>
      <c r="M269" s="1">
        <v>0</v>
      </c>
      <c r="N269" s="1">
        <v>0</v>
      </c>
    </row>
    <row r="270" spans="1:14">
      <c r="A270" s="1" t="s">
        <v>519</v>
      </c>
      <c r="B270" s="1">
        <v>1</v>
      </c>
      <c r="C270" s="1"/>
      <c r="D270" s="1" t="s">
        <v>520</v>
      </c>
      <c r="E270" s="1">
        <v>0.33333333300000001</v>
      </c>
      <c r="F270" s="1">
        <v>0.222222222</v>
      </c>
      <c r="G270" s="1">
        <v>0</v>
      </c>
      <c r="H270" s="1">
        <v>1</v>
      </c>
      <c r="I270" s="1">
        <v>0</v>
      </c>
      <c r="J270" s="1">
        <v>0</v>
      </c>
      <c r="K270" s="1">
        <v>0</v>
      </c>
      <c r="L270" s="1">
        <v>2</v>
      </c>
      <c r="M270" s="1">
        <v>0</v>
      </c>
      <c r="N270" s="1">
        <v>0</v>
      </c>
    </row>
    <row r="271" spans="1:14">
      <c r="A271" s="1" t="s">
        <v>521</v>
      </c>
      <c r="B271" s="1">
        <v>2</v>
      </c>
      <c r="C271" s="1"/>
      <c r="D271" s="1" t="s">
        <v>522</v>
      </c>
      <c r="E271" s="1">
        <v>8.3333332999999996E-2</v>
      </c>
      <c r="F271" s="1">
        <v>0</v>
      </c>
      <c r="G271" s="1">
        <v>0</v>
      </c>
      <c r="H271" s="1">
        <v>0.25</v>
      </c>
      <c r="I271" s="1">
        <v>0</v>
      </c>
      <c r="J271" s="1">
        <v>0</v>
      </c>
      <c r="K271" s="1">
        <v>0</v>
      </c>
      <c r="L271" s="1">
        <v>0</v>
      </c>
      <c r="M271" s="1">
        <v>0</v>
      </c>
      <c r="N271" s="1">
        <v>0</v>
      </c>
    </row>
    <row r="272" spans="1:14">
      <c r="A272" s="1" t="s">
        <v>523</v>
      </c>
      <c r="B272" s="1">
        <v>1</v>
      </c>
      <c r="C272" s="1"/>
      <c r="D272" s="1" t="s">
        <v>524</v>
      </c>
      <c r="E272" s="1">
        <v>0</v>
      </c>
      <c r="F272" s="1">
        <v>0</v>
      </c>
      <c r="G272" s="1">
        <v>0</v>
      </c>
      <c r="H272" s="1">
        <v>0</v>
      </c>
      <c r="I272" s="1">
        <v>0</v>
      </c>
      <c r="J272" s="1">
        <v>0</v>
      </c>
      <c r="K272" s="1">
        <v>0</v>
      </c>
      <c r="L272" s="1">
        <v>0</v>
      </c>
      <c r="M272" s="1">
        <v>0</v>
      </c>
      <c r="N272" s="1">
        <v>0</v>
      </c>
    </row>
    <row r="273" spans="1:14">
      <c r="A273" s="1" t="s">
        <v>525</v>
      </c>
      <c r="B273" s="1">
        <v>28</v>
      </c>
      <c r="C273" s="1"/>
      <c r="D273" s="1" t="s">
        <v>526</v>
      </c>
      <c r="E273" s="1">
        <v>0</v>
      </c>
      <c r="F273" s="1">
        <v>0</v>
      </c>
      <c r="G273" s="1">
        <v>0</v>
      </c>
      <c r="H273" s="1">
        <v>0</v>
      </c>
      <c r="I273" s="1">
        <v>0</v>
      </c>
      <c r="J273" s="1">
        <v>0</v>
      </c>
      <c r="K273" s="1">
        <v>0</v>
      </c>
      <c r="L273" s="1">
        <v>0</v>
      </c>
      <c r="M273" s="1">
        <v>0</v>
      </c>
      <c r="N273" s="1">
        <v>0</v>
      </c>
    </row>
    <row r="274" spans="1:14">
      <c r="A274" s="1" t="s">
        <v>527</v>
      </c>
      <c r="B274" s="1">
        <v>29</v>
      </c>
      <c r="C274" s="1"/>
      <c r="D274" s="1" t="s">
        <v>528</v>
      </c>
      <c r="E274" s="1">
        <v>0</v>
      </c>
      <c r="F274" s="1">
        <v>0</v>
      </c>
      <c r="G274" s="1">
        <v>0</v>
      </c>
      <c r="H274" s="1">
        <v>0</v>
      </c>
      <c r="I274" s="1">
        <v>0</v>
      </c>
      <c r="J274" s="1">
        <v>0</v>
      </c>
      <c r="K274" s="1">
        <v>0</v>
      </c>
      <c r="L274" s="1">
        <v>0</v>
      </c>
      <c r="M274" s="1">
        <v>0</v>
      </c>
      <c r="N274" s="1">
        <v>0</v>
      </c>
    </row>
    <row r="275" spans="1:14">
      <c r="A275" s="1" t="s">
        <v>529</v>
      </c>
      <c r="B275" s="1">
        <v>49</v>
      </c>
      <c r="C275" s="1"/>
      <c r="D275" s="1" t="s">
        <v>530</v>
      </c>
      <c r="E275" s="1">
        <v>0</v>
      </c>
      <c r="F275" s="1">
        <v>0</v>
      </c>
      <c r="G275" s="1">
        <v>0</v>
      </c>
      <c r="H275" s="1">
        <v>0</v>
      </c>
      <c r="I275" s="1">
        <v>0</v>
      </c>
      <c r="J275" s="1">
        <v>0</v>
      </c>
      <c r="K275" s="1">
        <v>0</v>
      </c>
      <c r="L275" s="1">
        <v>0</v>
      </c>
      <c r="M275" s="1">
        <v>0</v>
      </c>
      <c r="N275" s="1">
        <v>0</v>
      </c>
    </row>
    <row r="276" spans="1:14">
      <c r="A276" s="1" t="s">
        <v>531</v>
      </c>
      <c r="B276" s="1">
        <v>22</v>
      </c>
      <c r="C276" s="1"/>
      <c r="D276" s="1" t="s">
        <v>532</v>
      </c>
      <c r="E276" s="1">
        <v>0</v>
      </c>
      <c r="F276" s="1">
        <v>0</v>
      </c>
      <c r="G276" s="1">
        <v>0</v>
      </c>
      <c r="H276" s="1">
        <v>0</v>
      </c>
      <c r="I276" s="1">
        <v>0</v>
      </c>
      <c r="J276" s="1">
        <v>0</v>
      </c>
      <c r="K276" s="1">
        <v>0</v>
      </c>
      <c r="L276" s="1">
        <v>0</v>
      </c>
      <c r="M276" s="1">
        <v>0</v>
      </c>
      <c r="N276" s="1">
        <v>0</v>
      </c>
    </row>
    <row r="277" spans="1:14">
      <c r="A277" s="1" t="s">
        <v>533</v>
      </c>
      <c r="B277" s="1">
        <v>19</v>
      </c>
      <c r="C277" s="1"/>
      <c r="D277" s="1" t="s">
        <v>534</v>
      </c>
      <c r="E277" s="1">
        <v>0</v>
      </c>
      <c r="F277" s="1">
        <v>0</v>
      </c>
      <c r="G277" s="1">
        <v>0</v>
      </c>
      <c r="H277" s="1">
        <v>0</v>
      </c>
      <c r="I277" s="1">
        <v>0</v>
      </c>
      <c r="J277" s="1">
        <v>0</v>
      </c>
      <c r="K277" s="1">
        <v>0</v>
      </c>
      <c r="L277" s="1">
        <v>0</v>
      </c>
      <c r="M277" s="1">
        <v>0</v>
      </c>
      <c r="N277" s="1">
        <v>0</v>
      </c>
    </row>
    <row r="278" spans="1:14">
      <c r="A278" s="1" t="s">
        <v>535</v>
      </c>
      <c r="B278" s="1">
        <v>7</v>
      </c>
      <c r="C278" s="1"/>
      <c r="D278" s="1" t="s">
        <v>536</v>
      </c>
      <c r="E278" s="1">
        <v>0</v>
      </c>
      <c r="F278" s="1">
        <v>0</v>
      </c>
      <c r="G278" s="1">
        <v>0</v>
      </c>
      <c r="H278" s="1">
        <v>0</v>
      </c>
      <c r="I278" s="1">
        <v>0</v>
      </c>
      <c r="J278" s="1">
        <v>0</v>
      </c>
      <c r="K278" s="1">
        <v>0</v>
      </c>
      <c r="L278" s="1">
        <v>0</v>
      </c>
      <c r="M278" s="1">
        <v>0</v>
      </c>
      <c r="N278" s="1">
        <v>0</v>
      </c>
    </row>
    <row r="279" spans="1:14">
      <c r="A279" s="1" t="s">
        <v>537</v>
      </c>
      <c r="B279" s="1">
        <v>5</v>
      </c>
      <c r="C279" s="1"/>
      <c r="D279" s="1" t="s">
        <v>538</v>
      </c>
      <c r="E279" s="1">
        <v>0</v>
      </c>
      <c r="F279" s="1">
        <v>0</v>
      </c>
      <c r="G279" s="1">
        <v>0</v>
      </c>
      <c r="H279" s="1">
        <v>0</v>
      </c>
      <c r="I279" s="1">
        <v>0</v>
      </c>
      <c r="J279" s="1">
        <v>0</v>
      </c>
      <c r="K279" s="1">
        <v>0</v>
      </c>
      <c r="L279" s="1">
        <v>0</v>
      </c>
      <c r="M279" s="1">
        <v>0</v>
      </c>
      <c r="N279" s="1">
        <v>0</v>
      </c>
    </row>
    <row r="280" spans="1:14">
      <c r="A280" s="1" t="s">
        <v>539</v>
      </c>
      <c r="B280" s="1">
        <v>5</v>
      </c>
      <c r="C280" s="1"/>
      <c r="D280" s="1" t="s">
        <v>540</v>
      </c>
      <c r="E280" s="1">
        <v>0</v>
      </c>
      <c r="F280" s="1">
        <v>0</v>
      </c>
      <c r="G280" s="1">
        <v>0</v>
      </c>
      <c r="H280" s="1">
        <v>0</v>
      </c>
      <c r="I280" s="1">
        <v>0</v>
      </c>
      <c r="J280" s="1">
        <v>0</v>
      </c>
      <c r="K280" s="1">
        <v>0</v>
      </c>
      <c r="L280" s="1">
        <v>0</v>
      </c>
      <c r="M280" s="1">
        <v>0</v>
      </c>
      <c r="N280" s="1">
        <v>0</v>
      </c>
    </row>
    <row r="281" spans="1:14">
      <c r="A281" s="1" t="s">
        <v>541</v>
      </c>
      <c r="B281" s="1">
        <v>5</v>
      </c>
      <c r="C281" s="1"/>
      <c r="D281" s="1" t="s">
        <v>542</v>
      </c>
      <c r="E281" s="1">
        <v>0</v>
      </c>
      <c r="F281" s="1">
        <v>0</v>
      </c>
      <c r="G281" s="1">
        <v>0</v>
      </c>
      <c r="H281" s="1">
        <v>0</v>
      </c>
      <c r="I281" s="1">
        <v>0</v>
      </c>
      <c r="J281" s="1">
        <v>0</v>
      </c>
      <c r="K281" s="1">
        <v>0</v>
      </c>
      <c r="L281" s="1">
        <v>0</v>
      </c>
      <c r="M281" s="1">
        <v>0</v>
      </c>
      <c r="N281" s="1">
        <v>0</v>
      </c>
    </row>
    <row r="282" spans="1:14">
      <c r="A282" s="1" t="s">
        <v>543</v>
      </c>
      <c r="B282" s="1">
        <v>19</v>
      </c>
      <c r="C282" s="1"/>
      <c r="D282" s="1" t="s">
        <v>544</v>
      </c>
      <c r="E282" s="1">
        <v>3</v>
      </c>
      <c r="F282" s="1">
        <v>9</v>
      </c>
      <c r="G282" s="1">
        <v>0</v>
      </c>
      <c r="H282" s="1">
        <v>0</v>
      </c>
      <c r="I282" s="1">
        <v>0</v>
      </c>
      <c r="J282" s="1">
        <v>0</v>
      </c>
      <c r="K282" s="1">
        <v>3</v>
      </c>
      <c r="L282" s="1">
        <v>0</v>
      </c>
      <c r="M282" s="1">
        <v>0</v>
      </c>
      <c r="N282" s="1">
        <v>0</v>
      </c>
    </row>
    <row r="283" spans="1:14">
      <c r="A283" s="1" t="s">
        <v>545</v>
      </c>
      <c r="B283" s="1">
        <v>55</v>
      </c>
      <c r="C283" s="1"/>
      <c r="D283" s="1" t="s">
        <v>546</v>
      </c>
      <c r="E283" s="1">
        <v>3</v>
      </c>
      <c r="F283" s="1">
        <v>9</v>
      </c>
      <c r="G283" s="1">
        <v>0</v>
      </c>
      <c r="H283" s="1">
        <v>0</v>
      </c>
      <c r="I283" s="1">
        <v>0</v>
      </c>
      <c r="J283" s="1">
        <v>0</v>
      </c>
      <c r="K283" s="1">
        <v>3</v>
      </c>
      <c r="L283" s="1">
        <v>0</v>
      </c>
      <c r="M283" s="1">
        <v>0</v>
      </c>
      <c r="N283" s="1">
        <v>0</v>
      </c>
    </row>
    <row r="284" spans="1:14">
      <c r="A284" s="1" t="s">
        <v>547</v>
      </c>
      <c r="B284" s="1">
        <v>55</v>
      </c>
      <c r="C284" s="1"/>
      <c r="D284" s="1" t="s">
        <v>548</v>
      </c>
      <c r="E284" s="1">
        <v>0</v>
      </c>
      <c r="F284" s="1">
        <v>0</v>
      </c>
      <c r="G284" s="1">
        <v>0</v>
      </c>
      <c r="H284" s="1">
        <v>0</v>
      </c>
      <c r="I284" s="1">
        <v>0</v>
      </c>
      <c r="J284" s="1">
        <v>0</v>
      </c>
      <c r="K284" s="1">
        <v>0</v>
      </c>
      <c r="L284" s="1">
        <v>0</v>
      </c>
      <c r="M284" s="1">
        <v>0</v>
      </c>
      <c r="N284" s="1">
        <v>0</v>
      </c>
    </row>
    <row r="285" spans="1:14">
      <c r="A285" s="1" t="s">
        <v>549</v>
      </c>
      <c r="B285" s="1">
        <v>37</v>
      </c>
      <c r="C285" s="1"/>
      <c r="D285" s="1" t="s">
        <v>550</v>
      </c>
      <c r="E285" s="1">
        <v>0</v>
      </c>
      <c r="F285" s="1">
        <v>0</v>
      </c>
      <c r="G285" s="1">
        <v>0</v>
      </c>
      <c r="H285" s="1">
        <v>0</v>
      </c>
      <c r="I285" s="1">
        <v>0</v>
      </c>
      <c r="J285" s="1">
        <v>0</v>
      </c>
      <c r="K285" s="1">
        <v>0</v>
      </c>
      <c r="L285" s="1">
        <v>0</v>
      </c>
      <c r="M285" s="1">
        <v>0</v>
      </c>
      <c r="N285" s="1">
        <v>0</v>
      </c>
    </row>
    <row r="286" spans="1:14">
      <c r="A286" s="1" t="s">
        <v>551</v>
      </c>
      <c r="B286" s="1">
        <v>25</v>
      </c>
      <c r="C286" s="1"/>
      <c r="D286" s="1" t="s">
        <v>552</v>
      </c>
      <c r="E286" s="1">
        <v>0</v>
      </c>
      <c r="F286" s="1">
        <v>0</v>
      </c>
      <c r="G286" s="1">
        <v>0</v>
      </c>
      <c r="H286" s="1">
        <v>0</v>
      </c>
      <c r="I286" s="1">
        <v>0</v>
      </c>
      <c r="J286" s="1">
        <v>0</v>
      </c>
      <c r="K286" s="1">
        <v>0</v>
      </c>
      <c r="L286" s="1">
        <v>0</v>
      </c>
      <c r="M286" s="1">
        <v>0</v>
      </c>
      <c r="N286" s="1">
        <v>0</v>
      </c>
    </row>
    <row r="287" spans="1:14">
      <c r="A287" s="1" t="s">
        <v>553</v>
      </c>
      <c r="B287" s="1">
        <v>17</v>
      </c>
      <c r="C287" s="1"/>
      <c r="D287" s="1" t="s">
        <v>554</v>
      </c>
      <c r="E287" s="1">
        <v>0</v>
      </c>
      <c r="F287" s="1">
        <v>0</v>
      </c>
      <c r="G287" s="1">
        <v>0</v>
      </c>
      <c r="H287" s="1">
        <v>0</v>
      </c>
      <c r="I287" s="1">
        <v>0</v>
      </c>
      <c r="J287" s="1">
        <v>0</v>
      </c>
      <c r="K287" s="1">
        <v>0</v>
      </c>
      <c r="L287" s="1">
        <v>0</v>
      </c>
      <c r="M287" s="1">
        <v>0</v>
      </c>
      <c r="N287" s="1">
        <v>0</v>
      </c>
    </row>
    <row r="288" spans="1:14">
      <c r="A288" s="1" t="s">
        <v>555</v>
      </c>
      <c r="B288" s="1">
        <v>28</v>
      </c>
      <c r="C288" s="1"/>
      <c r="D288" s="1" t="s">
        <v>556</v>
      </c>
      <c r="E288" s="1">
        <v>0</v>
      </c>
      <c r="F288" s="1">
        <v>0</v>
      </c>
      <c r="G288" s="1">
        <v>0</v>
      </c>
      <c r="H288" s="1">
        <v>0</v>
      </c>
      <c r="I288" s="1">
        <v>0</v>
      </c>
      <c r="J288" s="1">
        <v>0</v>
      </c>
      <c r="K288" s="1">
        <v>0</v>
      </c>
      <c r="L288" s="1">
        <v>0</v>
      </c>
      <c r="M288" s="1">
        <v>0</v>
      </c>
      <c r="N288" s="1">
        <v>0</v>
      </c>
    </row>
    <row r="289" spans="1:14">
      <c r="A289" s="1" t="s">
        <v>557</v>
      </c>
      <c r="B289" s="1">
        <v>13</v>
      </c>
      <c r="C289" s="1"/>
      <c r="D289" s="1" t="s">
        <v>558</v>
      </c>
      <c r="E289" s="1">
        <v>0</v>
      </c>
      <c r="F289" s="1">
        <v>0</v>
      </c>
      <c r="G289" s="1">
        <v>0</v>
      </c>
      <c r="H289" s="1">
        <v>0</v>
      </c>
      <c r="I289" s="1">
        <v>0</v>
      </c>
      <c r="J289" s="1">
        <v>0</v>
      </c>
      <c r="K289" s="1">
        <v>0</v>
      </c>
      <c r="L289" s="1">
        <v>0</v>
      </c>
      <c r="M289" s="1">
        <v>0</v>
      </c>
      <c r="N289" s="1">
        <v>0</v>
      </c>
    </row>
    <row r="290" spans="1:14">
      <c r="A290" s="1" t="s">
        <v>559</v>
      </c>
      <c r="B290" s="1">
        <v>3</v>
      </c>
      <c r="C290" s="1"/>
      <c r="D290" s="1" t="s">
        <v>560</v>
      </c>
      <c r="E290" s="1">
        <v>0.33333333300000001</v>
      </c>
      <c r="F290" s="1">
        <v>1</v>
      </c>
      <c r="G290" s="1">
        <v>0</v>
      </c>
      <c r="H290" s="1">
        <v>0</v>
      </c>
      <c r="I290" s="1">
        <v>1</v>
      </c>
      <c r="J290" s="1">
        <v>0</v>
      </c>
      <c r="K290" s="1">
        <v>0</v>
      </c>
      <c r="L290" s="1">
        <v>0</v>
      </c>
      <c r="M290" s="1">
        <v>0</v>
      </c>
      <c r="N290" s="1">
        <v>0</v>
      </c>
    </row>
    <row r="291" spans="1:14">
      <c r="A291" s="1" t="s">
        <v>561</v>
      </c>
      <c r="B291" s="1">
        <v>2</v>
      </c>
      <c r="C291" s="1"/>
      <c r="D291" s="1" t="s">
        <v>562</v>
      </c>
      <c r="E291" s="1">
        <v>0</v>
      </c>
      <c r="F291" s="1">
        <v>0</v>
      </c>
      <c r="G291" s="1">
        <v>0</v>
      </c>
      <c r="H291" s="1">
        <v>0</v>
      </c>
      <c r="I291" s="1">
        <v>0</v>
      </c>
      <c r="J291" s="1">
        <v>0</v>
      </c>
      <c r="K291" s="1">
        <v>0</v>
      </c>
      <c r="L291" s="1">
        <v>0</v>
      </c>
      <c r="M291" s="1">
        <v>0</v>
      </c>
      <c r="N291" s="1">
        <v>0</v>
      </c>
    </row>
    <row r="292" spans="1:14">
      <c r="A292" s="1" t="s">
        <v>563</v>
      </c>
      <c r="B292" s="1">
        <v>3</v>
      </c>
      <c r="C292" s="1"/>
      <c r="D292" s="1" t="s">
        <v>564</v>
      </c>
      <c r="E292" s="1">
        <v>0</v>
      </c>
      <c r="F292" s="1">
        <v>0</v>
      </c>
      <c r="G292" s="1">
        <v>0</v>
      </c>
      <c r="H292" s="1">
        <v>0</v>
      </c>
      <c r="I292" s="1">
        <v>0</v>
      </c>
      <c r="J292" s="1">
        <v>0</v>
      </c>
      <c r="K292" s="1">
        <v>0</v>
      </c>
      <c r="L292" s="1">
        <v>0</v>
      </c>
      <c r="M292" s="1">
        <v>0</v>
      </c>
      <c r="N292" s="1">
        <v>0</v>
      </c>
    </row>
    <row r="293" spans="1:14">
      <c r="A293" s="1" t="s">
        <v>565</v>
      </c>
      <c r="B293" s="1">
        <v>12</v>
      </c>
      <c r="C293" s="1"/>
      <c r="D293" s="1" t="s">
        <v>566</v>
      </c>
      <c r="E293" s="1">
        <v>2</v>
      </c>
      <c r="F293" s="1">
        <v>6</v>
      </c>
      <c r="G293" s="1">
        <v>0</v>
      </c>
      <c r="H293" s="1">
        <v>0</v>
      </c>
      <c r="I293" s="1">
        <v>0</v>
      </c>
      <c r="J293" s="1">
        <v>0</v>
      </c>
      <c r="K293" s="1">
        <v>4</v>
      </c>
      <c r="L293" s="1">
        <v>0</v>
      </c>
      <c r="M293" s="1">
        <v>0</v>
      </c>
      <c r="N293" s="1">
        <v>0</v>
      </c>
    </row>
    <row r="294" spans="1:14">
      <c r="A294" s="1" t="s">
        <v>567</v>
      </c>
      <c r="B294" s="1">
        <v>1</v>
      </c>
      <c r="C294" s="1"/>
      <c r="D294" s="1" t="s">
        <v>568</v>
      </c>
      <c r="E294" s="1">
        <v>0.5</v>
      </c>
      <c r="F294" s="1">
        <v>1.5</v>
      </c>
      <c r="G294" s="1">
        <v>0</v>
      </c>
      <c r="H294" s="1">
        <v>0</v>
      </c>
      <c r="I294" s="1">
        <v>0</v>
      </c>
      <c r="J294" s="1">
        <v>0</v>
      </c>
      <c r="K294" s="1">
        <v>0</v>
      </c>
      <c r="L294" s="1">
        <v>0</v>
      </c>
      <c r="M294" s="1">
        <v>3</v>
      </c>
      <c r="N294" s="1">
        <v>0</v>
      </c>
    </row>
    <row r="295" spans="1:14">
      <c r="A295" s="1" t="s">
        <v>569</v>
      </c>
      <c r="B295" s="1">
        <v>1</v>
      </c>
      <c r="C295" s="1"/>
      <c r="D295" s="1" t="s">
        <v>570</v>
      </c>
      <c r="E295" s="1">
        <v>1</v>
      </c>
      <c r="F295" s="1">
        <v>3</v>
      </c>
      <c r="G295" s="1">
        <v>0</v>
      </c>
      <c r="H295" s="1">
        <v>0</v>
      </c>
      <c r="I295" s="1">
        <v>1</v>
      </c>
      <c r="J295" s="1">
        <v>0</v>
      </c>
      <c r="K295" s="1">
        <v>0</v>
      </c>
      <c r="L295" s="1">
        <v>0</v>
      </c>
      <c r="M295" s="1">
        <v>3</v>
      </c>
      <c r="N295" s="1">
        <v>0</v>
      </c>
    </row>
    <row r="296" spans="1:14">
      <c r="A296" s="1" t="s">
        <v>571</v>
      </c>
      <c r="B296" s="1">
        <v>1</v>
      </c>
      <c r="C296" s="1"/>
      <c r="D296" s="1" t="s">
        <v>572</v>
      </c>
      <c r="E296" s="1">
        <v>0</v>
      </c>
      <c r="F296" s="1">
        <v>0</v>
      </c>
      <c r="G296" s="1">
        <v>0</v>
      </c>
      <c r="H296" s="1">
        <v>0</v>
      </c>
      <c r="I296" s="1">
        <v>0</v>
      </c>
      <c r="J296" s="1">
        <v>0</v>
      </c>
      <c r="K296" s="1">
        <v>0</v>
      </c>
      <c r="L296" s="1">
        <v>0</v>
      </c>
      <c r="M296" s="1">
        <v>0</v>
      </c>
      <c r="N296" s="1">
        <v>0</v>
      </c>
    </row>
    <row r="297" spans="1:14">
      <c r="A297" s="1" t="s">
        <v>573</v>
      </c>
      <c r="B297" s="1">
        <v>10</v>
      </c>
      <c r="C297" s="1"/>
      <c r="D297" s="1" t="s">
        <v>574</v>
      </c>
      <c r="E297" s="1">
        <v>0</v>
      </c>
      <c r="F297" s="1">
        <v>0</v>
      </c>
      <c r="G297" s="1">
        <v>0</v>
      </c>
      <c r="H297" s="1">
        <v>0</v>
      </c>
      <c r="I297" s="1">
        <v>0</v>
      </c>
      <c r="J297" s="1">
        <v>0</v>
      </c>
      <c r="K297" s="1">
        <v>0</v>
      </c>
      <c r="L297" s="1">
        <v>0</v>
      </c>
      <c r="M297" s="1">
        <v>0</v>
      </c>
      <c r="N297" s="1">
        <v>0</v>
      </c>
    </row>
    <row r="298" spans="1:14">
      <c r="A298" s="1" t="s">
        <v>575</v>
      </c>
      <c r="B298" s="1">
        <v>6</v>
      </c>
      <c r="C298" s="1"/>
      <c r="D298" s="1" t="s">
        <v>576</v>
      </c>
      <c r="E298" s="1">
        <v>1</v>
      </c>
      <c r="F298" s="1">
        <v>3</v>
      </c>
      <c r="G298" s="1">
        <v>0</v>
      </c>
      <c r="H298" s="1">
        <v>0</v>
      </c>
      <c r="I298" s="1">
        <v>1</v>
      </c>
      <c r="J298" s="1">
        <v>0</v>
      </c>
      <c r="K298" s="1">
        <v>0</v>
      </c>
      <c r="L298" s="1">
        <v>0</v>
      </c>
      <c r="M298" s="1">
        <v>0</v>
      </c>
      <c r="N298" s="1">
        <v>0</v>
      </c>
    </row>
    <row r="299" spans="1:14">
      <c r="A299" s="1" t="s">
        <v>577</v>
      </c>
      <c r="B299" s="1">
        <v>2</v>
      </c>
      <c r="C299" s="1"/>
      <c r="D299" s="1" t="s">
        <v>578</v>
      </c>
      <c r="E299" s="1">
        <v>0</v>
      </c>
      <c r="F299" s="1">
        <v>0</v>
      </c>
      <c r="G299" s="1">
        <v>0</v>
      </c>
      <c r="H299" s="1">
        <v>0</v>
      </c>
      <c r="I299" s="1">
        <v>0</v>
      </c>
      <c r="J299" s="1">
        <v>0</v>
      </c>
      <c r="K299" s="1">
        <v>0</v>
      </c>
      <c r="L299" s="1">
        <v>0</v>
      </c>
      <c r="M299" s="1">
        <v>0</v>
      </c>
      <c r="N299" s="1">
        <v>0</v>
      </c>
    </row>
    <row r="300" spans="1:14">
      <c r="A300" s="1" t="s">
        <v>579</v>
      </c>
      <c r="B300" s="1">
        <v>2</v>
      </c>
      <c r="C300" s="1"/>
      <c r="D300" s="1" t="s">
        <v>580</v>
      </c>
      <c r="E300" s="1">
        <v>1.5</v>
      </c>
      <c r="F300" s="1">
        <v>1.5</v>
      </c>
      <c r="G300" s="1">
        <v>0</v>
      </c>
      <c r="H300" s="1">
        <v>2</v>
      </c>
      <c r="I300" s="1">
        <v>1</v>
      </c>
      <c r="J300" s="1">
        <v>0</v>
      </c>
      <c r="K300" s="1">
        <v>0</v>
      </c>
      <c r="L300" s="1">
        <v>0</v>
      </c>
      <c r="M300" s="1">
        <v>0</v>
      </c>
      <c r="N300" s="1">
        <v>0</v>
      </c>
    </row>
    <row r="301" spans="1:14">
      <c r="A301" s="1" t="s">
        <v>581</v>
      </c>
      <c r="B301" s="1">
        <v>9</v>
      </c>
      <c r="C301" s="1"/>
      <c r="D301" s="1" t="s">
        <v>582</v>
      </c>
      <c r="E301" s="1">
        <v>0</v>
      </c>
      <c r="F301" s="1">
        <v>0</v>
      </c>
      <c r="G301" s="1">
        <v>0</v>
      </c>
      <c r="H301" s="1">
        <v>0</v>
      </c>
      <c r="I301" s="1">
        <v>0</v>
      </c>
      <c r="J301" s="1">
        <v>0</v>
      </c>
      <c r="K301" s="1">
        <v>0</v>
      </c>
      <c r="L301" s="1">
        <v>0</v>
      </c>
      <c r="M301" s="1">
        <v>0</v>
      </c>
      <c r="N301" s="1">
        <v>0</v>
      </c>
    </row>
    <row r="302" spans="1:14">
      <c r="A302" s="1" t="s">
        <v>583</v>
      </c>
      <c r="B302" s="1">
        <v>2</v>
      </c>
      <c r="C302" s="1"/>
      <c r="D302" s="1" t="s">
        <v>584</v>
      </c>
      <c r="E302" s="1">
        <v>0</v>
      </c>
      <c r="F302" s="1">
        <v>0</v>
      </c>
      <c r="G302" s="1">
        <v>0</v>
      </c>
      <c r="H302" s="1">
        <v>0</v>
      </c>
      <c r="I302" s="1">
        <v>0</v>
      </c>
      <c r="J302" s="1">
        <v>0</v>
      </c>
      <c r="K302" s="1">
        <v>0</v>
      </c>
      <c r="L302" s="1">
        <v>0</v>
      </c>
      <c r="M302" s="1">
        <v>0</v>
      </c>
      <c r="N302" s="1">
        <v>0</v>
      </c>
    </row>
    <row r="303" spans="1:14">
      <c r="A303" s="1" t="s">
        <v>585</v>
      </c>
      <c r="B303" s="1">
        <v>6</v>
      </c>
      <c r="C303" s="1"/>
      <c r="D303" s="1" t="s">
        <v>586</v>
      </c>
      <c r="E303" s="1">
        <v>0</v>
      </c>
      <c r="F303" s="1">
        <v>0</v>
      </c>
      <c r="G303" s="1">
        <v>0</v>
      </c>
      <c r="H303" s="1">
        <v>0</v>
      </c>
      <c r="I303" s="1">
        <v>0</v>
      </c>
      <c r="J303" s="1">
        <v>0</v>
      </c>
      <c r="K303" s="1">
        <v>0</v>
      </c>
      <c r="L303" s="1">
        <v>0</v>
      </c>
      <c r="M303" s="1">
        <v>0</v>
      </c>
      <c r="N303" s="1">
        <v>0</v>
      </c>
    </row>
    <row r="304" spans="1:14">
      <c r="A304" s="1" t="s">
        <v>587</v>
      </c>
      <c r="B304" s="1">
        <v>5</v>
      </c>
      <c r="C304" s="1"/>
      <c r="D304" s="1" t="s">
        <v>588</v>
      </c>
      <c r="E304" s="1">
        <v>0</v>
      </c>
      <c r="F304" s="1">
        <v>0</v>
      </c>
      <c r="G304" s="1">
        <v>0</v>
      </c>
      <c r="H304" s="1">
        <v>0</v>
      </c>
      <c r="I304" s="1">
        <v>0</v>
      </c>
      <c r="J304" s="1">
        <v>0</v>
      </c>
      <c r="K304" s="1">
        <v>0</v>
      </c>
      <c r="L304" s="1">
        <v>0</v>
      </c>
      <c r="M304" s="1">
        <v>0</v>
      </c>
      <c r="N304" s="1">
        <v>0</v>
      </c>
    </row>
    <row r="305" spans="1:14">
      <c r="A305" s="1" t="s">
        <v>589</v>
      </c>
      <c r="B305" s="1">
        <v>5</v>
      </c>
      <c r="C305" s="1"/>
      <c r="D305" s="1" t="s">
        <v>590</v>
      </c>
      <c r="E305" s="1">
        <v>0</v>
      </c>
      <c r="F305" s="1">
        <v>0</v>
      </c>
      <c r="G305" s="1">
        <v>0</v>
      </c>
      <c r="H305" s="1">
        <v>0</v>
      </c>
      <c r="I305" s="1">
        <v>0</v>
      </c>
      <c r="J305" s="1">
        <v>0</v>
      </c>
      <c r="K305" s="1">
        <v>0</v>
      </c>
      <c r="L305" s="1">
        <v>0</v>
      </c>
      <c r="M305" s="1">
        <v>0</v>
      </c>
      <c r="N305" s="1">
        <v>0</v>
      </c>
    </row>
    <row r="306" spans="1:14">
      <c r="A306" s="1" t="s">
        <v>591</v>
      </c>
      <c r="B306" s="1">
        <v>4</v>
      </c>
      <c r="C306" s="1"/>
      <c r="D306" s="1" t="s">
        <v>592</v>
      </c>
      <c r="E306" s="1">
        <v>0</v>
      </c>
      <c r="F306" s="1">
        <v>0</v>
      </c>
      <c r="G306" s="1">
        <v>0</v>
      </c>
      <c r="H306" s="1">
        <v>0</v>
      </c>
      <c r="I306" s="1">
        <v>0</v>
      </c>
      <c r="J306" s="1">
        <v>0</v>
      </c>
      <c r="K306" s="1">
        <v>0</v>
      </c>
      <c r="L306" s="1">
        <v>0</v>
      </c>
      <c r="M306" s="1">
        <v>0</v>
      </c>
      <c r="N306" s="1">
        <v>0</v>
      </c>
    </row>
    <row r="307" spans="1:14">
      <c r="A307" s="1" t="s">
        <v>593</v>
      </c>
      <c r="B307" s="1">
        <v>5</v>
      </c>
      <c r="C307" s="1"/>
      <c r="D307" s="1" t="s">
        <v>594</v>
      </c>
      <c r="E307" s="1">
        <v>0.5</v>
      </c>
      <c r="F307" s="1">
        <v>0</v>
      </c>
      <c r="G307" s="1">
        <v>0</v>
      </c>
      <c r="H307" s="1">
        <v>1</v>
      </c>
      <c r="I307" s="1">
        <v>0</v>
      </c>
      <c r="J307" s="1">
        <v>0</v>
      </c>
      <c r="K307" s="1">
        <v>0</v>
      </c>
      <c r="L307" s="1">
        <v>0</v>
      </c>
      <c r="M307" s="1">
        <v>0</v>
      </c>
      <c r="N307" s="1">
        <v>0</v>
      </c>
    </row>
    <row r="308" spans="1:14">
      <c r="A308" s="1" t="s">
        <v>595</v>
      </c>
      <c r="B308" s="1">
        <v>4</v>
      </c>
      <c r="C308" s="1"/>
      <c r="D308" s="1" t="s">
        <v>596</v>
      </c>
      <c r="E308" s="1">
        <v>1</v>
      </c>
      <c r="F308" s="1">
        <v>3</v>
      </c>
      <c r="G308" s="1">
        <v>0</v>
      </c>
      <c r="H308" s="1">
        <v>0</v>
      </c>
      <c r="I308" s="1">
        <v>0</v>
      </c>
      <c r="J308" s="1">
        <v>0</v>
      </c>
      <c r="K308" s="1">
        <v>4</v>
      </c>
      <c r="L308" s="1">
        <v>0</v>
      </c>
      <c r="M308" s="1">
        <v>0</v>
      </c>
      <c r="N308" s="1">
        <v>0</v>
      </c>
    </row>
    <row r="309" spans="1:14">
      <c r="A309" s="1" t="s">
        <v>597</v>
      </c>
      <c r="B309" s="1">
        <v>4</v>
      </c>
      <c r="C309" s="1"/>
      <c r="D309" s="1" t="s">
        <v>598</v>
      </c>
      <c r="E309" s="1">
        <v>0</v>
      </c>
      <c r="F309" s="1">
        <v>0</v>
      </c>
      <c r="G309" s="1">
        <v>0</v>
      </c>
      <c r="H309" s="1">
        <v>0</v>
      </c>
      <c r="I309" s="1">
        <v>0</v>
      </c>
      <c r="J309" s="1">
        <v>0</v>
      </c>
      <c r="K309" s="1">
        <v>0</v>
      </c>
      <c r="L309" s="1">
        <v>0</v>
      </c>
      <c r="M309" s="1">
        <v>0</v>
      </c>
      <c r="N309" s="1">
        <v>0</v>
      </c>
    </row>
    <row r="310" spans="1:14">
      <c r="A310" s="1" t="s">
        <v>599</v>
      </c>
      <c r="B310" s="1">
        <v>4</v>
      </c>
      <c r="C310" s="1"/>
      <c r="D310" s="1" t="s">
        <v>600</v>
      </c>
      <c r="E310" s="1">
        <v>0.75</v>
      </c>
      <c r="F310" s="1">
        <v>2.25</v>
      </c>
      <c r="G310" s="1">
        <v>0</v>
      </c>
      <c r="H310" s="1">
        <v>0</v>
      </c>
      <c r="I310" s="1">
        <v>0</v>
      </c>
      <c r="J310" s="1">
        <v>0</v>
      </c>
      <c r="K310" s="1">
        <v>3</v>
      </c>
      <c r="L310" s="1">
        <v>0</v>
      </c>
      <c r="M310" s="1">
        <v>0</v>
      </c>
      <c r="N310" s="1">
        <v>0</v>
      </c>
    </row>
    <row r="311" spans="1:14">
      <c r="A311" s="1" t="s">
        <v>601</v>
      </c>
      <c r="B311" s="1">
        <v>3</v>
      </c>
      <c r="C311" s="1"/>
      <c r="D311" s="1" t="s">
        <v>602</v>
      </c>
      <c r="E311" s="1">
        <v>0.5</v>
      </c>
      <c r="F311" s="1">
        <v>0.75</v>
      </c>
      <c r="G311" s="1">
        <v>0</v>
      </c>
      <c r="H311" s="1">
        <v>0.5</v>
      </c>
      <c r="I311" s="1">
        <v>1</v>
      </c>
      <c r="J311" s="1">
        <v>0</v>
      </c>
      <c r="K311" s="1">
        <v>0</v>
      </c>
      <c r="L311" s="1">
        <v>0</v>
      </c>
      <c r="M311" s="1">
        <v>0</v>
      </c>
      <c r="N311" s="1">
        <v>0</v>
      </c>
    </row>
    <row r="312" spans="1:14">
      <c r="A312" s="1" t="s">
        <v>603</v>
      </c>
      <c r="B312" s="1">
        <v>3</v>
      </c>
      <c r="C312" s="1"/>
      <c r="D312" s="1" t="s">
        <v>604</v>
      </c>
      <c r="E312" s="1">
        <v>3</v>
      </c>
      <c r="F312" s="1">
        <v>9</v>
      </c>
      <c r="G312" s="1">
        <v>0</v>
      </c>
      <c r="H312" s="1">
        <v>0</v>
      </c>
      <c r="I312" s="1">
        <v>0</v>
      </c>
      <c r="J312" s="1">
        <v>0</v>
      </c>
      <c r="K312" s="1">
        <v>3</v>
      </c>
      <c r="L312" s="1">
        <v>0</v>
      </c>
      <c r="M312" s="1">
        <v>0</v>
      </c>
      <c r="N312" s="1">
        <v>0</v>
      </c>
    </row>
    <row r="313" spans="1:14">
      <c r="A313" s="1" t="s">
        <v>605</v>
      </c>
      <c r="B313" s="1">
        <v>19</v>
      </c>
      <c r="C313" s="1"/>
      <c r="D313" s="1" t="s">
        <v>606</v>
      </c>
      <c r="E313" s="1">
        <v>0</v>
      </c>
      <c r="F313" s="1">
        <v>0</v>
      </c>
      <c r="G313" s="1">
        <v>0</v>
      </c>
      <c r="H313" s="1">
        <v>0</v>
      </c>
      <c r="I313" s="1">
        <v>0</v>
      </c>
      <c r="J313" s="1">
        <v>0</v>
      </c>
      <c r="K313" s="1">
        <v>0</v>
      </c>
      <c r="L313" s="1">
        <v>0</v>
      </c>
      <c r="M313" s="1">
        <v>0</v>
      </c>
      <c r="N313" s="1">
        <v>0</v>
      </c>
    </row>
    <row r="314" spans="1:14">
      <c r="A314" s="1" t="s">
        <v>607</v>
      </c>
      <c r="B314" s="1">
        <v>3</v>
      </c>
      <c r="C314" s="1"/>
      <c r="D314" s="1" t="s">
        <v>608</v>
      </c>
      <c r="E314" s="1">
        <v>0</v>
      </c>
      <c r="F314" s="1">
        <v>0</v>
      </c>
      <c r="G314" s="1">
        <v>0</v>
      </c>
      <c r="H314" s="1">
        <v>0</v>
      </c>
      <c r="I314" s="1">
        <v>0</v>
      </c>
      <c r="J314" s="1">
        <v>0</v>
      </c>
      <c r="K314" s="1">
        <v>0</v>
      </c>
      <c r="L314" s="1">
        <v>0</v>
      </c>
      <c r="M314" s="1">
        <v>0</v>
      </c>
      <c r="N314" s="1">
        <v>0</v>
      </c>
    </row>
    <row r="315" spans="1:14">
      <c r="A315" s="1" t="s">
        <v>609</v>
      </c>
      <c r="B315" s="1">
        <v>3</v>
      </c>
      <c r="C315" s="1"/>
      <c r="D315" s="1" t="s">
        <v>610</v>
      </c>
      <c r="E315" s="1">
        <v>0</v>
      </c>
      <c r="F315" s="1">
        <v>0</v>
      </c>
      <c r="G315" s="1">
        <v>0</v>
      </c>
      <c r="H315" s="1">
        <v>0</v>
      </c>
      <c r="I315" s="1">
        <v>0</v>
      </c>
      <c r="J315" s="1">
        <v>0</v>
      </c>
      <c r="K315" s="1">
        <v>0</v>
      </c>
      <c r="L315" s="1">
        <v>0</v>
      </c>
      <c r="M315" s="1">
        <v>0</v>
      </c>
      <c r="N315" s="1">
        <v>0</v>
      </c>
    </row>
    <row r="316" spans="1:14">
      <c r="A316" s="1" t="s">
        <v>611</v>
      </c>
      <c r="B316" s="1">
        <v>2</v>
      </c>
      <c r="C316" s="1"/>
      <c r="D316" s="1" t="s">
        <v>612</v>
      </c>
      <c r="E316" s="1">
        <v>0</v>
      </c>
      <c r="F316" s="1">
        <v>0</v>
      </c>
      <c r="G316" s="1">
        <v>0</v>
      </c>
      <c r="H316" s="1">
        <v>0</v>
      </c>
      <c r="I316" s="1">
        <v>0</v>
      </c>
      <c r="J316" s="1">
        <v>0</v>
      </c>
      <c r="K316" s="1">
        <v>0</v>
      </c>
      <c r="L316" s="1">
        <v>0</v>
      </c>
      <c r="M316" s="1">
        <v>0</v>
      </c>
      <c r="N316" s="1">
        <v>0</v>
      </c>
    </row>
    <row r="317" spans="1:14">
      <c r="A317" s="1" t="s">
        <v>613</v>
      </c>
      <c r="B317" s="1">
        <v>2</v>
      </c>
      <c r="C317" s="1"/>
      <c r="D317" s="1" t="s">
        <v>614</v>
      </c>
      <c r="E317" s="1">
        <v>0</v>
      </c>
      <c r="F317" s="1">
        <v>0</v>
      </c>
      <c r="G317" s="1">
        <v>0</v>
      </c>
      <c r="H317" s="1">
        <v>0</v>
      </c>
      <c r="I317" s="1">
        <v>0</v>
      </c>
      <c r="J317" s="1">
        <v>0</v>
      </c>
      <c r="K317" s="1">
        <v>0</v>
      </c>
      <c r="L317" s="1">
        <v>0</v>
      </c>
      <c r="M317" s="1">
        <v>0</v>
      </c>
      <c r="N317" s="1">
        <v>0</v>
      </c>
    </row>
    <row r="318" spans="1:14">
      <c r="A318" s="1" t="s">
        <v>615</v>
      </c>
      <c r="B318" s="1">
        <v>0</v>
      </c>
      <c r="C318" s="1"/>
      <c r="D318" s="1" t="s">
        <v>616</v>
      </c>
      <c r="E318" s="1">
        <v>0</v>
      </c>
      <c r="F318" s="1">
        <v>0</v>
      </c>
      <c r="G318" s="1">
        <v>0</v>
      </c>
      <c r="H318" s="1">
        <v>0</v>
      </c>
      <c r="I318" s="1">
        <v>0</v>
      </c>
      <c r="J318" s="1">
        <v>0</v>
      </c>
      <c r="K318" s="1">
        <v>0</v>
      </c>
      <c r="L318" s="1">
        <v>0</v>
      </c>
      <c r="M318" s="1">
        <v>0</v>
      </c>
      <c r="N318" s="1">
        <v>0</v>
      </c>
    </row>
    <row r="319" spans="1:14">
      <c r="A319" s="1" t="s">
        <v>617</v>
      </c>
      <c r="B319" s="1">
        <v>1</v>
      </c>
      <c r="C319" s="1"/>
      <c r="D319" s="1" t="s">
        <v>618</v>
      </c>
      <c r="E319" s="1">
        <v>0</v>
      </c>
      <c r="F319" s="1">
        <v>0</v>
      </c>
      <c r="G319" s="1">
        <v>0</v>
      </c>
      <c r="H319" s="1">
        <v>0</v>
      </c>
      <c r="I319" s="1">
        <v>0</v>
      </c>
      <c r="J319" s="1">
        <v>0</v>
      </c>
      <c r="K319" s="1">
        <v>0</v>
      </c>
      <c r="L319" s="1">
        <v>0</v>
      </c>
      <c r="M319" s="1">
        <v>0</v>
      </c>
      <c r="N319" s="1">
        <v>0</v>
      </c>
    </row>
    <row r="320" spans="1:14">
      <c r="A320" s="1" t="s">
        <v>619</v>
      </c>
      <c r="B320" s="1">
        <v>4</v>
      </c>
      <c r="C320" s="1"/>
      <c r="D320" s="1" t="s">
        <v>620</v>
      </c>
      <c r="E320" s="1">
        <v>0</v>
      </c>
      <c r="F320" s="1">
        <v>0</v>
      </c>
      <c r="G320" s="1">
        <v>0</v>
      </c>
      <c r="H320" s="1">
        <v>0</v>
      </c>
      <c r="I320" s="1">
        <v>0</v>
      </c>
      <c r="J320" s="1">
        <v>0</v>
      </c>
      <c r="K320" s="1">
        <v>0</v>
      </c>
      <c r="L320" s="1">
        <v>0</v>
      </c>
      <c r="M320" s="1">
        <v>0</v>
      </c>
      <c r="N320" s="1">
        <v>0</v>
      </c>
    </row>
    <row r="321" spans="1:14">
      <c r="A321" s="1" t="s">
        <v>621</v>
      </c>
      <c r="B321" s="1">
        <v>6</v>
      </c>
      <c r="C321" s="1"/>
      <c r="D321" s="1" t="s">
        <v>622</v>
      </c>
      <c r="E321" s="1">
        <v>0</v>
      </c>
      <c r="F321" s="1">
        <v>0</v>
      </c>
      <c r="G321" s="1">
        <v>0</v>
      </c>
      <c r="H321" s="1">
        <v>0</v>
      </c>
      <c r="I321" s="1">
        <v>0</v>
      </c>
      <c r="J321" s="1">
        <v>0</v>
      </c>
      <c r="K321" s="1">
        <v>0</v>
      </c>
      <c r="L321" s="1">
        <v>0</v>
      </c>
      <c r="M321" s="1">
        <v>0</v>
      </c>
      <c r="N321" s="1">
        <v>0</v>
      </c>
    </row>
    <row r="322" spans="1:14">
      <c r="A322" s="1" t="s">
        <v>623</v>
      </c>
      <c r="B322" s="1">
        <v>3</v>
      </c>
      <c r="C322" s="1"/>
      <c r="D322" s="1" t="s">
        <v>624</v>
      </c>
      <c r="E322" s="1">
        <v>0</v>
      </c>
      <c r="F322" s="1">
        <v>0</v>
      </c>
      <c r="G322" s="1">
        <v>0</v>
      </c>
      <c r="H322" s="1">
        <v>0</v>
      </c>
      <c r="I322" s="1">
        <v>0</v>
      </c>
      <c r="J322" s="1">
        <v>0</v>
      </c>
      <c r="K322" s="1">
        <v>0</v>
      </c>
      <c r="L322" s="1">
        <v>0</v>
      </c>
      <c r="M322" s="1">
        <v>0</v>
      </c>
      <c r="N322" s="1">
        <v>0</v>
      </c>
    </row>
    <row r="323" spans="1:14">
      <c r="A323" s="1" t="s">
        <v>625</v>
      </c>
      <c r="B323" s="1">
        <v>2</v>
      </c>
      <c r="C323" s="1"/>
      <c r="D323" s="1" t="s">
        <v>626</v>
      </c>
      <c r="E323" s="1">
        <v>0</v>
      </c>
      <c r="F323" s="1">
        <v>0</v>
      </c>
      <c r="G323" s="1">
        <v>0</v>
      </c>
      <c r="H323" s="1">
        <v>0</v>
      </c>
      <c r="I323" s="1">
        <v>0</v>
      </c>
      <c r="J323" s="1">
        <v>0</v>
      </c>
      <c r="K323" s="1">
        <v>0</v>
      </c>
      <c r="L323" s="1">
        <v>0</v>
      </c>
      <c r="M323" s="1">
        <v>0</v>
      </c>
      <c r="N323" s="1">
        <v>0</v>
      </c>
    </row>
    <row r="324" spans="1:14">
      <c r="A324" s="1" t="s">
        <v>627</v>
      </c>
      <c r="B324" s="1">
        <v>1</v>
      </c>
      <c r="C324" s="1"/>
      <c r="D324" s="1" t="s">
        <v>628</v>
      </c>
      <c r="E324" s="1">
        <v>0</v>
      </c>
      <c r="F324" s="1">
        <v>0</v>
      </c>
      <c r="G324" s="1">
        <v>0</v>
      </c>
      <c r="H324" s="1">
        <v>0</v>
      </c>
      <c r="I324" s="1">
        <v>0</v>
      </c>
      <c r="J324" s="1">
        <v>0</v>
      </c>
      <c r="K324" s="1">
        <v>0</v>
      </c>
      <c r="L324" s="1">
        <v>0</v>
      </c>
      <c r="M324" s="1">
        <v>0</v>
      </c>
      <c r="N324" s="1">
        <v>0</v>
      </c>
    </row>
    <row r="325" spans="1:14">
      <c r="A325" s="1" t="s">
        <v>629</v>
      </c>
      <c r="B325" s="1">
        <v>2</v>
      </c>
      <c r="C325" s="1"/>
      <c r="D325" s="1" t="s">
        <v>630</v>
      </c>
      <c r="E325" s="1">
        <v>0</v>
      </c>
      <c r="F325" s="1">
        <v>0</v>
      </c>
      <c r="G325" s="1">
        <v>0</v>
      </c>
      <c r="H325" s="1">
        <v>0</v>
      </c>
      <c r="I325" s="1">
        <v>0</v>
      </c>
      <c r="J325" s="1">
        <v>0</v>
      </c>
      <c r="K325" s="1">
        <v>0</v>
      </c>
      <c r="L325" s="1">
        <v>0</v>
      </c>
      <c r="M325" s="1">
        <v>0</v>
      </c>
      <c r="N325" s="1">
        <v>0</v>
      </c>
    </row>
    <row r="326" spans="1:14">
      <c r="A326" s="1" t="s">
        <v>631</v>
      </c>
      <c r="B326" s="1">
        <v>2</v>
      </c>
      <c r="C326" s="1"/>
      <c r="D326" s="1" t="s">
        <v>632</v>
      </c>
      <c r="E326" s="1">
        <v>3</v>
      </c>
      <c r="F326" s="1">
        <v>9</v>
      </c>
      <c r="G326" s="1">
        <v>0</v>
      </c>
      <c r="H326" s="1">
        <v>0</v>
      </c>
      <c r="I326" s="1">
        <v>0</v>
      </c>
      <c r="J326" s="1">
        <v>0</v>
      </c>
      <c r="K326" s="1">
        <v>3</v>
      </c>
      <c r="L326" s="1">
        <v>0</v>
      </c>
      <c r="M326" s="1">
        <v>0</v>
      </c>
      <c r="N326" s="1">
        <v>0</v>
      </c>
    </row>
    <row r="327" spans="1:14">
      <c r="A327" s="1" t="s">
        <v>633</v>
      </c>
      <c r="B327" s="1">
        <v>2</v>
      </c>
      <c r="C327" s="1"/>
      <c r="D327" s="1" t="s">
        <v>634</v>
      </c>
      <c r="E327" s="1">
        <v>0</v>
      </c>
      <c r="F327" s="1">
        <v>0</v>
      </c>
      <c r="G327" s="1">
        <v>0</v>
      </c>
      <c r="H327" s="1">
        <v>0</v>
      </c>
      <c r="I327" s="1">
        <v>0</v>
      </c>
      <c r="J327" s="1">
        <v>0</v>
      </c>
      <c r="K327" s="1">
        <v>0</v>
      </c>
      <c r="L327" s="1">
        <v>0</v>
      </c>
      <c r="M327" s="1">
        <v>0</v>
      </c>
      <c r="N327" s="1">
        <v>0</v>
      </c>
    </row>
    <row r="328" spans="1:14">
      <c r="A328" s="1" t="s">
        <v>635</v>
      </c>
      <c r="B328" s="1">
        <v>2</v>
      </c>
      <c r="C328" s="1"/>
      <c r="D328" s="1" t="s">
        <v>636</v>
      </c>
      <c r="E328" s="1">
        <v>3</v>
      </c>
      <c r="F328" s="1">
        <v>9</v>
      </c>
      <c r="G328" s="1">
        <v>0</v>
      </c>
      <c r="H328" s="1">
        <v>0</v>
      </c>
      <c r="I328" s="1">
        <v>0</v>
      </c>
      <c r="J328" s="1">
        <v>0</v>
      </c>
      <c r="K328" s="1">
        <v>3</v>
      </c>
      <c r="L328" s="1">
        <v>0</v>
      </c>
      <c r="M328" s="1">
        <v>0</v>
      </c>
      <c r="N328" s="1">
        <v>0</v>
      </c>
    </row>
    <row r="329" spans="1:14">
      <c r="A329" s="1" t="s">
        <v>637</v>
      </c>
      <c r="B329" s="1">
        <v>4</v>
      </c>
      <c r="C329" s="1"/>
      <c r="D329" s="1" t="s">
        <v>638</v>
      </c>
      <c r="E329" s="1">
        <v>0</v>
      </c>
      <c r="F329" s="1">
        <v>0</v>
      </c>
      <c r="G329" s="1">
        <v>0</v>
      </c>
      <c r="H329" s="1">
        <v>0</v>
      </c>
      <c r="I329" s="1">
        <v>0</v>
      </c>
      <c r="J329" s="1">
        <v>0</v>
      </c>
      <c r="K329" s="1">
        <v>0</v>
      </c>
      <c r="L329" s="1">
        <v>0</v>
      </c>
      <c r="M329" s="1">
        <v>0</v>
      </c>
      <c r="N329" s="1">
        <v>0</v>
      </c>
    </row>
    <row r="330" spans="1:14">
      <c r="A330" s="1" t="s">
        <v>639</v>
      </c>
      <c r="B330" s="1">
        <v>1</v>
      </c>
      <c r="C330" s="1"/>
      <c r="D330" s="1" t="s">
        <v>640</v>
      </c>
      <c r="E330" s="1">
        <v>0</v>
      </c>
      <c r="F330" s="1">
        <v>0</v>
      </c>
      <c r="G330" s="1">
        <v>0</v>
      </c>
      <c r="H330" s="1">
        <v>0</v>
      </c>
      <c r="I330" s="1">
        <v>0</v>
      </c>
      <c r="J330" s="1">
        <v>0</v>
      </c>
      <c r="K330" s="1">
        <v>0</v>
      </c>
      <c r="L330" s="1">
        <v>0</v>
      </c>
      <c r="M330" s="1">
        <v>0</v>
      </c>
      <c r="N330" s="1">
        <v>0</v>
      </c>
    </row>
    <row r="331" spans="1:14">
      <c r="A331" s="1" t="s">
        <v>641</v>
      </c>
      <c r="B331" s="1">
        <v>1</v>
      </c>
      <c r="C331" s="1"/>
      <c r="D331" s="1" t="s">
        <v>642</v>
      </c>
      <c r="E331" s="1">
        <v>0</v>
      </c>
      <c r="F331" s="1">
        <v>0</v>
      </c>
      <c r="G331" s="1">
        <v>0</v>
      </c>
      <c r="H331" s="1">
        <v>0</v>
      </c>
      <c r="I331" s="1">
        <v>0</v>
      </c>
      <c r="J331" s="1">
        <v>0</v>
      </c>
      <c r="K331" s="1">
        <v>0</v>
      </c>
      <c r="L331" s="1">
        <v>0</v>
      </c>
      <c r="M331" s="1">
        <v>0</v>
      </c>
      <c r="N331" s="1">
        <v>0</v>
      </c>
    </row>
    <row r="332" spans="1:14">
      <c r="A332" s="1" t="s">
        <v>643</v>
      </c>
      <c r="B332" s="1">
        <v>1</v>
      </c>
      <c r="C332" s="1"/>
      <c r="D332" s="1" t="s">
        <v>644</v>
      </c>
      <c r="E332" s="1">
        <v>1.5</v>
      </c>
      <c r="F332" s="1">
        <v>2.5</v>
      </c>
      <c r="G332" s="1">
        <v>0</v>
      </c>
      <c r="H332" s="1">
        <v>0</v>
      </c>
      <c r="I332" s="1">
        <v>1</v>
      </c>
      <c r="J332" s="1">
        <v>0</v>
      </c>
      <c r="K332" s="1">
        <v>0</v>
      </c>
      <c r="L332" s="1">
        <v>2</v>
      </c>
      <c r="M332" s="1">
        <v>0</v>
      </c>
      <c r="N332" s="1">
        <v>0</v>
      </c>
    </row>
    <row r="333" spans="1:14">
      <c r="A333" s="1" t="s">
        <v>645</v>
      </c>
      <c r="B333" s="1">
        <v>1</v>
      </c>
      <c r="C333" s="1"/>
      <c r="D333" s="1" t="s">
        <v>646</v>
      </c>
      <c r="E333" s="1">
        <v>0</v>
      </c>
      <c r="F333" s="1">
        <v>0</v>
      </c>
      <c r="G333" s="1">
        <v>0</v>
      </c>
      <c r="H333" s="1">
        <v>0</v>
      </c>
      <c r="I333" s="1">
        <v>0</v>
      </c>
      <c r="J333" s="1">
        <v>0</v>
      </c>
      <c r="K333" s="1">
        <v>0</v>
      </c>
      <c r="L333" s="1">
        <v>0</v>
      </c>
      <c r="M333" s="1">
        <v>0</v>
      </c>
      <c r="N333" s="1">
        <v>0</v>
      </c>
    </row>
    <row r="334" spans="1:14">
      <c r="A334" s="1" t="s">
        <v>647</v>
      </c>
      <c r="B334" s="1">
        <v>1</v>
      </c>
      <c r="C334" s="1"/>
      <c r="D334" s="1" t="s">
        <v>648</v>
      </c>
      <c r="E334" s="1">
        <v>0</v>
      </c>
      <c r="F334" s="1">
        <v>0</v>
      </c>
      <c r="G334" s="1">
        <v>0</v>
      </c>
      <c r="H334" s="1">
        <v>0</v>
      </c>
      <c r="I334" s="1">
        <v>0</v>
      </c>
      <c r="J334" s="1">
        <v>0</v>
      </c>
      <c r="K334" s="1">
        <v>0</v>
      </c>
      <c r="L334" s="1">
        <v>0</v>
      </c>
      <c r="M334" s="1">
        <v>0</v>
      </c>
      <c r="N334" s="1">
        <v>0</v>
      </c>
    </row>
    <row r="335" spans="1:14">
      <c r="A335" s="1" t="s">
        <v>649</v>
      </c>
      <c r="B335" s="1"/>
      <c r="C335" s="1"/>
      <c r="D335" s="1" t="s">
        <v>650</v>
      </c>
      <c r="E335" s="1">
        <v>0.75</v>
      </c>
      <c r="F335" s="1">
        <v>2.25</v>
      </c>
      <c r="G335" s="1">
        <v>0</v>
      </c>
      <c r="H335" s="1">
        <v>0</v>
      </c>
      <c r="I335" s="1">
        <v>3</v>
      </c>
      <c r="J335" s="1">
        <v>0</v>
      </c>
      <c r="K335" s="1">
        <v>0</v>
      </c>
      <c r="L335" s="1">
        <v>0</v>
      </c>
      <c r="M335" s="1">
        <v>0</v>
      </c>
      <c r="N335" s="1">
        <v>0</v>
      </c>
    </row>
    <row r="336" spans="1:14">
      <c r="A336" s="1" t="s">
        <v>651</v>
      </c>
      <c r="B336" s="1"/>
      <c r="C336" s="1"/>
      <c r="D336" s="1" t="s">
        <v>652</v>
      </c>
      <c r="E336" s="1">
        <v>1</v>
      </c>
      <c r="F336" s="1">
        <v>3</v>
      </c>
      <c r="G336" s="1">
        <v>0</v>
      </c>
      <c r="H336" s="1">
        <v>0</v>
      </c>
      <c r="I336" s="1">
        <v>3</v>
      </c>
      <c r="J336" s="1">
        <v>0</v>
      </c>
      <c r="K336" s="1">
        <v>0</v>
      </c>
      <c r="L336" s="1">
        <v>0</v>
      </c>
      <c r="M336" s="1">
        <v>0</v>
      </c>
      <c r="N336" s="1">
        <v>0</v>
      </c>
    </row>
    <row r="337" spans="1:14">
      <c r="A337" s="1" t="s">
        <v>653</v>
      </c>
      <c r="B337" s="1"/>
      <c r="C337" s="1"/>
      <c r="D337" s="1" t="s">
        <v>654</v>
      </c>
      <c r="E337" s="1">
        <v>3</v>
      </c>
      <c r="F337" s="1">
        <v>9</v>
      </c>
      <c r="G337" s="1">
        <v>0</v>
      </c>
      <c r="H337" s="1">
        <v>0</v>
      </c>
      <c r="I337" s="1">
        <v>3</v>
      </c>
      <c r="J337" s="1">
        <v>0</v>
      </c>
      <c r="K337" s="1">
        <v>0</v>
      </c>
      <c r="L337" s="1">
        <v>0</v>
      </c>
      <c r="M337" s="1">
        <v>0</v>
      </c>
      <c r="N337" s="1">
        <v>0</v>
      </c>
    </row>
    <row r="338" spans="1:14">
      <c r="A338" s="1" t="s">
        <v>655</v>
      </c>
      <c r="B338" s="1"/>
      <c r="C338" s="1"/>
      <c r="D338" s="1" t="s">
        <v>656</v>
      </c>
      <c r="E338" s="1">
        <v>0</v>
      </c>
      <c r="F338" s="1">
        <v>0</v>
      </c>
      <c r="G338" s="1">
        <v>0</v>
      </c>
      <c r="H338" s="1">
        <v>0</v>
      </c>
      <c r="I338" s="1">
        <v>0</v>
      </c>
      <c r="J338" s="1">
        <v>0</v>
      </c>
      <c r="K338" s="1">
        <v>0</v>
      </c>
      <c r="L338" s="1">
        <v>0</v>
      </c>
      <c r="M338" s="1">
        <v>0</v>
      </c>
      <c r="N338" s="1">
        <v>0</v>
      </c>
    </row>
    <row r="339" spans="1:14">
      <c r="A339" s="1" t="s">
        <v>657</v>
      </c>
      <c r="B339" s="1"/>
      <c r="C339" s="1"/>
      <c r="D339" s="1" t="s">
        <v>658</v>
      </c>
      <c r="E339" s="1">
        <v>1</v>
      </c>
      <c r="F339" s="1">
        <v>0</v>
      </c>
      <c r="G339" s="1">
        <v>0</v>
      </c>
      <c r="H339" s="1">
        <v>1</v>
      </c>
      <c r="I339" s="1">
        <v>0</v>
      </c>
      <c r="J339" s="1">
        <v>0</v>
      </c>
      <c r="K339" s="1">
        <v>0</v>
      </c>
      <c r="L339" s="1">
        <v>0</v>
      </c>
      <c r="M339" s="1">
        <v>0</v>
      </c>
      <c r="N339" s="1">
        <v>0</v>
      </c>
    </row>
    <row r="340" spans="1:14">
      <c r="A340" s="1" t="s">
        <v>659</v>
      </c>
      <c r="B340" s="1"/>
      <c r="C340" s="1"/>
      <c r="D340" s="1" t="s">
        <v>660</v>
      </c>
      <c r="E340" s="1">
        <v>0</v>
      </c>
      <c r="F340" s="1">
        <v>0</v>
      </c>
      <c r="G340" s="1">
        <v>0</v>
      </c>
      <c r="H340" s="1">
        <v>0</v>
      </c>
      <c r="I340" s="1">
        <v>0</v>
      </c>
      <c r="J340" s="1">
        <v>0</v>
      </c>
      <c r="K340" s="1">
        <v>0</v>
      </c>
      <c r="L340" s="1">
        <v>0</v>
      </c>
      <c r="M340" s="1">
        <v>0</v>
      </c>
      <c r="N340" s="1">
        <v>0</v>
      </c>
    </row>
    <row r="341" spans="1:14">
      <c r="A341" s="1" t="s">
        <v>661</v>
      </c>
      <c r="B341" s="1"/>
      <c r="C341" s="1"/>
      <c r="D341" s="1" t="s">
        <v>662</v>
      </c>
      <c r="E341" s="1">
        <v>1</v>
      </c>
      <c r="F341" s="1">
        <v>1</v>
      </c>
      <c r="G341" s="1">
        <v>0</v>
      </c>
      <c r="H341" s="1">
        <v>2</v>
      </c>
      <c r="I341" s="1">
        <v>1</v>
      </c>
      <c r="J341" s="1">
        <v>0</v>
      </c>
      <c r="K341" s="1">
        <v>0</v>
      </c>
      <c r="L341" s="1">
        <v>0</v>
      </c>
      <c r="M341" s="1">
        <v>0</v>
      </c>
      <c r="N341" s="1">
        <v>0</v>
      </c>
    </row>
    <row r="342" spans="1:14">
      <c r="A342" s="1" t="s">
        <v>663</v>
      </c>
      <c r="B342" s="1"/>
      <c r="C342" s="1"/>
      <c r="D342" s="1" t="s">
        <v>664</v>
      </c>
      <c r="E342" s="1">
        <v>0.33333333300000001</v>
      </c>
      <c r="F342" s="1">
        <v>1</v>
      </c>
      <c r="G342" s="1">
        <v>0</v>
      </c>
      <c r="H342" s="1">
        <v>0</v>
      </c>
      <c r="I342" s="1">
        <v>1</v>
      </c>
      <c r="J342" s="1">
        <v>0</v>
      </c>
      <c r="K342" s="1">
        <v>0</v>
      </c>
      <c r="L342" s="1">
        <v>0</v>
      </c>
      <c r="M342" s="1">
        <v>0</v>
      </c>
      <c r="N342" s="1">
        <v>0</v>
      </c>
    </row>
    <row r="343" spans="1:14">
      <c r="A343" s="1" t="s">
        <v>665</v>
      </c>
      <c r="B343" s="1"/>
      <c r="C343" s="1"/>
      <c r="D343" s="1" t="s">
        <v>666</v>
      </c>
      <c r="E343" s="1">
        <v>0.2</v>
      </c>
      <c r="F343" s="1">
        <v>0.6</v>
      </c>
      <c r="G343" s="1">
        <v>0</v>
      </c>
      <c r="H343" s="1">
        <v>0</v>
      </c>
      <c r="I343" s="1">
        <v>1</v>
      </c>
      <c r="J343" s="1">
        <v>0</v>
      </c>
      <c r="K343" s="1">
        <v>0</v>
      </c>
      <c r="L343" s="1">
        <v>0</v>
      </c>
      <c r="M343" s="1">
        <v>0</v>
      </c>
      <c r="N343" s="1">
        <v>0</v>
      </c>
    </row>
    <row r="344" spans="1:14">
      <c r="A344" s="1" t="s">
        <v>667</v>
      </c>
      <c r="B344" s="1"/>
      <c r="C344" s="1"/>
      <c r="D344" s="1" t="s">
        <v>668</v>
      </c>
      <c r="E344" s="1">
        <v>0.2</v>
      </c>
      <c r="F344" s="1">
        <v>0</v>
      </c>
      <c r="G344" s="1">
        <v>0</v>
      </c>
      <c r="H344" s="1">
        <v>1</v>
      </c>
      <c r="I344" s="1">
        <v>0</v>
      </c>
      <c r="J344" s="1">
        <v>0</v>
      </c>
      <c r="K344" s="1">
        <v>0</v>
      </c>
      <c r="L344" s="1">
        <v>0</v>
      </c>
      <c r="M344" s="1">
        <v>0</v>
      </c>
      <c r="N344" s="1">
        <v>0</v>
      </c>
    </row>
    <row r="345" spans="1:14">
      <c r="A345" s="1" t="s">
        <v>669</v>
      </c>
      <c r="B345" s="1"/>
      <c r="C345" s="1"/>
      <c r="D345" s="1" t="s">
        <v>670</v>
      </c>
      <c r="E345" s="1">
        <v>3</v>
      </c>
      <c r="F345" s="1">
        <v>9</v>
      </c>
      <c r="G345" s="1">
        <v>0</v>
      </c>
      <c r="H345" s="1">
        <v>0</v>
      </c>
      <c r="I345" s="1">
        <v>3</v>
      </c>
      <c r="J345" s="1">
        <v>0</v>
      </c>
      <c r="K345" s="1">
        <v>0</v>
      </c>
      <c r="L345" s="1">
        <v>0</v>
      </c>
      <c r="M345" s="1">
        <v>0</v>
      </c>
      <c r="N345" s="1">
        <v>0</v>
      </c>
    </row>
    <row r="346" spans="1:14">
      <c r="A346" s="1" t="s">
        <v>671</v>
      </c>
      <c r="B346" s="1"/>
      <c r="C346" s="1"/>
      <c r="D346" s="1" t="s">
        <v>672</v>
      </c>
      <c r="E346" s="1">
        <v>3</v>
      </c>
      <c r="F346" s="1">
        <v>9</v>
      </c>
      <c r="G346" s="1">
        <v>0</v>
      </c>
      <c r="H346" s="1">
        <v>0</v>
      </c>
      <c r="I346" s="1">
        <v>3</v>
      </c>
      <c r="J346" s="1">
        <v>0</v>
      </c>
      <c r="K346" s="1">
        <v>0</v>
      </c>
      <c r="L346" s="1">
        <v>0</v>
      </c>
      <c r="M346" s="1">
        <v>0</v>
      </c>
      <c r="N346" s="1">
        <v>0</v>
      </c>
    </row>
    <row r="347" spans="1:14">
      <c r="A347" s="1" t="s">
        <v>673</v>
      </c>
      <c r="B347" s="1"/>
      <c r="C347" s="1"/>
      <c r="D347" s="1" t="s">
        <v>674</v>
      </c>
      <c r="E347" s="1">
        <v>0</v>
      </c>
      <c r="F347" s="1">
        <v>0</v>
      </c>
      <c r="G347" s="1">
        <v>0</v>
      </c>
      <c r="H347" s="1">
        <v>0</v>
      </c>
      <c r="I347" s="1">
        <v>0</v>
      </c>
      <c r="J347" s="1">
        <v>0</v>
      </c>
      <c r="K347" s="1">
        <v>0</v>
      </c>
      <c r="L347" s="1">
        <v>0</v>
      </c>
      <c r="M347" s="1">
        <v>0</v>
      </c>
      <c r="N347" s="1">
        <v>0</v>
      </c>
    </row>
    <row r="348" spans="1:14">
      <c r="A348" s="1" t="s">
        <v>675</v>
      </c>
      <c r="B348" s="1"/>
      <c r="C348" s="1"/>
      <c r="D348" s="1" t="s">
        <v>676</v>
      </c>
      <c r="E348" s="1">
        <v>0.5</v>
      </c>
      <c r="F348" s="1">
        <v>1.5</v>
      </c>
      <c r="G348" s="1">
        <v>0</v>
      </c>
      <c r="H348" s="1">
        <v>0</v>
      </c>
      <c r="I348" s="1">
        <v>1</v>
      </c>
      <c r="J348" s="1">
        <v>0</v>
      </c>
      <c r="K348" s="1">
        <v>0</v>
      </c>
      <c r="L348" s="1">
        <v>0</v>
      </c>
      <c r="M348" s="1">
        <v>0</v>
      </c>
      <c r="N348" s="1">
        <v>0</v>
      </c>
    </row>
    <row r="349" spans="1:14">
      <c r="A349" s="1" t="s">
        <v>677</v>
      </c>
      <c r="B349" s="1"/>
      <c r="C349" s="1"/>
      <c r="D349" s="1" t="s">
        <v>678</v>
      </c>
      <c r="E349" s="1">
        <v>0.5</v>
      </c>
      <c r="F349" s="1">
        <v>1.5</v>
      </c>
      <c r="G349" s="1">
        <v>0</v>
      </c>
      <c r="H349" s="1">
        <v>0</v>
      </c>
      <c r="I349" s="1">
        <v>1</v>
      </c>
      <c r="J349" s="1">
        <v>0</v>
      </c>
      <c r="K349" s="1">
        <v>0</v>
      </c>
      <c r="L349" s="1">
        <v>0</v>
      </c>
      <c r="M349" s="1">
        <v>0</v>
      </c>
      <c r="N349" s="1">
        <v>0</v>
      </c>
    </row>
    <row r="350" spans="1:14">
      <c r="A350" s="1" t="s">
        <v>679</v>
      </c>
      <c r="B350" s="1"/>
      <c r="C350" s="1"/>
      <c r="D350" s="1" t="s">
        <v>680</v>
      </c>
      <c r="E350" s="1">
        <v>0</v>
      </c>
      <c r="F350" s="1">
        <v>0</v>
      </c>
      <c r="G350" s="1">
        <v>0</v>
      </c>
      <c r="H350" s="1">
        <v>0</v>
      </c>
      <c r="I350" s="1">
        <v>0</v>
      </c>
      <c r="J350" s="1">
        <v>0</v>
      </c>
      <c r="K350" s="1">
        <v>0</v>
      </c>
      <c r="L350" s="1">
        <v>0</v>
      </c>
      <c r="M350" s="1">
        <v>0</v>
      </c>
      <c r="N350" s="1">
        <v>0</v>
      </c>
    </row>
    <row r="351" spans="1:14">
      <c r="A351" s="1" t="s">
        <v>681</v>
      </c>
      <c r="B351" s="1"/>
      <c r="C351" s="1"/>
      <c r="D351" s="1" t="s">
        <v>682</v>
      </c>
      <c r="E351" s="1">
        <v>1</v>
      </c>
      <c r="F351" s="1">
        <v>3</v>
      </c>
      <c r="G351" s="1">
        <v>0</v>
      </c>
      <c r="H351" s="1">
        <v>0</v>
      </c>
      <c r="I351" s="1">
        <v>1</v>
      </c>
      <c r="J351" s="1">
        <v>0</v>
      </c>
      <c r="K351" s="1">
        <v>0</v>
      </c>
      <c r="L351" s="1">
        <v>0</v>
      </c>
      <c r="M351" s="1">
        <v>0</v>
      </c>
      <c r="N351" s="1">
        <v>0</v>
      </c>
    </row>
    <row r="352" spans="1:14">
      <c r="A352" s="1" t="s">
        <v>683</v>
      </c>
      <c r="B352" s="1"/>
      <c r="C352" s="1"/>
      <c r="D352" s="1" t="s">
        <v>684</v>
      </c>
      <c r="E352" s="1">
        <v>0</v>
      </c>
      <c r="F352" s="1">
        <v>0</v>
      </c>
      <c r="G352" s="1">
        <v>0</v>
      </c>
      <c r="H352" s="1">
        <v>0</v>
      </c>
      <c r="I352" s="1">
        <v>0</v>
      </c>
      <c r="J352" s="1">
        <v>0</v>
      </c>
      <c r="K352" s="1">
        <v>0</v>
      </c>
      <c r="L352" s="1">
        <v>0</v>
      </c>
      <c r="M352" s="1">
        <v>0</v>
      </c>
      <c r="N352" s="1">
        <v>0</v>
      </c>
    </row>
    <row r="353" spans="1:14">
      <c r="A353" s="1" t="s">
        <v>685</v>
      </c>
      <c r="B353" s="1"/>
      <c r="C353" s="1"/>
      <c r="D353" s="1" t="s">
        <v>686</v>
      </c>
      <c r="E353" s="1">
        <v>0</v>
      </c>
      <c r="F353" s="1">
        <v>0</v>
      </c>
      <c r="G353" s="1">
        <v>0</v>
      </c>
      <c r="H353" s="1">
        <v>0</v>
      </c>
      <c r="I353" s="1">
        <v>0</v>
      </c>
      <c r="J353" s="1">
        <v>0</v>
      </c>
      <c r="K353" s="1">
        <v>0</v>
      </c>
      <c r="L353" s="1">
        <v>0</v>
      </c>
      <c r="M353" s="1">
        <v>0</v>
      </c>
      <c r="N353" s="1">
        <v>0</v>
      </c>
    </row>
    <row r="354" spans="1:14">
      <c r="A354" s="1" t="s">
        <v>687</v>
      </c>
      <c r="B354" s="1">
        <v>0</v>
      </c>
      <c r="C354" s="1"/>
      <c r="D354" s="1" t="s">
        <v>688</v>
      </c>
      <c r="E354" s="1">
        <v>0</v>
      </c>
      <c r="F354" s="1">
        <v>0</v>
      </c>
      <c r="G354" s="1">
        <v>0</v>
      </c>
      <c r="H354" s="1">
        <v>0</v>
      </c>
      <c r="I354" s="1">
        <v>0</v>
      </c>
      <c r="J354" s="1">
        <v>0</v>
      </c>
      <c r="K354" s="1">
        <v>0</v>
      </c>
      <c r="L354" s="1">
        <v>0</v>
      </c>
      <c r="M354" s="1">
        <v>0</v>
      </c>
      <c r="N354" s="1">
        <v>0</v>
      </c>
    </row>
    <row r="355" spans="1:14">
      <c r="A355" s="1" t="s">
        <v>689</v>
      </c>
      <c r="B355" s="1"/>
      <c r="C355" s="1"/>
      <c r="D355" s="1" t="s">
        <v>690</v>
      </c>
      <c r="E355" s="1">
        <v>0</v>
      </c>
      <c r="F355" s="1">
        <v>0</v>
      </c>
      <c r="G355" s="1">
        <v>0</v>
      </c>
      <c r="H355" s="1">
        <v>0</v>
      </c>
      <c r="I355" s="1">
        <v>0</v>
      </c>
      <c r="J355" s="1">
        <v>0</v>
      </c>
      <c r="K355" s="1">
        <v>0</v>
      </c>
      <c r="L355" s="1">
        <v>0</v>
      </c>
      <c r="M355" s="1">
        <v>0</v>
      </c>
      <c r="N355" s="1">
        <v>0</v>
      </c>
    </row>
    <row r="356" spans="1:14">
      <c r="A356" s="1" t="s">
        <v>691</v>
      </c>
      <c r="B356" s="1"/>
      <c r="C356" s="1"/>
      <c r="D356" s="1" t="s">
        <v>692</v>
      </c>
      <c r="E356" s="1">
        <v>0</v>
      </c>
      <c r="F356" s="1">
        <v>0</v>
      </c>
      <c r="G356" s="1">
        <v>0</v>
      </c>
      <c r="H356" s="1">
        <v>0</v>
      </c>
      <c r="I356" s="1">
        <v>0</v>
      </c>
      <c r="J356" s="1">
        <v>0</v>
      </c>
      <c r="K356" s="1">
        <v>0</v>
      </c>
      <c r="L356" s="1">
        <v>0</v>
      </c>
      <c r="M356" s="1">
        <v>0</v>
      </c>
      <c r="N356" s="1">
        <v>0</v>
      </c>
    </row>
    <row r="357" spans="1:14">
      <c r="A357" s="1" t="s">
        <v>693</v>
      </c>
      <c r="B357" s="1"/>
      <c r="C357" s="1"/>
      <c r="D357" s="1" t="s">
        <v>61</v>
      </c>
      <c r="E357" s="1">
        <v>0</v>
      </c>
      <c r="F357" s="1">
        <v>0</v>
      </c>
      <c r="G357" s="1">
        <v>0</v>
      </c>
      <c r="H357" s="1">
        <v>0</v>
      </c>
      <c r="I357" s="1">
        <v>0</v>
      </c>
      <c r="J357" s="1">
        <v>0</v>
      </c>
      <c r="K357" s="1">
        <v>0</v>
      </c>
      <c r="L357" s="1">
        <v>0</v>
      </c>
      <c r="M357" s="1">
        <v>0</v>
      </c>
      <c r="N357" s="1">
        <v>0</v>
      </c>
    </row>
    <row r="358" spans="1:14">
      <c r="A358" s="1" t="s">
        <v>694</v>
      </c>
      <c r="B358" s="1">
        <v>4</v>
      </c>
      <c r="C358" s="1"/>
      <c r="D358" s="1" t="s">
        <v>695</v>
      </c>
      <c r="E358" s="1">
        <v>0.5</v>
      </c>
      <c r="F358" s="1">
        <v>0</v>
      </c>
      <c r="G358" s="1">
        <v>0.5</v>
      </c>
      <c r="H358" s="1">
        <v>0</v>
      </c>
      <c r="I358" s="1">
        <v>0</v>
      </c>
      <c r="J358" s="1">
        <v>0</v>
      </c>
      <c r="K358" s="1">
        <v>0</v>
      </c>
      <c r="L358" s="1">
        <v>0</v>
      </c>
      <c r="M358" s="1">
        <v>0</v>
      </c>
      <c r="N358" s="1">
        <v>0</v>
      </c>
    </row>
    <row r="359" spans="1:14">
      <c r="A359" s="1" t="s">
        <v>696</v>
      </c>
      <c r="B359" s="1">
        <v>1</v>
      </c>
      <c r="C359" s="1"/>
      <c r="D359" s="1" t="s">
        <v>697</v>
      </c>
      <c r="E359" s="1">
        <v>0</v>
      </c>
      <c r="F359" s="1">
        <v>0</v>
      </c>
      <c r="G359" s="1">
        <v>0</v>
      </c>
      <c r="H359" s="1">
        <v>0</v>
      </c>
      <c r="I359" s="1">
        <v>0</v>
      </c>
      <c r="J359" s="1">
        <v>0</v>
      </c>
      <c r="K359" s="1">
        <v>0</v>
      </c>
      <c r="L359" s="1">
        <v>0</v>
      </c>
      <c r="M359" s="1">
        <v>0</v>
      </c>
      <c r="N359" s="1">
        <v>0</v>
      </c>
    </row>
    <row r="360" spans="1:14">
      <c r="A360" s="1" t="s">
        <v>698</v>
      </c>
      <c r="B360" s="1">
        <v>2</v>
      </c>
      <c r="C360" s="1"/>
      <c r="D360" s="1" t="s">
        <v>699</v>
      </c>
      <c r="E360" s="1">
        <v>0</v>
      </c>
      <c r="F360" s="1">
        <v>0</v>
      </c>
      <c r="G360" s="1">
        <v>0</v>
      </c>
      <c r="H360" s="1">
        <v>0</v>
      </c>
      <c r="I360" s="1">
        <v>0</v>
      </c>
      <c r="J360" s="1">
        <v>0</v>
      </c>
      <c r="K360" s="1">
        <v>0</v>
      </c>
      <c r="L360" s="1">
        <v>0</v>
      </c>
      <c r="M360" s="1">
        <v>0</v>
      </c>
      <c r="N360" s="1">
        <v>0</v>
      </c>
    </row>
    <row r="361" spans="1:14">
      <c r="A361" s="1" t="s">
        <v>700</v>
      </c>
      <c r="B361" s="1">
        <v>3</v>
      </c>
      <c r="C361" s="1"/>
      <c r="D361" s="1" t="s">
        <v>701</v>
      </c>
      <c r="E361" s="1">
        <v>0.5</v>
      </c>
      <c r="F361" s="1">
        <v>0</v>
      </c>
      <c r="G361" s="1">
        <v>0</v>
      </c>
      <c r="H361" s="1">
        <v>1</v>
      </c>
      <c r="I361" s="1">
        <v>0</v>
      </c>
      <c r="J361" s="1">
        <v>0</v>
      </c>
      <c r="K361" s="1">
        <v>0</v>
      </c>
      <c r="L361" s="1">
        <v>0</v>
      </c>
      <c r="M361" s="1">
        <v>0</v>
      </c>
      <c r="N361" s="1">
        <v>0</v>
      </c>
    </row>
    <row r="362" spans="1:14">
      <c r="A362" s="1" t="s">
        <v>702</v>
      </c>
      <c r="B362" s="1">
        <v>2</v>
      </c>
      <c r="C362" s="1"/>
      <c r="D362" s="1" t="s">
        <v>703</v>
      </c>
      <c r="E362" s="1">
        <v>1</v>
      </c>
      <c r="F362" s="1">
        <v>0</v>
      </c>
      <c r="G362" s="1">
        <v>0</v>
      </c>
      <c r="H362" s="1">
        <v>1</v>
      </c>
      <c r="I362" s="1">
        <v>0</v>
      </c>
      <c r="J362" s="1">
        <v>0</v>
      </c>
      <c r="K362" s="1">
        <v>0</v>
      </c>
      <c r="L362" s="1">
        <v>0</v>
      </c>
      <c r="M362" s="1">
        <v>0</v>
      </c>
      <c r="N362" s="1">
        <v>0</v>
      </c>
    </row>
    <row r="363" spans="1:14">
      <c r="A363" s="1" t="s">
        <v>704</v>
      </c>
      <c r="B363" s="1">
        <v>2</v>
      </c>
      <c r="C363" s="1"/>
      <c r="D363" s="1" t="s">
        <v>705</v>
      </c>
      <c r="E363" s="1">
        <v>0</v>
      </c>
      <c r="F363" s="1">
        <v>0</v>
      </c>
      <c r="G363" s="1">
        <v>0</v>
      </c>
      <c r="H363" s="1">
        <v>0</v>
      </c>
      <c r="I363" s="1">
        <v>0</v>
      </c>
      <c r="J363" s="1">
        <v>0</v>
      </c>
      <c r="K363" s="1">
        <v>0</v>
      </c>
      <c r="L363" s="1">
        <v>0</v>
      </c>
      <c r="M363" s="1">
        <v>0</v>
      </c>
      <c r="N363" s="1">
        <v>0</v>
      </c>
    </row>
    <row r="364" spans="1:14">
      <c r="A364" s="1" t="s">
        <v>706</v>
      </c>
      <c r="B364" s="1">
        <v>215</v>
      </c>
      <c r="C364" s="1"/>
      <c r="D364" s="1" t="s">
        <v>707</v>
      </c>
      <c r="E364" s="1">
        <v>0</v>
      </c>
      <c r="F364" s="1">
        <v>0</v>
      </c>
      <c r="G364" s="1">
        <v>0</v>
      </c>
      <c r="H364" s="1">
        <v>0</v>
      </c>
      <c r="I364" s="1">
        <v>0</v>
      </c>
      <c r="J364" s="1">
        <v>0</v>
      </c>
      <c r="K364" s="1">
        <v>0</v>
      </c>
      <c r="L364" s="1">
        <v>0</v>
      </c>
      <c r="M364" s="1">
        <v>0</v>
      </c>
      <c r="N364" s="1">
        <v>0</v>
      </c>
    </row>
    <row r="365" spans="1:14">
      <c r="A365" s="1" t="s">
        <v>708</v>
      </c>
      <c r="B365" s="1">
        <v>47</v>
      </c>
      <c r="C365" s="1"/>
      <c r="D365" s="1" t="s">
        <v>709</v>
      </c>
      <c r="E365" s="1">
        <v>0</v>
      </c>
      <c r="F365" s="1">
        <v>0</v>
      </c>
      <c r="G365" s="1">
        <v>0</v>
      </c>
      <c r="H365" s="1">
        <v>0</v>
      </c>
      <c r="I365" s="1">
        <v>0</v>
      </c>
      <c r="J365" s="1">
        <v>0</v>
      </c>
      <c r="K365" s="1">
        <v>0</v>
      </c>
      <c r="L365" s="1">
        <v>0</v>
      </c>
      <c r="M365" s="1">
        <v>0</v>
      </c>
      <c r="N365" s="1">
        <v>0</v>
      </c>
    </row>
    <row r="366" spans="1:14">
      <c r="A366" s="1" t="s">
        <v>710</v>
      </c>
      <c r="B366" s="1">
        <v>59</v>
      </c>
      <c r="C366" s="1"/>
      <c r="D366" s="1" t="s">
        <v>711</v>
      </c>
      <c r="E366" s="1">
        <v>0</v>
      </c>
      <c r="F366" s="1">
        <v>0</v>
      </c>
      <c r="G366" s="1">
        <v>0</v>
      </c>
      <c r="H366" s="1">
        <v>0</v>
      </c>
      <c r="I366" s="1">
        <v>0</v>
      </c>
      <c r="J366" s="1">
        <v>0</v>
      </c>
      <c r="K366" s="1">
        <v>0</v>
      </c>
      <c r="L366" s="1">
        <v>0</v>
      </c>
      <c r="M366" s="1">
        <v>0</v>
      </c>
      <c r="N366" s="1">
        <v>0</v>
      </c>
    </row>
    <row r="367" spans="1:14">
      <c r="A367" s="1" t="s">
        <v>712</v>
      </c>
      <c r="B367" s="1">
        <v>39</v>
      </c>
      <c r="C367" s="1"/>
      <c r="D367" s="1" t="s">
        <v>713</v>
      </c>
      <c r="E367" s="1">
        <v>0</v>
      </c>
      <c r="F367" s="1">
        <v>0</v>
      </c>
      <c r="G367" s="1">
        <v>0</v>
      </c>
      <c r="H367" s="1">
        <v>0</v>
      </c>
      <c r="I367" s="1">
        <v>0</v>
      </c>
      <c r="J367" s="1">
        <v>0</v>
      </c>
      <c r="K367" s="1">
        <v>0</v>
      </c>
      <c r="L367" s="1">
        <v>0</v>
      </c>
      <c r="M367" s="1">
        <v>0</v>
      </c>
      <c r="N367" s="1">
        <v>0</v>
      </c>
    </row>
    <row r="368" spans="1:14">
      <c r="A368" s="1" t="s">
        <v>714</v>
      </c>
      <c r="B368" s="1">
        <v>4</v>
      </c>
      <c r="C368" s="1"/>
      <c r="D368" s="1" t="s">
        <v>715</v>
      </c>
      <c r="E368" s="1">
        <v>0</v>
      </c>
      <c r="F368" s="1">
        <v>0</v>
      </c>
      <c r="G368" s="1">
        <v>0</v>
      </c>
      <c r="H368" s="1">
        <v>0</v>
      </c>
      <c r="I368" s="1">
        <v>0</v>
      </c>
      <c r="J368" s="1">
        <v>0</v>
      </c>
      <c r="K368" s="1">
        <v>0</v>
      </c>
      <c r="L368" s="1">
        <v>0</v>
      </c>
      <c r="M368" s="1">
        <v>0</v>
      </c>
      <c r="N368" s="1">
        <v>0</v>
      </c>
    </row>
    <row r="369" spans="1:14">
      <c r="A369" s="1" t="s">
        <v>716</v>
      </c>
      <c r="B369" s="1">
        <v>6</v>
      </c>
      <c r="C369" s="1"/>
      <c r="D369" s="1" t="s">
        <v>717</v>
      </c>
      <c r="E369" s="1">
        <v>0</v>
      </c>
      <c r="F369" s="1">
        <v>0</v>
      </c>
      <c r="G369" s="1">
        <v>0</v>
      </c>
      <c r="H369" s="1">
        <v>0</v>
      </c>
      <c r="I369" s="1">
        <v>0</v>
      </c>
      <c r="J369" s="1">
        <v>0</v>
      </c>
      <c r="K369" s="1">
        <v>0</v>
      </c>
      <c r="L369" s="1">
        <v>0</v>
      </c>
      <c r="M369" s="1">
        <v>0</v>
      </c>
      <c r="N369" s="1">
        <v>0</v>
      </c>
    </row>
    <row r="370" spans="1:14">
      <c r="A370" s="1" t="s">
        <v>718</v>
      </c>
      <c r="B370" s="1">
        <v>4</v>
      </c>
      <c r="C370" s="1"/>
      <c r="D370" s="1" t="s">
        <v>719</v>
      </c>
      <c r="E370" s="1">
        <v>0</v>
      </c>
      <c r="F370" s="1">
        <v>0</v>
      </c>
      <c r="G370" s="1">
        <v>0</v>
      </c>
      <c r="H370" s="1">
        <v>0</v>
      </c>
      <c r="I370" s="1">
        <v>0</v>
      </c>
      <c r="J370" s="1">
        <v>0</v>
      </c>
      <c r="K370" s="1">
        <v>0</v>
      </c>
      <c r="L370" s="1">
        <v>0</v>
      </c>
      <c r="M370" s="1">
        <v>0</v>
      </c>
      <c r="N370" s="1">
        <v>0</v>
      </c>
    </row>
    <row r="371" spans="1:14">
      <c r="A371" s="1" t="s">
        <v>720</v>
      </c>
      <c r="B371" s="1">
        <v>1</v>
      </c>
      <c r="C371" s="1"/>
      <c r="D371" s="1" t="s">
        <v>721</v>
      </c>
      <c r="E371" s="1">
        <v>0</v>
      </c>
      <c r="F371" s="1">
        <v>0</v>
      </c>
      <c r="G371" s="1">
        <v>0</v>
      </c>
      <c r="H371" s="1">
        <v>0</v>
      </c>
      <c r="I371" s="1">
        <v>0</v>
      </c>
      <c r="J371" s="1">
        <v>0</v>
      </c>
      <c r="K371" s="1">
        <v>0</v>
      </c>
      <c r="L371" s="1">
        <v>0</v>
      </c>
      <c r="M371" s="1">
        <v>0</v>
      </c>
      <c r="N371" s="1">
        <v>0</v>
      </c>
    </row>
    <row r="372" spans="1:14">
      <c r="A372" s="1" t="s">
        <v>722</v>
      </c>
      <c r="B372" s="1"/>
      <c r="C372" s="1"/>
      <c r="D372" s="1" t="s">
        <v>723</v>
      </c>
      <c r="E372" s="1">
        <v>0</v>
      </c>
      <c r="F372" s="1">
        <v>0</v>
      </c>
      <c r="G372" s="1">
        <v>0</v>
      </c>
      <c r="H372" s="1">
        <v>0</v>
      </c>
      <c r="I372" s="1">
        <v>0</v>
      </c>
      <c r="J372" s="1">
        <v>0</v>
      </c>
      <c r="K372" s="1">
        <v>0</v>
      </c>
      <c r="L372" s="1">
        <v>0</v>
      </c>
      <c r="M372" s="1">
        <v>0</v>
      </c>
      <c r="N372" s="1">
        <v>0</v>
      </c>
    </row>
    <row r="373" spans="1:14">
      <c r="A373" s="1" t="s">
        <v>724</v>
      </c>
      <c r="B373" s="1"/>
      <c r="C373" s="1"/>
      <c r="D373" s="1" t="s">
        <v>725</v>
      </c>
      <c r="E373" s="1">
        <v>0.75</v>
      </c>
      <c r="F373" s="1">
        <v>2.25</v>
      </c>
      <c r="G373" s="1">
        <v>0</v>
      </c>
      <c r="H373" s="1">
        <v>0</v>
      </c>
      <c r="I373" s="1">
        <v>3</v>
      </c>
      <c r="J373" s="1">
        <v>0</v>
      </c>
      <c r="K373" s="1">
        <v>0</v>
      </c>
      <c r="L373" s="1">
        <v>0</v>
      </c>
      <c r="M373" s="1">
        <v>0</v>
      </c>
      <c r="N373" s="1">
        <v>0</v>
      </c>
    </row>
    <row r="374" spans="1:14">
      <c r="A374" s="1" t="s">
        <v>726</v>
      </c>
      <c r="B374" s="1"/>
      <c r="C374" s="1"/>
      <c r="D374" s="1" t="s">
        <v>727</v>
      </c>
      <c r="E374" s="1">
        <v>0</v>
      </c>
      <c r="F374" s="1">
        <v>0</v>
      </c>
      <c r="G374" s="1">
        <v>0</v>
      </c>
      <c r="H374" s="1">
        <v>0</v>
      </c>
      <c r="I374" s="1">
        <v>0</v>
      </c>
      <c r="J374" s="1">
        <v>0</v>
      </c>
      <c r="K374" s="1">
        <v>0</v>
      </c>
      <c r="L374" s="1">
        <v>0</v>
      </c>
      <c r="M374" s="1">
        <v>0</v>
      </c>
      <c r="N374" s="1">
        <v>0</v>
      </c>
    </row>
    <row r="375" spans="1:14">
      <c r="A375" s="1" t="s">
        <v>728</v>
      </c>
      <c r="B375" s="1"/>
      <c r="C375" s="1"/>
      <c r="D375" s="1" t="s">
        <v>729</v>
      </c>
      <c r="E375" s="1">
        <v>0</v>
      </c>
      <c r="F375" s="1">
        <v>0</v>
      </c>
      <c r="G375" s="1">
        <v>0</v>
      </c>
      <c r="H375" s="1">
        <v>0</v>
      </c>
      <c r="I375" s="1">
        <v>0</v>
      </c>
      <c r="J375" s="1">
        <v>0</v>
      </c>
      <c r="K375" s="1">
        <v>0</v>
      </c>
      <c r="L375" s="1">
        <v>0</v>
      </c>
      <c r="M375" s="1">
        <v>0</v>
      </c>
      <c r="N375" s="1">
        <v>0</v>
      </c>
    </row>
    <row r="376" spans="1:14">
      <c r="A376" s="1" t="s">
        <v>730</v>
      </c>
      <c r="B376" s="1"/>
      <c r="C376" s="1"/>
      <c r="D376" s="1" t="s">
        <v>731</v>
      </c>
      <c r="E376" s="1">
        <v>3</v>
      </c>
      <c r="F376" s="1">
        <v>9</v>
      </c>
      <c r="G376" s="1">
        <v>0</v>
      </c>
      <c r="H376" s="1">
        <v>0</v>
      </c>
      <c r="I376" s="1">
        <v>3</v>
      </c>
      <c r="J376" s="1">
        <v>0</v>
      </c>
      <c r="K376" s="1">
        <v>0</v>
      </c>
      <c r="L376" s="1">
        <v>0</v>
      </c>
      <c r="M376" s="1">
        <v>0</v>
      </c>
      <c r="N376" s="1">
        <v>0</v>
      </c>
    </row>
    <row r="377" spans="1:14">
      <c r="A377" s="1" t="s">
        <v>732</v>
      </c>
      <c r="B377" s="1"/>
      <c r="C377" s="1"/>
      <c r="D377" s="1" t="s">
        <v>733</v>
      </c>
      <c r="E377" s="1">
        <v>3</v>
      </c>
      <c r="F377" s="1">
        <v>9</v>
      </c>
      <c r="G377" s="1">
        <v>0</v>
      </c>
      <c r="H377" s="1">
        <v>0</v>
      </c>
      <c r="I377" s="1">
        <v>3</v>
      </c>
      <c r="J377" s="1">
        <v>0</v>
      </c>
      <c r="K377" s="1">
        <v>0</v>
      </c>
      <c r="L377" s="1">
        <v>0</v>
      </c>
      <c r="M377" s="1">
        <v>0</v>
      </c>
      <c r="N377" s="1">
        <v>0</v>
      </c>
    </row>
    <row r="378" spans="1:14">
      <c r="A378" s="1" t="s">
        <v>734</v>
      </c>
      <c r="B378" s="1"/>
      <c r="C378" s="1"/>
      <c r="D378" s="1" t="s">
        <v>735</v>
      </c>
      <c r="E378" s="1">
        <v>0</v>
      </c>
      <c r="F378" s="1">
        <v>0</v>
      </c>
      <c r="G378" s="1">
        <v>0</v>
      </c>
      <c r="H378" s="1">
        <v>0</v>
      </c>
      <c r="I378" s="1">
        <v>0</v>
      </c>
      <c r="J378" s="1">
        <v>0</v>
      </c>
      <c r="K378" s="1">
        <v>0</v>
      </c>
      <c r="L378" s="1">
        <v>0</v>
      </c>
      <c r="M378" s="1">
        <v>0</v>
      </c>
      <c r="N378" s="1">
        <v>0</v>
      </c>
    </row>
    <row r="379" spans="1:14">
      <c r="A379" s="1" t="s">
        <v>736</v>
      </c>
      <c r="B379" s="1"/>
      <c r="C379" s="1"/>
      <c r="D379" s="1" t="s">
        <v>737</v>
      </c>
      <c r="E379" s="1">
        <v>0</v>
      </c>
      <c r="F379" s="1">
        <v>0</v>
      </c>
      <c r="G379" s="1">
        <v>0</v>
      </c>
      <c r="H379" s="1">
        <v>0</v>
      </c>
      <c r="I379" s="1">
        <v>0</v>
      </c>
      <c r="J379" s="1">
        <v>0</v>
      </c>
      <c r="K379" s="1">
        <v>0</v>
      </c>
      <c r="L379" s="1">
        <v>0</v>
      </c>
      <c r="M379" s="1">
        <v>0</v>
      </c>
      <c r="N379" s="1">
        <v>0</v>
      </c>
    </row>
    <row r="380" spans="1:14">
      <c r="A380" s="1" t="s">
        <v>738</v>
      </c>
      <c r="B380" s="1">
        <v>30</v>
      </c>
      <c r="C380" s="1"/>
      <c r="D380" s="1" t="s">
        <v>739</v>
      </c>
      <c r="E380" s="1">
        <v>0</v>
      </c>
      <c r="F380" s="1">
        <v>0</v>
      </c>
      <c r="G380" s="1">
        <v>0</v>
      </c>
      <c r="H380" s="1">
        <v>0</v>
      </c>
      <c r="I380" s="1">
        <v>0</v>
      </c>
      <c r="J380" s="1">
        <v>0</v>
      </c>
      <c r="K380" s="1">
        <v>0</v>
      </c>
      <c r="L380" s="1">
        <v>0</v>
      </c>
      <c r="M380" s="1">
        <v>0</v>
      </c>
      <c r="N380" s="1">
        <v>0</v>
      </c>
    </row>
    <row r="381" spans="1:14">
      <c r="A381" s="1" t="s">
        <v>740</v>
      </c>
      <c r="B381" s="1">
        <v>14</v>
      </c>
      <c r="C381" s="1"/>
      <c r="D381" s="1" t="s">
        <v>741</v>
      </c>
      <c r="E381" s="1">
        <v>1.5</v>
      </c>
      <c r="F381" s="1">
        <v>4.5</v>
      </c>
      <c r="G381" s="1">
        <v>0</v>
      </c>
      <c r="H381" s="1">
        <v>0</v>
      </c>
      <c r="I381" s="1">
        <v>3</v>
      </c>
      <c r="J381" s="1">
        <v>0</v>
      </c>
      <c r="K381" s="1">
        <v>0</v>
      </c>
      <c r="L381" s="1">
        <v>0</v>
      </c>
      <c r="M381" s="1">
        <v>0</v>
      </c>
      <c r="N381" s="1">
        <v>0</v>
      </c>
    </row>
    <row r="382" spans="1:14">
      <c r="A382" s="1" t="s">
        <v>742</v>
      </c>
      <c r="B382" s="1">
        <v>1</v>
      </c>
      <c r="C382" s="1"/>
      <c r="D382" s="1" t="s">
        <v>743</v>
      </c>
      <c r="E382" s="1">
        <v>0</v>
      </c>
      <c r="F382" s="1">
        <v>0</v>
      </c>
      <c r="G382" s="1">
        <v>0</v>
      </c>
      <c r="H382" s="1">
        <v>0</v>
      </c>
      <c r="I382" s="1">
        <v>0</v>
      </c>
      <c r="J382" s="1">
        <v>0</v>
      </c>
      <c r="K382" s="1">
        <v>0</v>
      </c>
      <c r="L382" s="1">
        <v>0</v>
      </c>
      <c r="M382" s="1">
        <v>0</v>
      </c>
      <c r="N382" s="1">
        <v>0</v>
      </c>
    </row>
    <row r="383" spans="1:14">
      <c r="A383" s="1" t="s">
        <v>744</v>
      </c>
      <c r="B383" s="1">
        <v>9</v>
      </c>
      <c r="C383" s="1"/>
      <c r="D383" s="1" t="s">
        <v>745</v>
      </c>
      <c r="E383" s="1">
        <v>0</v>
      </c>
      <c r="F383" s="1">
        <v>0</v>
      </c>
      <c r="G383" s="1">
        <v>0</v>
      </c>
      <c r="H383" s="1">
        <v>0</v>
      </c>
      <c r="I383" s="1">
        <v>0</v>
      </c>
      <c r="J383" s="1">
        <v>0</v>
      </c>
      <c r="K383" s="1">
        <v>0</v>
      </c>
      <c r="L383" s="1">
        <v>0</v>
      </c>
      <c r="M383" s="1">
        <v>0</v>
      </c>
      <c r="N383" s="1">
        <v>0</v>
      </c>
    </row>
    <row r="384" spans="1:14">
      <c r="A384" s="1" t="s">
        <v>746</v>
      </c>
      <c r="B384" s="1">
        <v>3</v>
      </c>
      <c r="C384" s="1"/>
      <c r="D384" s="1" t="s">
        <v>747</v>
      </c>
      <c r="E384" s="1">
        <v>0</v>
      </c>
      <c r="F384" s="1">
        <v>0</v>
      </c>
      <c r="G384" s="1">
        <v>0</v>
      </c>
      <c r="H384" s="1">
        <v>0</v>
      </c>
      <c r="I384" s="1">
        <v>0</v>
      </c>
      <c r="J384" s="1">
        <v>0</v>
      </c>
      <c r="K384" s="1">
        <v>0</v>
      </c>
      <c r="L384" s="1">
        <v>0</v>
      </c>
      <c r="M384" s="1">
        <v>0</v>
      </c>
      <c r="N384" s="1">
        <v>0</v>
      </c>
    </row>
    <row r="385" spans="1:14">
      <c r="A385" s="1" t="s">
        <v>748</v>
      </c>
      <c r="B385" s="1">
        <v>79</v>
      </c>
      <c r="C385" s="1"/>
      <c r="D385" s="1" t="s">
        <v>749</v>
      </c>
      <c r="E385" s="1">
        <v>0</v>
      </c>
      <c r="F385" s="1">
        <v>0</v>
      </c>
      <c r="G385" s="1">
        <v>0</v>
      </c>
      <c r="H385" s="1">
        <v>0</v>
      </c>
      <c r="I385" s="1">
        <v>0</v>
      </c>
      <c r="J385" s="1">
        <v>0</v>
      </c>
      <c r="K385" s="1">
        <v>0</v>
      </c>
      <c r="L385" s="1">
        <v>0</v>
      </c>
      <c r="M385" s="1">
        <v>0</v>
      </c>
      <c r="N385" s="1">
        <v>0</v>
      </c>
    </row>
    <row r="386" spans="1:14">
      <c r="A386" s="1" t="s">
        <v>750</v>
      </c>
      <c r="B386" s="1">
        <v>6</v>
      </c>
      <c r="C386" s="1"/>
      <c r="D386" s="1" t="s">
        <v>751</v>
      </c>
      <c r="E386" s="1">
        <v>0</v>
      </c>
      <c r="F386" s="1">
        <v>0</v>
      </c>
      <c r="G386" s="1">
        <v>0</v>
      </c>
      <c r="H386" s="1">
        <v>0</v>
      </c>
      <c r="I386" s="1">
        <v>0</v>
      </c>
      <c r="J386" s="1">
        <v>0</v>
      </c>
      <c r="K386" s="1">
        <v>0</v>
      </c>
      <c r="L386" s="1">
        <v>0</v>
      </c>
      <c r="M386" s="1">
        <v>0</v>
      </c>
      <c r="N386" s="1">
        <v>0</v>
      </c>
    </row>
    <row r="387" spans="1:14">
      <c r="A387" s="1" t="s">
        <v>752</v>
      </c>
      <c r="B387" s="1">
        <v>8</v>
      </c>
      <c r="C387" s="1"/>
      <c r="D387" s="1" t="s">
        <v>753</v>
      </c>
      <c r="E387" s="1">
        <v>3</v>
      </c>
      <c r="F387" s="1">
        <v>9</v>
      </c>
      <c r="G387" s="1">
        <v>0</v>
      </c>
      <c r="H387" s="1">
        <v>0</v>
      </c>
      <c r="I387" s="1">
        <v>3</v>
      </c>
      <c r="J387" s="1">
        <v>0</v>
      </c>
      <c r="K387" s="1">
        <v>0</v>
      </c>
      <c r="L387" s="1">
        <v>0</v>
      </c>
      <c r="M387" s="1">
        <v>0</v>
      </c>
      <c r="N387" s="1">
        <v>0</v>
      </c>
    </row>
    <row r="388" spans="1:14">
      <c r="A388" s="1" t="s">
        <v>754</v>
      </c>
      <c r="B388" s="1">
        <v>6</v>
      </c>
      <c r="C388" s="1"/>
      <c r="D388" s="1" t="s">
        <v>755</v>
      </c>
      <c r="E388" s="1">
        <v>0</v>
      </c>
      <c r="F388" s="1">
        <v>0</v>
      </c>
      <c r="G388" s="1">
        <v>0</v>
      </c>
      <c r="H388" s="1">
        <v>0</v>
      </c>
      <c r="I388" s="1">
        <v>0</v>
      </c>
      <c r="J388" s="1">
        <v>0</v>
      </c>
      <c r="K388" s="1">
        <v>0</v>
      </c>
      <c r="L388" s="1">
        <v>0</v>
      </c>
      <c r="M388" s="1">
        <v>0</v>
      </c>
      <c r="N388" s="1">
        <v>0</v>
      </c>
    </row>
    <row r="389" spans="1:14">
      <c r="A389" s="1" t="s">
        <v>756</v>
      </c>
      <c r="B389" s="1">
        <v>2</v>
      </c>
      <c r="C389" s="1"/>
      <c r="D389" s="1" t="s">
        <v>757</v>
      </c>
      <c r="E389" s="1">
        <v>0</v>
      </c>
      <c r="F389" s="1">
        <v>0</v>
      </c>
      <c r="G389" s="1">
        <v>0</v>
      </c>
      <c r="H389" s="1">
        <v>0</v>
      </c>
      <c r="I389" s="1">
        <v>0</v>
      </c>
      <c r="J389" s="1">
        <v>0</v>
      </c>
      <c r="K389" s="1">
        <v>0</v>
      </c>
      <c r="L389" s="1">
        <v>0</v>
      </c>
      <c r="M389" s="1">
        <v>0</v>
      </c>
      <c r="N389" s="1">
        <v>0</v>
      </c>
    </row>
    <row r="390" spans="1:14">
      <c r="A390" s="1" t="s">
        <v>758</v>
      </c>
      <c r="B390" s="1">
        <v>1</v>
      </c>
      <c r="C390" s="1"/>
      <c r="D390" s="1" t="s">
        <v>759</v>
      </c>
      <c r="E390" s="1">
        <v>0</v>
      </c>
      <c r="F390" s="1">
        <v>0</v>
      </c>
      <c r="G390" s="1">
        <v>0</v>
      </c>
      <c r="H390" s="1">
        <v>0</v>
      </c>
      <c r="I390" s="1">
        <v>0</v>
      </c>
      <c r="J390" s="1">
        <v>0</v>
      </c>
      <c r="K390" s="1">
        <v>0</v>
      </c>
      <c r="L390" s="1">
        <v>0</v>
      </c>
      <c r="M390" s="1">
        <v>0</v>
      </c>
      <c r="N390" s="1">
        <v>0</v>
      </c>
    </row>
    <row r="391" spans="1:14">
      <c r="A391" s="1" t="s">
        <v>760</v>
      </c>
      <c r="B391" s="1">
        <v>22</v>
      </c>
      <c r="C391" s="1"/>
      <c r="D391" s="1" t="s">
        <v>761</v>
      </c>
      <c r="E391" s="1">
        <v>0</v>
      </c>
      <c r="F391" s="1">
        <v>0</v>
      </c>
      <c r="G391" s="1">
        <v>0</v>
      </c>
      <c r="H391" s="1">
        <v>0</v>
      </c>
      <c r="I391" s="1">
        <v>0</v>
      </c>
      <c r="J391" s="1">
        <v>0</v>
      </c>
      <c r="K391" s="1">
        <v>0</v>
      </c>
      <c r="L391" s="1">
        <v>0</v>
      </c>
      <c r="M391" s="1">
        <v>0</v>
      </c>
      <c r="N391" s="1">
        <v>0</v>
      </c>
    </row>
    <row r="392" spans="1:14">
      <c r="A392" s="1" t="s">
        <v>762</v>
      </c>
      <c r="B392" s="1">
        <v>9</v>
      </c>
      <c r="C392" s="1"/>
      <c r="D392" s="1" t="s">
        <v>763</v>
      </c>
      <c r="E392" s="1">
        <v>0</v>
      </c>
      <c r="F392" s="1">
        <v>0</v>
      </c>
      <c r="G392" s="1">
        <v>0</v>
      </c>
      <c r="H392" s="1">
        <v>0</v>
      </c>
      <c r="I392" s="1">
        <v>0</v>
      </c>
      <c r="J392" s="1">
        <v>0</v>
      </c>
      <c r="K392" s="1">
        <v>0</v>
      </c>
      <c r="L392" s="1">
        <v>0</v>
      </c>
      <c r="M392" s="1">
        <v>0</v>
      </c>
      <c r="N392" s="1">
        <v>0</v>
      </c>
    </row>
    <row r="393" spans="1:14">
      <c r="A393" s="1" t="s">
        <v>764</v>
      </c>
      <c r="B393" s="1">
        <v>5</v>
      </c>
      <c r="C393" s="1"/>
      <c r="D393" s="1" t="s">
        <v>765</v>
      </c>
      <c r="E393" s="1">
        <v>0</v>
      </c>
      <c r="F393" s="1">
        <v>0</v>
      </c>
      <c r="G393" s="1">
        <v>0</v>
      </c>
      <c r="H393" s="1">
        <v>0</v>
      </c>
      <c r="I393" s="1">
        <v>0</v>
      </c>
      <c r="J393" s="1">
        <v>0</v>
      </c>
      <c r="K393" s="1">
        <v>0</v>
      </c>
      <c r="L393" s="1">
        <v>0</v>
      </c>
      <c r="M393" s="1">
        <v>0</v>
      </c>
      <c r="N393" s="1">
        <v>0</v>
      </c>
    </row>
    <row r="394" spans="1:14">
      <c r="A394" s="1" t="s">
        <v>766</v>
      </c>
      <c r="B394" s="1">
        <v>0</v>
      </c>
      <c r="C394" s="1"/>
      <c r="D394" s="1" t="s">
        <v>767</v>
      </c>
      <c r="E394" s="1">
        <v>0</v>
      </c>
      <c r="F394" s="1">
        <v>0</v>
      </c>
      <c r="G394" s="1">
        <v>0</v>
      </c>
      <c r="H394" s="1">
        <v>0</v>
      </c>
      <c r="I394" s="1">
        <v>0</v>
      </c>
      <c r="J394" s="1">
        <v>0</v>
      </c>
      <c r="K394" s="1">
        <v>0</v>
      </c>
      <c r="L394" s="1">
        <v>0</v>
      </c>
      <c r="M394" s="1">
        <v>0</v>
      </c>
      <c r="N394" s="1">
        <v>0</v>
      </c>
    </row>
    <row r="395" spans="1:14">
      <c r="A395" s="1" t="s">
        <v>768</v>
      </c>
      <c r="B395" s="1">
        <v>23</v>
      </c>
      <c r="C395" s="1"/>
      <c r="D395" s="1" t="s">
        <v>769</v>
      </c>
      <c r="E395" s="1">
        <v>1</v>
      </c>
      <c r="F395" s="1">
        <v>3</v>
      </c>
      <c r="G395" s="1">
        <v>0</v>
      </c>
      <c r="H395" s="1">
        <v>0</v>
      </c>
      <c r="I395" s="1">
        <v>0</v>
      </c>
      <c r="J395" s="1">
        <v>0</v>
      </c>
      <c r="K395" s="1">
        <v>3</v>
      </c>
      <c r="L395" s="1">
        <v>0</v>
      </c>
      <c r="M395" s="1">
        <v>0</v>
      </c>
      <c r="N395" s="1">
        <v>0</v>
      </c>
    </row>
    <row r="396" spans="1:14">
      <c r="A396" s="1" t="s">
        <v>770</v>
      </c>
      <c r="B396" s="1">
        <v>9</v>
      </c>
      <c r="C396" s="1"/>
      <c r="D396" s="1" t="s">
        <v>771</v>
      </c>
      <c r="E396" s="1">
        <v>3</v>
      </c>
      <c r="F396" s="1">
        <v>9</v>
      </c>
      <c r="G396" s="1">
        <v>0</v>
      </c>
      <c r="H396" s="1">
        <v>0</v>
      </c>
      <c r="I396" s="1">
        <v>1</v>
      </c>
      <c r="J396" s="1">
        <v>0</v>
      </c>
      <c r="K396" s="1">
        <v>3.5</v>
      </c>
      <c r="L396" s="1">
        <v>0</v>
      </c>
      <c r="M396" s="1">
        <v>0</v>
      </c>
      <c r="N396" s="1">
        <v>0</v>
      </c>
    </row>
    <row r="397" spans="1:14">
      <c r="A397" s="1" t="s">
        <v>772</v>
      </c>
      <c r="B397" s="1">
        <v>2</v>
      </c>
      <c r="C397" s="1"/>
      <c r="D397" s="1" t="s">
        <v>773</v>
      </c>
      <c r="E397" s="1">
        <v>1</v>
      </c>
      <c r="F397" s="1">
        <v>3</v>
      </c>
      <c r="G397" s="1">
        <v>0</v>
      </c>
      <c r="H397" s="1">
        <v>0</v>
      </c>
      <c r="I397" s="1">
        <v>1</v>
      </c>
      <c r="J397" s="1">
        <v>0</v>
      </c>
      <c r="K397" s="1">
        <v>0</v>
      </c>
      <c r="L397" s="1">
        <v>0</v>
      </c>
      <c r="M397" s="1">
        <v>0</v>
      </c>
      <c r="N397" s="1">
        <v>0</v>
      </c>
    </row>
    <row r="398" spans="1:14">
      <c r="A398" s="1" t="s">
        <v>774</v>
      </c>
      <c r="B398" s="1">
        <v>5</v>
      </c>
      <c r="C398" s="1"/>
      <c r="D398" s="1" t="s">
        <v>775</v>
      </c>
      <c r="E398" s="1">
        <v>1</v>
      </c>
      <c r="F398" s="1">
        <v>3</v>
      </c>
      <c r="G398" s="1">
        <v>0</v>
      </c>
      <c r="H398" s="1">
        <v>0</v>
      </c>
      <c r="I398" s="1">
        <v>1</v>
      </c>
      <c r="J398" s="1">
        <v>0</v>
      </c>
      <c r="K398" s="1">
        <v>0</v>
      </c>
      <c r="L398" s="1">
        <v>0</v>
      </c>
      <c r="M398" s="1">
        <v>0</v>
      </c>
      <c r="N398" s="1">
        <v>0</v>
      </c>
    </row>
    <row r="399" spans="1:14">
      <c r="A399" s="1" t="s">
        <v>776</v>
      </c>
      <c r="B399" s="1">
        <v>6</v>
      </c>
      <c r="C399" s="1"/>
      <c r="D399" s="1" t="s">
        <v>777</v>
      </c>
      <c r="E399" s="1">
        <v>1</v>
      </c>
      <c r="F399" s="1">
        <v>3</v>
      </c>
      <c r="G399" s="1">
        <v>0</v>
      </c>
      <c r="H399" s="1">
        <v>0</v>
      </c>
      <c r="I399" s="1">
        <v>0</v>
      </c>
      <c r="J399" s="1">
        <v>0</v>
      </c>
      <c r="K399" s="1">
        <v>3</v>
      </c>
      <c r="L399" s="1">
        <v>0</v>
      </c>
      <c r="M399" s="1">
        <v>0</v>
      </c>
      <c r="N399" s="1">
        <v>0</v>
      </c>
    </row>
    <row r="400" spans="1:14">
      <c r="A400" s="1" t="s">
        <v>778</v>
      </c>
      <c r="B400" s="1">
        <v>5</v>
      </c>
      <c r="C400" s="1"/>
      <c r="D400" s="1" t="s">
        <v>779</v>
      </c>
      <c r="E400" s="1">
        <v>0.33333333300000001</v>
      </c>
      <c r="F400" s="1">
        <v>1</v>
      </c>
      <c r="G400" s="1">
        <v>0</v>
      </c>
      <c r="H400" s="1">
        <v>0</v>
      </c>
      <c r="I400" s="1">
        <v>1</v>
      </c>
      <c r="J400" s="1">
        <v>0</v>
      </c>
      <c r="K400" s="1">
        <v>0</v>
      </c>
      <c r="L400" s="1">
        <v>0</v>
      </c>
      <c r="M400" s="1">
        <v>0</v>
      </c>
      <c r="N400" s="1">
        <v>0</v>
      </c>
    </row>
    <row r="401" spans="1:14">
      <c r="A401" s="1" t="s">
        <v>780</v>
      </c>
      <c r="B401" s="1">
        <v>1</v>
      </c>
      <c r="C401" s="1"/>
      <c r="D401" s="1" t="s">
        <v>781</v>
      </c>
      <c r="E401" s="1">
        <v>1</v>
      </c>
      <c r="F401" s="1">
        <v>3</v>
      </c>
      <c r="G401" s="1">
        <v>0</v>
      </c>
      <c r="H401" s="1">
        <v>0</v>
      </c>
      <c r="I401" s="1">
        <v>1</v>
      </c>
      <c r="J401" s="1">
        <v>0</v>
      </c>
      <c r="K401" s="1">
        <v>0</v>
      </c>
      <c r="L401" s="1">
        <v>0</v>
      </c>
      <c r="M401" s="1">
        <v>0</v>
      </c>
      <c r="N401" s="1">
        <v>0</v>
      </c>
    </row>
    <row r="402" spans="1:14">
      <c r="A402" s="1" t="s">
        <v>782</v>
      </c>
      <c r="B402" s="1">
        <v>2</v>
      </c>
      <c r="C402" s="1"/>
      <c r="D402" s="1"/>
      <c r="E402" s="1">
        <v>0</v>
      </c>
      <c r="F402" s="1">
        <v>0</v>
      </c>
      <c r="G402" s="1">
        <v>0</v>
      </c>
      <c r="H402" s="1">
        <v>0</v>
      </c>
      <c r="I402" s="1">
        <v>0</v>
      </c>
      <c r="J402" s="1">
        <v>0</v>
      </c>
      <c r="K402" s="1">
        <v>0</v>
      </c>
      <c r="L402" s="1">
        <v>0</v>
      </c>
      <c r="M402" s="1">
        <v>0</v>
      </c>
      <c r="N402" s="1">
        <v>0</v>
      </c>
    </row>
    <row r="403" spans="1:14">
      <c r="A403" s="1" t="s">
        <v>783</v>
      </c>
      <c r="B403" s="1">
        <v>2</v>
      </c>
      <c r="C403" s="1"/>
      <c r="D403" s="1" t="s">
        <v>784</v>
      </c>
      <c r="E403" s="1">
        <v>0</v>
      </c>
      <c r="F403" s="1">
        <v>0</v>
      </c>
      <c r="G403" s="1">
        <v>0</v>
      </c>
      <c r="H403" s="1">
        <v>0</v>
      </c>
      <c r="I403" s="1">
        <v>0</v>
      </c>
      <c r="J403" s="1">
        <v>0</v>
      </c>
      <c r="K403" s="1">
        <v>0</v>
      </c>
      <c r="L403" s="1">
        <v>0</v>
      </c>
      <c r="M403" s="1">
        <v>0</v>
      </c>
      <c r="N403" s="1">
        <v>0</v>
      </c>
    </row>
    <row r="404" spans="1:14">
      <c r="A404" s="1" t="s">
        <v>785</v>
      </c>
      <c r="B404" s="1">
        <v>1</v>
      </c>
      <c r="C404" s="1"/>
      <c r="D404" s="1" t="s">
        <v>786</v>
      </c>
      <c r="E404" s="1">
        <v>0</v>
      </c>
      <c r="F404" s="1">
        <v>0</v>
      </c>
      <c r="G404" s="1">
        <v>0</v>
      </c>
      <c r="H404" s="1">
        <v>0</v>
      </c>
      <c r="I404" s="1">
        <v>0</v>
      </c>
      <c r="J404" s="1">
        <v>0</v>
      </c>
      <c r="K404" s="1">
        <v>0</v>
      </c>
      <c r="L404" s="1">
        <v>0</v>
      </c>
      <c r="M404" s="1">
        <v>0</v>
      </c>
      <c r="N404" s="1">
        <v>0</v>
      </c>
    </row>
    <row r="405" spans="1:14">
      <c r="A405" s="1" t="s">
        <v>787</v>
      </c>
      <c r="B405" s="1">
        <v>2</v>
      </c>
      <c r="C405" s="1"/>
      <c r="D405" s="1" t="s">
        <v>788</v>
      </c>
      <c r="E405" s="1">
        <v>0</v>
      </c>
      <c r="F405" s="1">
        <v>0</v>
      </c>
      <c r="G405" s="1">
        <v>0</v>
      </c>
      <c r="H405" s="1">
        <v>0</v>
      </c>
      <c r="I405" s="1">
        <v>0</v>
      </c>
      <c r="J405" s="1">
        <v>0</v>
      </c>
      <c r="K405" s="1">
        <v>0</v>
      </c>
      <c r="L405" s="1">
        <v>0</v>
      </c>
      <c r="M405" s="1">
        <v>0</v>
      </c>
      <c r="N405" s="1">
        <v>0</v>
      </c>
    </row>
    <row r="406" spans="1:14">
      <c r="A406" s="1" t="s">
        <v>789</v>
      </c>
      <c r="B406" s="1">
        <v>1</v>
      </c>
      <c r="C406" s="1"/>
      <c r="D406" s="1" t="s">
        <v>790</v>
      </c>
      <c r="E406" s="1">
        <v>0</v>
      </c>
      <c r="F406" s="1">
        <v>0</v>
      </c>
      <c r="G406" s="1">
        <v>0</v>
      </c>
      <c r="H406" s="1">
        <v>0</v>
      </c>
      <c r="I406" s="1">
        <v>0</v>
      </c>
      <c r="J406" s="1">
        <v>0</v>
      </c>
      <c r="K406" s="1">
        <v>0</v>
      </c>
      <c r="L406" s="1">
        <v>0</v>
      </c>
      <c r="M406" s="1">
        <v>0</v>
      </c>
      <c r="N406" s="1">
        <v>0</v>
      </c>
    </row>
    <row r="407" spans="1:14">
      <c r="A407" s="1" t="s">
        <v>791</v>
      </c>
      <c r="B407" s="1">
        <v>1</v>
      </c>
      <c r="C407" s="1"/>
      <c r="D407" s="1" t="s">
        <v>792</v>
      </c>
      <c r="E407" s="1">
        <v>0</v>
      </c>
      <c r="F407" s="1">
        <v>0</v>
      </c>
      <c r="G407" s="1">
        <v>0</v>
      </c>
      <c r="H407" s="1">
        <v>0</v>
      </c>
      <c r="I407" s="1">
        <v>0</v>
      </c>
      <c r="J407" s="1">
        <v>0</v>
      </c>
      <c r="K407" s="1">
        <v>0</v>
      </c>
      <c r="L407" s="1">
        <v>0</v>
      </c>
      <c r="M407" s="1">
        <v>0</v>
      </c>
      <c r="N407" s="1">
        <v>0</v>
      </c>
    </row>
    <row r="408" spans="1:14">
      <c r="A408" s="1" t="s">
        <v>793</v>
      </c>
      <c r="B408" s="1">
        <v>-1</v>
      </c>
      <c r="C408" s="1"/>
      <c r="D408" s="1" t="s">
        <v>794</v>
      </c>
      <c r="E408" s="1">
        <v>0</v>
      </c>
      <c r="F408" s="1">
        <v>0</v>
      </c>
      <c r="G408" s="1">
        <v>0</v>
      </c>
      <c r="H408" s="1">
        <v>0</v>
      </c>
      <c r="I408" s="1">
        <v>0</v>
      </c>
      <c r="J408" s="1">
        <v>0</v>
      </c>
      <c r="K408" s="1">
        <v>0</v>
      </c>
      <c r="L408" s="1">
        <v>0</v>
      </c>
      <c r="M408" s="1">
        <v>0</v>
      </c>
      <c r="N408" s="1">
        <v>0</v>
      </c>
    </row>
    <row r="409" spans="1:14">
      <c r="A409" s="1" t="s">
        <v>795</v>
      </c>
      <c r="B409" s="1">
        <v>2</v>
      </c>
      <c r="C409" s="1"/>
      <c r="D409" s="1" t="s">
        <v>796</v>
      </c>
      <c r="E409" s="1">
        <v>0</v>
      </c>
      <c r="F409" s="1">
        <v>0</v>
      </c>
      <c r="G409" s="1">
        <v>0</v>
      </c>
      <c r="H409" s="1">
        <v>0</v>
      </c>
      <c r="I409" s="1">
        <v>0</v>
      </c>
      <c r="J409" s="1">
        <v>0</v>
      </c>
      <c r="K409" s="1">
        <v>0</v>
      </c>
      <c r="L409" s="1">
        <v>0</v>
      </c>
      <c r="M409" s="1">
        <v>0</v>
      </c>
      <c r="N409" s="1">
        <v>0</v>
      </c>
    </row>
    <row r="410" spans="1:14">
      <c r="A410" s="1" t="s">
        <v>797</v>
      </c>
      <c r="B410" s="1">
        <v>8</v>
      </c>
      <c r="C410" s="1"/>
      <c r="D410" s="1"/>
      <c r="E410" s="1">
        <v>0</v>
      </c>
      <c r="F410" s="1">
        <v>0</v>
      </c>
      <c r="G410" s="1">
        <v>0</v>
      </c>
      <c r="H410" s="1">
        <v>0</v>
      </c>
      <c r="I410" s="1">
        <v>0</v>
      </c>
      <c r="J410" s="1">
        <v>0</v>
      </c>
      <c r="K410" s="1">
        <v>0</v>
      </c>
      <c r="L410" s="1">
        <v>0</v>
      </c>
      <c r="M410" s="1">
        <v>0</v>
      </c>
      <c r="N410" s="1">
        <v>0</v>
      </c>
    </row>
    <row r="411" spans="1:14">
      <c r="A411" s="1" t="s">
        <v>798</v>
      </c>
      <c r="B411" s="1">
        <v>3</v>
      </c>
      <c r="C411" s="1"/>
      <c r="D411" s="1" t="s">
        <v>799</v>
      </c>
      <c r="E411" s="1">
        <v>0</v>
      </c>
      <c r="F411" s="1">
        <v>0</v>
      </c>
      <c r="G411" s="1">
        <v>0</v>
      </c>
      <c r="H411" s="1">
        <v>0</v>
      </c>
      <c r="I411" s="1">
        <v>0</v>
      </c>
      <c r="J411" s="1">
        <v>0</v>
      </c>
      <c r="K411" s="1">
        <v>0</v>
      </c>
      <c r="L411" s="1">
        <v>0</v>
      </c>
      <c r="M411" s="1">
        <v>0</v>
      </c>
      <c r="N411" s="1">
        <v>0</v>
      </c>
    </row>
    <row r="412" spans="1:14">
      <c r="A412" s="1" t="s">
        <v>800</v>
      </c>
      <c r="B412" s="1">
        <v>1</v>
      </c>
      <c r="C412" s="1"/>
      <c r="D412" s="1" t="s">
        <v>801</v>
      </c>
      <c r="E412" s="1">
        <v>0</v>
      </c>
      <c r="F412" s="1">
        <v>0</v>
      </c>
      <c r="G412" s="1">
        <v>0</v>
      </c>
      <c r="H412" s="1">
        <v>0</v>
      </c>
      <c r="I412" s="1">
        <v>0</v>
      </c>
      <c r="J412" s="1">
        <v>0</v>
      </c>
      <c r="K412" s="1">
        <v>0</v>
      </c>
      <c r="L412" s="1">
        <v>0</v>
      </c>
      <c r="M412" s="1">
        <v>0</v>
      </c>
      <c r="N412" s="1">
        <v>0</v>
      </c>
    </row>
    <row r="413" spans="1:14">
      <c r="A413" s="1" t="s">
        <v>802</v>
      </c>
      <c r="B413" s="1">
        <v>2</v>
      </c>
      <c r="C413" s="1"/>
      <c r="D413" s="1" t="s">
        <v>803</v>
      </c>
      <c r="E413" s="1">
        <v>0</v>
      </c>
      <c r="F413" s="1">
        <v>0</v>
      </c>
      <c r="G413" s="1">
        <v>0</v>
      </c>
      <c r="H413" s="1">
        <v>0</v>
      </c>
      <c r="I413" s="1">
        <v>0</v>
      </c>
      <c r="J413" s="1">
        <v>0</v>
      </c>
      <c r="K413" s="1">
        <v>0</v>
      </c>
      <c r="L413" s="1">
        <v>0</v>
      </c>
      <c r="M413" s="1">
        <v>0</v>
      </c>
      <c r="N413" s="1">
        <v>0</v>
      </c>
    </row>
    <row r="414" spans="1:14">
      <c r="A414" s="1" t="s">
        <v>804</v>
      </c>
      <c r="B414" s="1">
        <v>1</v>
      </c>
      <c r="C414" s="1"/>
      <c r="D414" s="1" t="s">
        <v>805</v>
      </c>
      <c r="E414" s="1">
        <v>3</v>
      </c>
      <c r="F414" s="1">
        <v>9</v>
      </c>
      <c r="G414" s="1">
        <v>0</v>
      </c>
      <c r="H414" s="1">
        <v>0</v>
      </c>
      <c r="I414" s="1">
        <v>0</v>
      </c>
      <c r="J414" s="1">
        <v>0</v>
      </c>
      <c r="K414" s="1">
        <v>3</v>
      </c>
      <c r="L414" s="1">
        <v>0</v>
      </c>
      <c r="M414" s="1">
        <v>0</v>
      </c>
      <c r="N414" s="1">
        <v>0</v>
      </c>
    </row>
    <row r="415" spans="1:14">
      <c r="A415" s="1" t="s">
        <v>806</v>
      </c>
      <c r="B415" s="1">
        <v>1</v>
      </c>
      <c r="C415" s="1"/>
      <c r="D415" s="1" t="s">
        <v>807</v>
      </c>
      <c r="E415" s="1">
        <v>2</v>
      </c>
      <c r="F415" s="1">
        <v>6</v>
      </c>
      <c r="G415" s="1">
        <v>0</v>
      </c>
      <c r="H415" s="1">
        <v>0</v>
      </c>
      <c r="I415" s="1">
        <v>0</v>
      </c>
      <c r="J415" s="1">
        <v>0</v>
      </c>
      <c r="K415" s="1">
        <v>3</v>
      </c>
      <c r="L415" s="1">
        <v>0</v>
      </c>
      <c r="M415" s="1">
        <v>0</v>
      </c>
      <c r="N415" s="1">
        <v>0</v>
      </c>
    </row>
    <row r="416" spans="1:14">
      <c r="A416" s="1" t="s">
        <v>808</v>
      </c>
      <c r="B416" s="1">
        <v>1</v>
      </c>
      <c r="C416" s="1"/>
      <c r="D416" s="1" t="s">
        <v>809</v>
      </c>
      <c r="E416" s="1">
        <v>0</v>
      </c>
      <c r="F416" s="1">
        <v>0</v>
      </c>
      <c r="G416" s="1">
        <v>0</v>
      </c>
      <c r="H416" s="1">
        <v>0</v>
      </c>
      <c r="I416" s="1">
        <v>0</v>
      </c>
      <c r="J416" s="1">
        <v>0</v>
      </c>
      <c r="K416" s="1">
        <v>0</v>
      </c>
      <c r="L416" s="1">
        <v>0</v>
      </c>
      <c r="M416" s="1">
        <v>0</v>
      </c>
      <c r="N416" s="1">
        <v>0</v>
      </c>
    </row>
    <row r="417" spans="1:14">
      <c r="A417" s="1" t="s">
        <v>810</v>
      </c>
      <c r="B417" s="1">
        <v>4</v>
      </c>
      <c r="C417" s="1"/>
      <c r="D417" s="1" t="s">
        <v>811</v>
      </c>
      <c r="E417" s="1">
        <v>0</v>
      </c>
      <c r="F417" s="1">
        <v>0</v>
      </c>
      <c r="G417" s="1">
        <v>0</v>
      </c>
      <c r="H417" s="1">
        <v>0</v>
      </c>
      <c r="I417" s="1">
        <v>0</v>
      </c>
      <c r="J417" s="1">
        <v>0</v>
      </c>
      <c r="K417" s="1">
        <v>0</v>
      </c>
      <c r="L417" s="1">
        <v>0</v>
      </c>
      <c r="M417" s="1">
        <v>0</v>
      </c>
      <c r="N417" s="1">
        <v>0</v>
      </c>
    </row>
    <row r="418" spans="1:14">
      <c r="A418" s="1" t="s">
        <v>812</v>
      </c>
      <c r="B418" s="1">
        <v>0</v>
      </c>
      <c r="C418" s="1"/>
      <c r="D418" s="1" t="s">
        <v>813</v>
      </c>
      <c r="E418" s="1">
        <v>0</v>
      </c>
      <c r="F418" s="1">
        <v>0</v>
      </c>
      <c r="G418" s="1">
        <v>0</v>
      </c>
      <c r="H418" s="1">
        <v>0</v>
      </c>
      <c r="I418" s="1">
        <v>0</v>
      </c>
      <c r="J418" s="1">
        <v>0</v>
      </c>
      <c r="K418" s="1">
        <v>0</v>
      </c>
      <c r="L418" s="1">
        <v>0</v>
      </c>
      <c r="M418" s="1">
        <v>0</v>
      </c>
      <c r="N418" s="1">
        <v>0</v>
      </c>
    </row>
    <row r="419" spans="1:14">
      <c r="A419" s="1" t="s">
        <v>814</v>
      </c>
      <c r="B419" s="1">
        <v>1</v>
      </c>
      <c r="C419" s="1"/>
      <c r="D419" s="1" t="s">
        <v>815</v>
      </c>
      <c r="E419" s="1">
        <v>0</v>
      </c>
      <c r="F419" s="1">
        <v>0</v>
      </c>
      <c r="G419" s="1">
        <v>0</v>
      </c>
      <c r="H419" s="1">
        <v>0</v>
      </c>
      <c r="I419" s="1">
        <v>0</v>
      </c>
      <c r="J419" s="1">
        <v>0</v>
      </c>
      <c r="K419" s="1">
        <v>0</v>
      </c>
      <c r="L419" s="1">
        <v>0</v>
      </c>
      <c r="M419" s="1">
        <v>0</v>
      </c>
      <c r="N419" s="1">
        <v>0</v>
      </c>
    </row>
    <row r="420" spans="1:14">
      <c r="A420" s="1" t="s">
        <v>816</v>
      </c>
      <c r="B420" s="1">
        <v>0</v>
      </c>
      <c r="C420" s="1"/>
      <c r="D420" s="1" t="s">
        <v>817</v>
      </c>
      <c r="E420" s="1">
        <v>0.5</v>
      </c>
      <c r="F420" s="1">
        <v>1.5</v>
      </c>
      <c r="G420" s="1">
        <v>0</v>
      </c>
      <c r="H420" s="1">
        <v>0</v>
      </c>
      <c r="I420" s="1">
        <v>1</v>
      </c>
      <c r="J420" s="1">
        <v>0</v>
      </c>
      <c r="K420" s="1">
        <v>0</v>
      </c>
      <c r="L420" s="1">
        <v>0</v>
      </c>
      <c r="M420" s="1">
        <v>0</v>
      </c>
      <c r="N420" s="1">
        <v>0</v>
      </c>
    </row>
    <row r="421" spans="1:14">
      <c r="A421" s="1" t="s">
        <v>818</v>
      </c>
      <c r="B421" s="1">
        <v>1</v>
      </c>
      <c r="C421" s="1"/>
      <c r="D421" s="1" t="s">
        <v>819</v>
      </c>
      <c r="E421" s="1">
        <v>0</v>
      </c>
      <c r="F421" s="1">
        <v>0</v>
      </c>
      <c r="G421" s="1">
        <v>0</v>
      </c>
      <c r="H421" s="1">
        <v>0</v>
      </c>
      <c r="I421" s="1">
        <v>0</v>
      </c>
      <c r="J421" s="1">
        <v>0</v>
      </c>
      <c r="K421" s="1">
        <v>0</v>
      </c>
      <c r="L421" s="1">
        <v>0</v>
      </c>
      <c r="M421" s="1">
        <v>0</v>
      </c>
      <c r="N421" s="1">
        <v>0</v>
      </c>
    </row>
    <row r="422" spans="1:14">
      <c r="A422" s="1" t="s">
        <v>820</v>
      </c>
      <c r="B422" s="1">
        <v>11</v>
      </c>
      <c r="C422" s="1"/>
      <c r="D422" s="1" t="s">
        <v>821</v>
      </c>
      <c r="E422" s="1">
        <v>0</v>
      </c>
      <c r="F422" s="1">
        <v>0</v>
      </c>
      <c r="G422" s="1">
        <v>0</v>
      </c>
      <c r="H422" s="1">
        <v>0</v>
      </c>
      <c r="I422" s="1">
        <v>0</v>
      </c>
      <c r="J422" s="1">
        <v>0</v>
      </c>
      <c r="K422" s="1">
        <v>0</v>
      </c>
      <c r="L422" s="1">
        <v>0</v>
      </c>
      <c r="M422" s="1">
        <v>0</v>
      </c>
      <c r="N422" s="1">
        <v>0</v>
      </c>
    </row>
    <row r="423" spans="1:14">
      <c r="A423" s="1" t="s">
        <v>822</v>
      </c>
      <c r="B423" s="1">
        <v>44</v>
      </c>
      <c r="C423" s="1"/>
      <c r="D423" s="1"/>
      <c r="E423" s="1">
        <v>0.125</v>
      </c>
      <c r="F423" s="1">
        <v>0.375</v>
      </c>
      <c r="G423" s="1">
        <v>0</v>
      </c>
      <c r="H423" s="1">
        <v>0</v>
      </c>
      <c r="I423" s="1">
        <v>1</v>
      </c>
      <c r="J423" s="1">
        <v>0</v>
      </c>
      <c r="K423" s="1">
        <v>0</v>
      </c>
      <c r="L423" s="1">
        <v>0</v>
      </c>
      <c r="M423" s="1">
        <v>0</v>
      </c>
      <c r="N423" s="1">
        <v>0</v>
      </c>
    </row>
    <row r="424" spans="1:14">
      <c r="A424" s="1" t="s">
        <v>823</v>
      </c>
      <c r="B424" s="1">
        <v>18</v>
      </c>
      <c r="C424" s="1"/>
      <c r="D424" s="1" t="s">
        <v>824</v>
      </c>
      <c r="E424" s="1">
        <v>0</v>
      </c>
      <c r="F424" s="1">
        <v>0</v>
      </c>
      <c r="G424" s="1">
        <v>0</v>
      </c>
      <c r="H424" s="1">
        <v>0</v>
      </c>
      <c r="I424" s="1">
        <v>0</v>
      </c>
      <c r="J424" s="1">
        <v>0</v>
      </c>
      <c r="K424" s="1">
        <v>0</v>
      </c>
      <c r="L424" s="1">
        <v>0</v>
      </c>
      <c r="M424" s="1">
        <v>0</v>
      </c>
      <c r="N424" s="1">
        <v>0</v>
      </c>
    </row>
    <row r="425" spans="1:14">
      <c r="A425" s="1" t="s">
        <v>825</v>
      </c>
      <c r="B425" s="1">
        <v>2</v>
      </c>
      <c r="C425" s="1"/>
      <c r="D425" s="1"/>
      <c r="E425" s="1">
        <v>0</v>
      </c>
      <c r="F425" s="1">
        <v>0</v>
      </c>
      <c r="G425" s="1">
        <v>0</v>
      </c>
      <c r="H425" s="1">
        <v>0</v>
      </c>
      <c r="I425" s="1">
        <v>0</v>
      </c>
      <c r="J425" s="1">
        <v>0</v>
      </c>
      <c r="K425" s="1">
        <v>0</v>
      </c>
      <c r="L425" s="1">
        <v>0</v>
      </c>
      <c r="M425" s="1">
        <v>0</v>
      </c>
      <c r="N425" s="1">
        <v>0</v>
      </c>
    </row>
    <row r="426" spans="1:14">
      <c r="A426" s="1" t="s">
        <v>826</v>
      </c>
      <c r="B426" s="1">
        <v>2</v>
      </c>
      <c r="C426" s="1"/>
      <c r="D426" s="1" t="s">
        <v>827</v>
      </c>
      <c r="E426" s="1">
        <v>0</v>
      </c>
      <c r="F426" s="1">
        <v>0</v>
      </c>
      <c r="G426" s="1">
        <v>0</v>
      </c>
      <c r="H426" s="1">
        <v>0</v>
      </c>
      <c r="I426" s="1">
        <v>0</v>
      </c>
      <c r="J426" s="1">
        <v>0</v>
      </c>
      <c r="K426" s="1">
        <v>0</v>
      </c>
      <c r="L426" s="1">
        <v>0</v>
      </c>
      <c r="M426" s="1">
        <v>0</v>
      </c>
      <c r="N426" s="1">
        <v>0</v>
      </c>
    </row>
    <row r="427" spans="1:14">
      <c r="A427" s="1" t="s">
        <v>828</v>
      </c>
      <c r="B427" s="1">
        <v>1</v>
      </c>
      <c r="C427" s="1"/>
      <c r="D427" s="1" t="s">
        <v>829</v>
      </c>
      <c r="E427" s="1">
        <v>0</v>
      </c>
      <c r="F427" s="1">
        <v>0</v>
      </c>
      <c r="G427" s="1">
        <v>0</v>
      </c>
      <c r="H427" s="1">
        <v>0</v>
      </c>
      <c r="I427" s="1">
        <v>0</v>
      </c>
      <c r="J427" s="1">
        <v>0</v>
      </c>
      <c r="K427" s="1">
        <v>0</v>
      </c>
      <c r="L427" s="1">
        <v>0</v>
      </c>
      <c r="M427" s="1">
        <v>0</v>
      </c>
      <c r="N427" s="1">
        <v>0</v>
      </c>
    </row>
    <row r="428" spans="1:14">
      <c r="A428" s="1" t="s">
        <v>830</v>
      </c>
      <c r="B428" s="1">
        <v>2</v>
      </c>
      <c r="C428" s="1"/>
      <c r="D428" s="1" t="s">
        <v>831</v>
      </c>
      <c r="E428" s="1">
        <v>0</v>
      </c>
      <c r="F428" s="1">
        <v>0</v>
      </c>
      <c r="G428" s="1">
        <v>0</v>
      </c>
      <c r="H428" s="1">
        <v>0</v>
      </c>
      <c r="I428" s="1">
        <v>0</v>
      </c>
      <c r="J428" s="1">
        <v>0</v>
      </c>
      <c r="K428" s="1">
        <v>0</v>
      </c>
      <c r="L428" s="1">
        <v>0</v>
      </c>
      <c r="M428" s="1">
        <v>0</v>
      </c>
      <c r="N428" s="1">
        <v>0</v>
      </c>
    </row>
    <row r="429" spans="1:14">
      <c r="A429" s="1" t="s">
        <v>832</v>
      </c>
      <c r="B429" s="1">
        <v>2</v>
      </c>
      <c r="C429" s="1"/>
      <c r="D429" s="1" t="s">
        <v>833</v>
      </c>
      <c r="E429" s="1">
        <v>0</v>
      </c>
      <c r="F429" s="1">
        <v>0</v>
      </c>
      <c r="G429" s="1">
        <v>0</v>
      </c>
      <c r="H429" s="1">
        <v>0</v>
      </c>
      <c r="I429" s="1">
        <v>0</v>
      </c>
      <c r="J429" s="1">
        <v>0</v>
      </c>
      <c r="K429" s="1">
        <v>0</v>
      </c>
      <c r="L429" s="1">
        <v>0</v>
      </c>
      <c r="M429" s="1">
        <v>0</v>
      </c>
      <c r="N429" s="1">
        <v>0</v>
      </c>
    </row>
    <row r="430" spans="1:14">
      <c r="A430" s="1" t="s">
        <v>834</v>
      </c>
      <c r="B430" s="1">
        <v>6</v>
      </c>
      <c r="C430" s="1"/>
      <c r="D430" s="1" t="s">
        <v>835</v>
      </c>
      <c r="E430" s="1">
        <v>0</v>
      </c>
      <c r="F430" s="1">
        <v>0</v>
      </c>
      <c r="G430" s="1">
        <v>0</v>
      </c>
      <c r="H430" s="1">
        <v>0</v>
      </c>
      <c r="I430" s="1">
        <v>0</v>
      </c>
      <c r="J430" s="1">
        <v>0</v>
      </c>
      <c r="K430" s="1">
        <v>0</v>
      </c>
      <c r="L430" s="1">
        <v>0</v>
      </c>
      <c r="M430" s="1">
        <v>0</v>
      </c>
      <c r="N430" s="1">
        <v>0</v>
      </c>
    </row>
    <row r="431" spans="1:14">
      <c r="A431" s="1" t="s">
        <v>836</v>
      </c>
      <c r="B431" s="1">
        <v>13</v>
      </c>
      <c r="C431" s="1"/>
      <c r="D431" s="1" t="s">
        <v>837</v>
      </c>
      <c r="E431" s="1">
        <v>0</v>
      </c>
      <c r="F431" s="1">
        <v>0</v>
      </c>
      <c r="G431" s="1">
        <v>0</v>
      </c>
      <c r="H431" s="1">
        <v>0</v>
      </c>
      <c r="I431" s="1">
        <v>0</v>
      </c>
      <c r="J431" s="1">
        <v>0</v>
      </c>
      <c r="K431" s="1">
        <v>0</v>
      </c>
      <c r="L431" s="1">
        <v>0</v>
      </c>
      <c r="M431" s="1">
        <v>0</v>
      </c>
      <c r="N431" s="1">
        <v>0</v>
      </c>
    </row>
    <row r="432" spans="1:14">
      <c r="A432" s="1" t="s">
        <v>838</v>
      </c>
      <c r="B432" s="1">
        <v>10</v>
      </c>
      <c r="C432" s="1"/>
      <c r="D432" s="1" t="s">
        <v>839</v>
      </c>
      <c r="E432" s="1">
        <v>3</v>
      </c>
      <c r="F432" s="1">
        <v>9</v>
      </c>
      <c r="G432" s="1">
        <v>0</v>
      </c>
      <c r="H432" s="1">
        <v>0</v>
      </c>
      <c r="I432" s="1">
        <v>0</v>
      </c>
      <c r="J432" s="1">
        <v>0</v>
      </c>
      <c r="K432" s="1">
        <v>3</v>
      </c>
      <c r="L432" s="1">
        <v>0</v>
      </c>
      <c r="M432" s="1">
        <v>0</v>
      </c>
      <c r="N432" s="1">
        <v>0</v>
      </c>
    </row>
    <row r="433" spans="1:14">
      <c r="A433" s="1" t="s">
        <v>840</v>
      </c>
      <c r="B433" s="1">
        <v>3</v>
      </c>
      <c r="C433" s="1"/>
      <c r="D433" s="1" t="s">
        <v>841</v>
      </c>
      <c r="E433" s="1">
        <v>0</v>
      </c>
      <c r="F433" s="1">
        <v>0</v>
      </c>
      <c r="G433" s="1">
        <v>0</v>
      </c>
      <c r="H433" s="1">
        <v>0</v>
      </c>
      <c r="I433" s="1">
        <v>0</v>
      </c>
      <c r="J433" s="1">
        <v>0</v>
      </c>
      <c r="K433" s="1">
        <v>0</v>
      </c>
      <c r="L433" s="1">
        <v>0</v>
      </c>
      <c r="M433" s="1">
        <v>0</v>
      </c>
      <c r="N433" s="1">
        <v>0</v>
      </c>
    </row>
    <row r="434" spans="1:14">
      <c r="A434" s="1" t="s">
        <v>842</v>
      </c>
      <c r="B434" s="1">
        <v>1</v>
      </c>
      <c r="C434" s="1"/>
      <c r="D434" s="1" t="s">
        <v>843</v>
      </c>
      <c r="E434" s="1">
        <v>0</v>
      </c>
      <c r="F434" s="1">
        <v>0</v>
      </c>
      <c r="G434" s="1">
        <v>0</v>
      </c>
      <c r="H434" s="1">
        <v>0</v>
      </c>
      <c r="I434" s="1">
        <v>0</v>
      </c>
      <c r="J434" s="1">
        <v>0</v>
      </c>
      <c r="K434" s="1">
        <v>0</v>
      </c>
      <c r="L434" s="1">
        <v>0</v>
      </c>
      <c r="M434" s="1">
        <v>0</v>
      </c>
      <c r="N434" s="1">
        <v>0</v>
      </c>
    </row>
    <row r="435" spans="1:14">
      <c r="A435" s="1" t="s">
        <v>844</v>
      </c>
      <c r="B435" s="1">
        <v>1</v>
      </c>
      <c r="C435" s="1"/>
      <c r="D435" s="1" t="s">
        <v>845</v>
      </c>
      <c r="E435" s="1">
        <v>2</v>
      </c>
      <c r="F435" s="1">
        <v>6</v>
      </c>
      <c r="G435" s="1">
        <v>0</v>
      </c>
      <c r="H435" s="1">
        <v>0</v>
      </c>
      <c r="I435" s="1">
        <v>3</v>
      </c>
      <c r="J435" s="1">
        <v>0</v>
      </c>
      <c r="K435" s="1">
        <v>3</v>
      </c>
      <c r="L435" s="1">
        <v>0</v>
      </c>
      <c r="M435" s="1">
        <v>0</v>
      </c>
      <c r="N435" s="1">
        <v>0</v>
      </c>
    </row>
    <row r="436" spans="1:14">
      <c r="A436" s="1" t="s">
        <v>846</v>
      </c>
      <c r="B436" s="1">
        <v>1</v>
      </c>
      <c r="C436" s="1"/>
      <c r="D436" s="1" t="s">
        <v>847</v>
      </c>
      <c r="E436" s="1">
        <v>0</v>
      </c>
      <c r="F436" s="1">
        <v>0</v>
      </c>
      <c r="G436" s="1">
        <v>0</v>
      </c>
      <c r="H436" s="1">
        <v>0</v>
      </c>
      <c r="I436" s="1">
        <v>0</v>
      </c>
      <c r="J436" s="1">
        <v>0</v>
      </c>
      <c r="K436" s="1">
        <v>0</v>
      </c>
      <c r="L436" s="1">
        <v>0</v>
      </c>
      <c r="M436" s="1">
        <v>0</v>
      </c>
      <c r="N436" s="1">
        <v>0</v>
      </c>
    </row>
    <row r="437" spans="1:14">
      <c r="A437" s="1" t="s">
        <v>848</v>
      </c>
      <c r="B437" s="1">
        <v>9</v>
      </c>
      <c r="C437" s="1"/>
      <c r="D437" s="1" t="s">
        <v>849</v>
      </c>
      <c r="E437" s="1">
        <v>0</v>
      </c>
      <c r="F437" s="1">
        <v>0</v>
      </c>
      <c r="G437" s="1">
        <v>0</v>
      </c>
      <c r="H437" s="1">
        <v>0</v>
      </c>
      <c r="I437" s="1">
        <v>0</v>
      </c>
      <c r="J437" s="1">
        <v>0</v>
      </c>
      <c r="K437" s="1">
        <v>0</v>
      </c>
      <c r="L437" s="1">
        <v>0</v>
      </c>
      <c r="M437" s="1">
        <v>0</v>
      </c>
      <c r="N437" s="1">
        <v>0</v>
      </c>
    </row>
    <row r="438" spans="1:14">
      <c r="A438" s="1" t="s">
        <v>850</v>
      </c>
      <c r="B438" s="1">
        <v>16</v>
      </c>
      <c r="C438" s="1"/>
      <c r="D438" s="1" t="s">
        <v>851</v>
      </c>
      <c r="E438" s="1">
        <v>0.16666666699999999</v>
      </c>
      <c r="F438" s="1">
        <v>0.5</v>
      </c>
      <c r="G438" s="1">
        <v>0</v>
      </c>
      <c r="H438" s="1">
        <v>0</v>
      </c>
      <c r="I438" s="1">
        <v>1</v>
      </c>
      <c r="J438" s="1">
        <v>0</v>
      </c>
      <c r="K438" s="1">
        <v>0</v>
      </c>
      <c r="L438" s="1">
        <v>0</v>
      </c>
      <c r="M438" s="1">
        <v>0</v>
      </c>
      <c r="N438" s="1">
        <v>0</v>
      </c>
    </row>
    <row r="439" spans="1:14">
      <c r="A439" s="1" t="s">
        <v>852</v>
      </c>
      <c r="B439" s="1">
        <v>13</v>
      </c>
      <c r="C439" s="1"/>
      <c r="D439" s="1" t="s">
        <v>853</v>
      </c>
      <c r="E439" s="1">
        <v>0</v>
      </c>
      <c r="F439" s="1">
        <v>0</v>
      </c>
      <c r="G439" s="1">
        <v>0</v>
      </c>
      <c r="H439" s="1">
        <v>0</v>
      </c>
      <c r="I439" s="1">
        <v>0</v>
      </c>
      <c r="J439" s="1">
        <v>0</v>
      </c>
      <c r="K439" s="1">
        <v>0</v>
      </c>
      <c r="L439" s="1">
        <v>0</v>
      </c>
      <c r="M439" s="1">
        <v>0</v>
      </c>
      <c r="N439" s="1">
        <v>0</v>
      </c>
    </row>
    <row r="440" spans="1:14">
      <c r="A440" s="1" t="s">
        <v>854</v>
      </c>
      <c r="B440" s="1">
        <v>-1</v>
      </c>
      <c r="C440" s="1"/>
      <c r="D440" s="1"/>
      <c r="E440" s="1">
        <v>0</v>
      </c>
      <c r="F440" s="1">
        <v>0</v>
      </c>
      <c r="G440" s="1">
        <v>0</v>
      </c>
      <c r="H440" s="1">
        <v>0</v>
      </c>
      <c r="I440" s="1">
        <v>0</v>
      </c>
      <c r="J440" s="1">
        <v>0</v>
      </c>
      <c r="K440" s="1">
        <v>0</v>
      </c>
      <c r="L440" s="1">
        <v>0</v>
      </c>
      <c r="M440" s="1">
        <v>0</v>
      </c>
      <c r="N440" s="1">
        <v>0</v>
      </c>
    </row>
    <row r="441" spans="1:14">
      <c r="A441" s="1" t="s">
        <v>855</v>
      </c>
      <c r="B441" s="1">
        <v>2</v>
      </c>
      <c r="C441" s="1"/>
      <c r="D441" s="1" t="s">
        <v>856</v>
      </c>
      <c r="E441" s="1">
        <v>0</v>
      </c>
      <c r="F441" s="1">
        <v>0</v>
      </c>
      <c r="G441" s="1">
        <v>0</v>
      </c>
      <c r="H441" s="1">
        <v>0</v>
      </c>
      <c r="I441" s="1">
        <v>0</v>
      </c>
      <c r="J441" s="1">
        <v>0</v>
      </c>
      <c r="K441" s="1">
        <v>0</v>
      </c>
      <c r="L441" s="1">
        <v>0</v>
      </c>
      <c r="M441" s="1">
        <v>0</v>
      </c>
      <c r="N441" s="1">
        <v>0</v>
      </c>
    </row>
    <row r="442" spans="1:14">
      <c r="A442" s="1" t="s">
        <v>857</v>
      </c>
      <c r="B442" s="1">
        <v>4</v>
      </c>
      <c r="C442" s="1"/>
      <c r="D442" s="1" t="s">
        <v>858</v>
      </c>
      <c r="E442" s="1">
        <v>0</v>
      </c>
      <c r="F442" s="1">
        <v>0</v>
      </c>
      <c r="G442" s="1">
        <v>0</v>
      </c>
      <c r="H442" s="1">
        <v>0</v>
      </c>
      <c r="I442" s="1">
        <v>0</v>
      </c>
      <c r="J442" s="1">
        <v>0</v>
      </c>
      <c r="K442" s="1">
        <v>0</v>
      </c>
      <c r="L442" s="1">
        <v>0</v>
      </c>
      <c r="M442" s="1">
        <v>0</v>
      </c>
      <c r="N442" s="1">
        <v>0</v>
      </c>
    </row>
    <row r="443" spans="1:14">
      <c r="A443" s="1" t="s">
        <v>859</v>
      </c>
      <c r="B443" s="1">
        <v>5</v>
      </c>
      <c r="C443" s="1"/>
      <c r="D443" s="1" t="s">
        <v>860</v>
      </c>
      <c r="E443" s="1">
        <v>1</v>
      </c>
      <c r="F443" s="1">
        <v>3</v>
      </c>
      <c r="G443" s="1">
        <v>0</v>
      </c>
      <c r="H443" s="1">
        <v>0</v>
      </c>
      <c r="I443" s="1">
        <v>1</v>
      </c>
      <c r="J443" s="1">
        <v>0</v>
      </c>
      <c r="K443" s="1">
        <v>0</v>
      </c>
      <c r="L443" s="1">
        <v>0</v>
      </c>
      <c r="M443" s="1">
        <v>0</v>
      </c>
      <c r="N443" s="1">
        <v>0</v>
      </c>
    </row>
    <row r="444" spans="1:14">
      <c r="A444" s="1" t="s">
        <v>861</v>
      </c>
      <c r="B444" s="1">
        <v>6</v>
      </c>
      <c r="C444" s="1"/>
      <c r="D444" s="1" t="s">
        <v>862</v>
      </c>
      <c r="E444" s="1">
        <v>0</v>
      </c>
      <c r="F444" s="1">
        <v>0</v>
      </c>
      <c r="G444" s="1">
        <v>0</v>
      </c>
      <c r="H444" s="1">
        <v>0</v>
      </c>
      <c r="I444" s="1">
        <v>0</v>
      </c>
      <c r="J444" s="1">
        <v>0</v>
      </c>
      <c r="K444" s="1">
        <v>0</v>
      </c>
      <c r="L444" s="1">
        <v>0</v>
      </c>
      <c r="M444" s="1">
        <v>0</v>
      </c>
      <c r="N444" s="1">
        <v>0</v>
      </c>
    </row>
    <row r="445" spans="1:14">
      <c r="A445" s="1" t="s">
        <v>863</v>
      </c>
      <c r="B445" s="1">
        <v>0</v>
      </c>
      <c r="C445" s="1"/>
      <c r="D445" s="1" t="s">
        <v>864</v>
      </c>
      <c r="E445" s="1">
        <v>0</v>
      </c>
      <c r="F445" s="1">
        <v>0</v>
      </c>
      <c r="G445" s="1">
        <v>0</v>
      </c>
      <c r="H445" s="1">
        <v>0</v>
      </c>
      <c r="I445" s="1">
        <v>0</v>
      </c>
      <c r="J445" s="1">
        <v>0</v>
      </c>
      <c r="K445" s="1">
        <v>0</v>
      </c>
      <c r="L445" s="1">
        <v>0</v>
      </c>
      <c r="M445" s="1">
        <v>0</v>
      </c>
      <c r="N445" s="1">
        <v>0</v>
      </c>
    </row>
    <row r="446" spans="1:14">
      <c r="A446" s="1" t="s">
        <v>865</v>
      </c>
      <c r="B446" s="1">
        <v>1</v>
      </c>
      <c r="C446" s="1"/>
      <c r="D446" s="1" t="s">
        <v>866</v>
      </c>
      <c r="E446" s="1">
        <v>0</v>
      </c>
      <c r="F446" s="1">
        <v>0</v>
      </c>
      <c r="G446" s="1">
        <v>0</v>
      </c>
      <c r="H446" s="1">
        <v>0</v>
      </c>
      <c r="I446" s="1">
        <v>0</v>
      </c>
      <c r="J446" s="1">
        <v>0</v>
      </c>
      <c r="K446" s="1">
        <v>0</v>
      </c>
      <c r="L446" s="1">
        <v>0</v>
      </c>
      <c r="M446" s="1">
        <v>0</v>
      </c>
      <c r="N446" s="1">
        <v>0</v>
      </c>
    </row>
    <row r="447" spans="1:14">
      <c r="A447" s="1" t="s">
        <v>867</v>
      </c>
      <c r="B447" s="1">
        <v>8</v>
      </c>
      <c r="C447" s="1"/>
      <c r="D447" s="1" t="s">
        <v>868</v>
      </c>
      <c r="E447" s="1">
        <v>3</v>
      </c>
      <c r="F447" s="1">
        <v>9</v>
      </c>
      <c r="G447" s="1">
        <v>0</v>
      </c>
      <c r="H447" s="1">
        <v>0</v>
      </c>
      <c r="I447" s="1">
        <v>3</v>
      </c>
      <c r="J447" s="1">
        <v>0</v>
      </c>
      <c r="K447" s="1">
        <v>0</v>
      </c>
      <c r="L447" s="1">
        <v>0</v>
      </c>
      <c r="M447" s="1">
        <v>0</v>
      </c>
      <c r="N447" s="1">
        <v>0</v>
      </c>
    </row>
    <row r="448" spans="1:14">
      <c r="A448" s="1" t="s">
        <v>869</v>
      </c>
      <c r="B448" s="1">
        <v>1</v>
      </c>
      <c r="C448" s="1"/>
      <c r="D448" s="1" t="s">
        <v>870</v>
      </c>
      <c r="E448" s="1">
        <v>0.33333333300000001</v>
      </c>
      <c r="F448" s="1">
        <v>1</v>
      </c>
      <c r="G448" s="1">
        <v>0</v>
      </c>
      <c r="H448" s="1">
        <v>0</v>
      </c>
      <c r="I448" s="1">
        <v>1</v>
      </c>
      <c r="J448" s="1">
        <v>0</v>
      </c>
      <c r="K448" s="1">
        <v>0</v>
      </c>
      <c r="L448" s="1">
        <v>0</v>
      </c>
      <c r="M448" s="1">
        <v>0</v>
      </c>
      <c r="N448" s="1">
        <v>0</v>
      </c>
    </row>
    <row r="449" spans="1:14">
      <c r="A449" s="1" t="s">
        <v>871</v>
      </c>
      <c r="B449" s="1">
        <v>1</v>
      </c>
      <c r="C449" s="1"/>
      <c r="D449" s="1" t="s">
        <v>872</v>
      </c>
      <c r="E449" s="1">
        <v>0.72727272700000001</v>
      </c>
      <c r="F449" s="1">
        <v>1.9090909089999999</v>
      </c>
      <c r="G449" s="1">
        <v>0</v>
      </c>
      <c r="H449" s="1">
        <v>0.5</v>
      </c>
      <c r="I449" s="1">
        <v>2.3333333330000001</v>
      </c>
      <c r="J449" s="1">
        <v>0</v>
      </c>
      <c r="K449" s="1">
        <v>0</v>
      </c>
      <c r="L449" s="1">
        <v>0</v>
      </c>
      <c r="M449" s="1">
        <v>0</v>
      </c>
      <c r="N449" s="1">
        <v>0</v>
      </c>
    </row>
    <row r="450" spans="1:14">
      <c r="A450" s="1" t="s">
        <v>873</v>
      </c>
      <c r="B450" s="1">
        <v>1</v>
      </c>
      <c r="C450" s="1"/>
      <c r="D450" s="1" t="s">
        <v>874</v>
      </c>
      <c r="E450" s="1">
        <v>0</v>
      </c>
      <c r="F450" s="1">
        <v>0</v>
      </c>
      <c r="G450" s="1">
        <v>0</v>
      </c>
      <c r="H450" s="1">
        <v>0</v>
      </c>
      <c r="I450" s="1">
        <v>0</v>
      </c>
      <c r="J450" s="1">
        <v>0</v>
      </c>
      <c r="K450" s="1">
        <v>0</v>
      </c>
      <c r="L450" s="1">
        <v>0</v>
      </c>
      <c r="M450" s="1">
        <v>0</v>
      </c>
      <c r="N450" s="1">
        <v>0</v>
      </c>
    </row>
    <row r="451" spans="1:14">
      <c r="A451" s="1" t="s">
        <v>875</v>
      </c>
      <c r="B451" s="1">
        <v>18</v>
      </c>
      <c r="C451" s="1"/>
      <c r="D451" s="1" t="s">
        <v>876</v>
      </c>
      <c r="E451" s="1">
        <v>0</v>
      </c>
      <c r="F451" s="1">
        <v>0</v>
      </c>
      <c r="G451" s="1">
        <v>0</v>
      </c>
      <c r="H451" s="1">
        <v>0</v>
      </c>
      <c r="I451" s="1">
        <v>0</v>
      </c>
      <c r="J451" s="1">
        <v>0</v>
      </c>
      <c r="K451" s="1">
        <v>0</v>
      </c>
      <c r="L451" s="1">
        <v>0</v>
      </c>
      <c r="M451" s="1">
        <v>0</v>
      </c>
      <c r="N451" s="1">
        <v>0</v>
      </c>
    </row>
    <row r="452" spans="1:14">
      <c r="A452" s="1" t="s">
        <v>877</v>
      </c>
      <c r="B452" s="1">
        <v>2</v>
      </c>
      <c r="C452" s="1"/>
      <c r="D452" s="1" t="s">
        <v>878</v>
      </c>
      <c r="E452" s="1">
        <v>0</v>
      </c>
      <c r="F452" s="1">
        <v>0</v>
      </c>
      <c r="G452" s="1">
        <v>0</v>
      </c>
      <c r="H452" s="1">
        <v>0</v>
      </c>
      <c r="I452" s="1">
        <v>0</v>
      </c>
      <c r="J452" s="1">
        <v>0</v>
      </c>
      <c r="K452" s="1">
        <v>0</v>
      </c>
      <c r="L452" s="1">
        <v>0</v>
      </c>
      <c r="M452" s="1">
        <v>0</v>
      </c>
      <c r="N452" s="1">
        <v>0</v>
      </c>
    </row>
    <row r="453" spans="1:14">
      <c r="A453" s="1" t="s">
        <v>879</v>
      </c>
      <c r="B453" s="1">
        <v>2</v>
      </c>
      <c r="C453" s="1"/>
      <c r="D453" s="1" t="s">
        <v>880</v>
      </c>
      <c r="E453" s="1">
        <v>0</v>
      </c>
      <c r="F453" s="1">
        <v>0</v>
      </c>
      <c r="G453" s="1">
        <v>0</v>
      </c>
      <c r="H453" s="1">
        <v>0</v>
      </c>
      <c r="I453" s="1">
        <v>0</v>
      </c>
      <c r="J453" s="1">
        <v>0</v>
      </c>
      <c r="K453" s="1">
        <v>0</v>
      </c>
      <c r="L453" s="1">
        <v>0</v>
      </c>
      <c r="M453" s="1">
        <v>0</v>
      </c>
      <c r="N453" s="1">
        <v>0</v>
      </c>
    </row>
    <row r="454" spans="1:14">
      <c r="A454" s="1" t="s">
        <v>881</v>
      </c>
      <c r="B454" s="1">
        <v>2</v>
      </c>
      <c r="C454" s="1"/>
      <c r="D454" s="1" t="s">
        <v>882</v>
      </c>
      <c r="E454" s="1">
        <v>0</v>
      </c>
      <c r="F454" s="1">
        <v>0</v>
      </c>
      <c r="G454" s="1">
        <v>0</v>
      </c>
      <c r="H454" s="1">
        <v>0</v>
      </c>
      <c r="I454" s="1">
        <v>0</v>
      </c>
      <c r="J454" s="1">
        <v>0</v>
      </c>
      <c r="K454" s="1">
        <v>0</v>
      </c>
      <c r="L454" s="1">
        <v>0</v>
      </c>
      <c r="M454" s="1">
        <v>0</v>
      </c>
      <c r="N454" s="1">
        <v>0</v>
      </c>
    </row>
    <row r="455" spans="1:14">
      <c r="A455" s="1" t="s">
        <v>883</v>
      </c>
      <c r="B455" s="1">
        <v>2</v>
      </c>
      <c r="C455" s="1"/>
      <c r="D455" s="1" t="s">
        <v>884</v>
      </c>
      <c r="E455" s="1">
        <v>0</v>
      </c>
      <c r="F455" s="1">
        <v>0</v>
      </c>
      <c r="G455" s="1">
        <v>0</v>
      </c>
      <c r="H455" s="1">
        <v>0</v>
      </c>
      <c r="I455" s="1">
        <v>0</v>
      </c>
      <c r="J455" s="1">
        <v>0</v>
      </c>
      <c r="K455" s="1">
        <v>0</v>
      </c>
      <c r="L455" s="1">
        <v>0</v>
      </c>
      <c r="M455" s="1">
        <v>0</v>
      </c>
      <c r="N455" s="1">
        <v>0</v>
      </c>
    </row>
    <row r="456" spans="1:14">
      <c r="A456" s="1" t="s">
        <v>885</v>
      </c>
      <c r="B456" s="1">
        <v>1</v>
      </c>
      <c r="C456" s="1"/>
      <c r="D456" s="1" t="s">
        <v>886</v>
      </c>
      <c r="E456" s="1">
        <v>0.1</v>
      </c>
      <c r="F456" s="1">
        <v>0.3</v>
      </c>
      <c r="G456" s="1">
        <v>0</v>
      </c>
      <c r="H456" s="1">
        <v>0</v>
      </c>
      <c r="I456" s="1">
        <v>1</v>
      </c>
      <c r="J456" s="1">
        <v>0</v>
      </c>
      <c r="K456" s="1">
        <v>0</v>
      </c>
      <c r="L456" s="1">
        <v>0</v>
      </c>
      <c r="M456" s="1">
        <v>0</v>
      </c>
      <c r="N456" s="1">
        <v>0</v>
      </c>
    </row>
    <row r="457" spans="1:14">
      <c r="A457" s="1" t="s">
        <v>887</v>
      </c>
      <c r="B457" s="1">
        <v>5</v>
      </c>
      <c r="C457" s="1"/>
      <c r="D457" s="1" t="s">
        <v>888</v>
      </c>
      <c r="E457" s="1">
        <v>0</v>
      </c>
      <c r="F457" s="1">
        <v>0</v>
      </c>
      <c r="G457" s="1">
        <v>0</v>
      </c>
      <c r="H457" s="1">
        <v>0</v>
      </c>
      <c r="I457" s="1">
        <v>0</v>
      </c>
      <c r="J457" s="1">
        <v>0</v>
      </c>
      <c r="K457" s="1">
        <v>0</v>
      </c>
      <c r="L457" s="1">
        <v>0</v>
      </c>
      <c r="M457" s="1">
        <v>0</v>
      </c>
      <c r="N457" s="1">
        <v>0</v>
      </c>
    </row>
    <row r="458" spans="1:14">
      <c r="A458" s="1" t="s">
        <v>889</v>
      </c>
      <c r="B458" s="1">
        <v>6</v>
      </c>
      <c r="C458" s="1"/>
      <c r="D458" s="1" t="s">
        <v>890</v>
      </c>
      <c r="E458" s="1">
        <v>0</v>
      </c>
      <c r="F458" s="1">
        <v>0</v>
      </c>
      <c r="G458" s="1">
        <v>0</v>
      </c>
      <c r="H458" s="1">
        <v>0</v>
      </c>
      <c r="I458" s="1">
        <v>0</v>
      </c>
      <c r="J458" s="1">
        <v>0</v>
      </c>
      <c r="K458" s="1">
        <v>0</v>
      </c>
      <c r="L458" s="1">
        <v>0</v>
      </c>
      <c r="M458" s="1">
        <v>0</v>
      </c>
      <c r="N458" s="1">
        <v>0</v>
      </c>
    </row>
    <row r="459" spans="1:14">
      <c r="A459" s="1" t="s">
        <v>891</v>
      </c>
      <c r="B459" s="1">
        <v>11</v>
      </c>
      <c r="C459" s="1"/>
      <c r="D459" s="1" t="s">
        <v>892</v>
      </c>
      <c r="E459" s="1">
        <v>0</v>
      </c>
      <c r="F459" s="1">
        <v>0</v>
      </c>
      <c r="G459" s="1">
        <v>0</v>
      </c>
      <c r="H459" s="1">
        <v>0</v>
      </c>
      <c r="I459" s="1">
        <v>0</v>
      </c>
      <c r="J459" s="1">
        <v>0</v>
      </c>
      <c r="K459" s="1">
        <v>0</v>
      </c>
      <c r="L459" s="1">
        <v>0</v>
      </c>
      <c r="M459" s="1">
        <v>0</v>
      </c>
      <c r="N459" s="1">
        <v>0</v>
      </c>
    </row>
    <row r="460" spans="1:14">
      <c r="A460" s="1" t="s">
        <v>893</v>
      </c>
      <c r="B460" s="1">
        <v>1</v>
      </c>
      <c r="C460" s="1"/>
      <c r="D460" s="1" t="s">
        <v>894</v>
      </c>
      <c r="E460" s="1">
        <v>0</v>
      </c>
      <c r="F460" s="1">
        <v>0</v>
      </c>
      <c r="G460" s="1">
        <v>0</v>
      </c>
      <c r="H460" s="1">
        <v>0</v>
      </c>
      <c r="I460" s="1">
        <v>0</v>
      </c>
      <c r="J460" s="1">
        <v>0</v>
      </c>
      <c r="K460" s="1">
        <v>0</v>
      </c>
      <c r="L460" s="1">
        <v>0</v>
      </c>
      <c r="M460" s="1">
        <v>0</v>
      </c>
      <c r="N460" s="1">
        <v>0</v>
      </c>
    </row>
    <row r="461" spans="1:14">
      <c r="A461" s="1" t="s">
        <v>895</v>
      </c>
      <c r="B461" s="1">
        <v>5</v>
      </c>
      <c r="C461" s="1"/>
      <c r="D461" s="1" t="s">
        <v>896</v>
      </c>
      <c r="E461" s="1">
        <v>0</v>
      </c>
      <c r="F461" s="1">
        <v>0</v>
      </c>
      <c r="G461" s="1">
        <v>0</v>
      </c>
      <c r="H461" s="1">
        <v>0</v>
      </c>
      <c r="I461" s="1">
        <v>0</v>
      </c>
      <c r="J461" s="1">
        <v>0</v>
      </c>
      <c r="K461" s="1">
        <v>0</v>
      </c>
      <c r="L461" s="1">
        <v>0</v>
      </c>
      <c r="M461" s="1">
        <v>0</v>
      </c>
      <c r="N461" s="1">
        <v>0</v>
      </c>
    </row>
    <row r="462" spans="1:14">
      <c r="A462" s="1" t="s">
        <v>897</v>
      </c>
      <c r="B462" s="1">
        <v>4</v>
      </c>
      <c r="C462" s="1"/>
      <c r="D462" s="1" t="s">
        <v>898</v>
      </c>
      <c r="E462" s="1">
        <v>0</v>
      </c>
      <c r="F462" s="1">
        <v>0</v>
      </c>
      <c r="G462" s="1">
        <v>0</v>
      </c>
      <c r="H462" s="1">
        <v>0</v>
      </c>
      <c r="I462" s="1">
        <v>0</v>
      </c>
      <c r="J462" s="1">
        <v>0</v>
      </c>
      <c r="K462" s="1">
        <v>0</v>
      </c>
      <c r="L462" s="1">
        <v>0</v>
      </c>
      <c r="M462" s="1">
        <v>0</v>
      </c>
      <c r="N462" s="1">
        <v>0</v>
      </c>
    </row>
    <row r="463" spans="1:14">
      <c r="A463" s="1" t="s">
        <v>899</v>
      </c>
      <c r="B463" s="1">
        <v>1</v>
      </c>
      <c r="C463" s="1"/>
      <c r="D463" s="1" t="s">
        <v>900</v>
      </c>
      <c r="E463" s="1">
        <v>0</v>
      </c>
      <c r="F463" s="1">
        <v>0</v>
      </c>
      <c r="G463" s="1">
        <v>0</v>
      </c>
      <c r="H463" s="1">
        <v>0</v>
      </c>
      <c r="I463" s="1">
        <v>0</v>
      </c>
      <c r="J463" s="1">
        <v>0</v>
      </c>
      <c r="K463" s="1">
        <v>0</v>
      </c>
      <c r="L463" s="1">
        <v>0</v>
      </c>
      <c r="M463" s="1">
        <v>0</v>
      </c>
      <c r="N463" s="1">
        <v>0</v>
      </c>
    </row>
    <row r="464" spans="1:14">
      <c r="A464" s="1" t="s">
        <v>901</v>
      </c>
      <c r="B464" s="1">
        <v>3</v>
      </c>
      <c r="C464" s="1"/>
      <c r="D464" s="1" t="s">
        <v>902</v>
      </c>
      <c r="E464" s="1">
        <v>0</v>
      </c>
      <c r="F464" s="1">
        <v>0</v>
      </c>
      <c r="G464" s="1">
        <v>0</v>
      </c>
      <c r="H464" s="1">
        <v>0</v>
      </c>
      <c r="I464" s="1">
        <v>0</v>
      </c>
      <c r="J464" s="1">
        <v>0</v>
      </c>
      <c r="K464" s="1">
        <v>0</v>
      </c>
      <c r="L464" s="1">
        <v>0</v>
      </c>
      <c r="M464" s="1">
        <v>0</v>
      </c>
      <c r="N464" s="1">
        <v>0</v>
      </c>
    </row>
    <row r="465" spans="1:14">
      <c r="A465" s="1" t="s">
        <v>903</v>
      </c>
      <c r="B465" s="1">
        <v>4</v>
      </c>
      <c r="C465" s="1"/>
      <c r="D465" s="1" t="s">
        <v>904</v>
      </c>
      <c r="E465" s="1">
        <v>0</v>
      </c>
      <c r="F465" s="1">
        <v>0</v>
      </c>
      <c r="G465" s="1">
        <v>0</v>
      </c>
      <c r="H465" s="1">
        <v>0</v>
      </c>
      <c r="I465" s="1">
        <v>0</v>
      </c>
      <c r="J465" s="1">
        <v>0</v>
      </c>
      <c r="K465" s="1">
        <v>0</v>
      </c>
      <c r="L465" s="1">
        <v>0</v>
      </c>
      <c r="M465" s="1">
        <v>0</v>
      </c>
      <c r="N465" s="1">
        <v>0</v>
      </c>
    </row>
    <row r="466" spans="1:14">
      <c r="A466" s="1" t="s">
        <v>905</v>
      </c>
      <c r="B466" s="1">
        <v>0</v>
      </c>
      <c r="C466" s="1"/>
      <c r="D466" s="1" t="s">
        <v>906</v>
      </c>
      <c r="E466" s="1">
        <v>0</v>
      </c>
      <c r="F466" s="1">
        <v>0</v>
      </c>
      <c r="G466" s="1">
        <v>0</v>
      </c>
      <c r="H466" s="1">
        <v>0</v>
      </c>
      <c r="I466" s="1">
        <v>0</v>
      </c>
      <c r="J466" s="1">
        <v>0</v>
      </c>
      <c r="K466" s="1">
        <v>0</v>
      </c>
      <c r="L466" s="1">
        <v>0</v>
      </c>
      <c r="M466" s="1">
        <v>0</v>
      </c>
      <c r="N466" s="1">
        <v>0</v>
      </c>
    </row>
    <row r="467" spans="1:14">
      <c r="A467" s="1" t="s">
        <v>907</v>
      </c>
      <c r="B467" s="1">
        <v>2</v>
      </c>
      <c r="C467" s="1"/>
      <c r="D467" s="1" t="s">
        <v>908</v>
      </c>
      <c r="E467" s="1">
        <v>0</v>
      </c>
      <c r="F467" s="1">
        <v>0</v>
      </c>
      <c r="G467" s="1">
        <v>0</v>
      </c>
      <c r="H467" s="1">
        <v>0</v>
      </c>
      <c r="I467" s="1">
        <v>0</v>
      </c>
      <c r="J467" s="1">
        <v>0</v>
      </c>
      <c r="K467" s="1">
        <v>0</v>
      </c>
      <c r="L467" s="1">
        <v>0</v>
      </c>
      <c r="M467" s="1">
        <v>0</v>
      </c>
      <c r="N467" s="1">
        <v>0</v>
      </c>
    </row>
    <row r="468" spans="1:14">
      <c r="A468" s="1" t="s">
        <v>909</v>
      </c>
      <c r="B468" s="1">
        <v>3</v>
      </c>
      <c r="C468" s="1"/>
      <c r="D468" s="1" t="s">
        <v>910</v>
      </c>
      <c r="E468" s="1">
        <v>0</v>
      </c>
      <c r="F468" s="1">
        <v>0</v>
      </c>
      <c r="G468" s="1">
        <v>0</v>
      </c>
      <c r="H468" s="1">
        <v>0</v>
      </c>
      <c r="I468" s="1">
        <v>0</v>
      </c>
      <c r="J468" s="1">
        <v>0</v>
      </c>
      <c r="K468" s="1">
        <v>0</v>
      </c>
      <c r="L468" s="1">
        <v>0</v>
      </c>
      <c r="M468" s="1">
        <v>0</v>
      </c>
      <c r="N468" s="1">
        <v>0</v>
      </c>
    </row>
    <row r="469" spans="1:14">
      <c r="A469" s="1" t="s">
        <v>911</v>
      </c>
      <c r="B469" s="1">
        <v>3</v>
      </c>
      <c r="C469" s="1"/>
      <c r="D469" s="1" t="s">
        <v>912</v>
      </c>
      <c r="E469" s="1">
        <v>1</v>
      </c>
      <c r="F469" s="1">
        <v>3</v>
      </c>
      <c r="G469" s="1">
        <v>0</v>
      </c>
      <c r="H469" s="1">
        <v>0</v>
      </c>
      <c r="I469" s="1">
        <v>1</v>
      </c>
      <c r="J469" s="1">
        <v>0</v>
      </c>
      <c r="K469" s="1">
        <v>0</v>
      </c>
      <c r="L469" s="1">
        <v>0</v>
      </c>
      <c r="M469" s="1">
        <v>0</v>
      </c>
      <c r="N469" s="1">
        <v>0</v>
      </c>
    </row>
    <row r="470" spans="1:14">
      <c r="A470" s="1" t="s">
        <v>913</v>
      </c>
      <c r="B470" s="1">
        <v>2</v>
      </c>
      <c r="C470" s="1"/>
      <c r="D470" s="1" t="s">
        <v>914</v>
      </c>
      <c r="E470" s="1">
        <v>0</v>
      </c>
      <c r="F470" s="1">
        <v>0</v>
      </c>
      <c r="G470" s="1">
        <v>0</v>
      </c>
      <c r="H470" s="1">
        <v>0</v>
      </c>
      <c r="I470" s="1">
        <v>0</v>
      </c>
      <c r="J470" s="1">
        <v>0</v>
      </c>
      <c r="K470" s="1">
        <v>0</v>
      </c>
      <c r="L470" s="1">
        <v>0</v>
      </c>
      <c r="M470" s="1">
        <v>0</v>
      </c>
      <c r="N470" s="1">
        <v>0</v>
      </c>
    </row>
    <row r="471" spans="1:14">
      <c r="A471" s="1" t="s">
        <v>915</v>
      </c>
      <c r="B471" s="1">
        <v>2</v>
      </c>
      <c r="C471" s="1"/>
      <c r="D471" s="1" t="s">
        <v>916</v>
      </c>
      <c r="E471" s="1">
        <v>0</v>
      </c>
      <c r="F471" s="1">
        <v>0</v>
      </c>
      <c r="G471" s="1">
        <v>0</v>
      </c>
      <c r="H471" s="1">
        <v>0</v>
      </c>
      <c r="I471" s="1">
        <v>0</v>
      </c>
      <c r="J471" s="1">
        <v>0</v>
      </c>
      <c r="K471" s="1">
        <v>0</v>
      </c>
      <c r="L471" s="1">
        <v>0</v>
      </c>
      <c r="M471" s="1">
        <v>0</v>
      </c>
      <c r="N471" s="1">
        <v>0</v>
      </c>
    </row>
    <row r="472" spans="1:14">
      <c r="A472" s="1" t="s">
        <v>917</v>
      </c>
      <c r="B472" s="1">
        <v>2</v>
      </c>
      <c r="C472" s="1"/>
      <c r="D472" s="1" t="s">
        <v>918</v>
      </c>
      <c r="E472" s="1">
        <v>0</v>
      </c>
      <c r="F472" s="1">
        <v>0</v>
      </c>
      <c r="G472" s="1">
        <v>0</v>
      </c>
      <c r="H472" s="1">
        <v>0</v>
      </c>
      <c r="I472" s="1">
        <v>0</v>
      </c>
      <c r="J472" s="1">
        <v>0</v>
      </c>
      <c r="K472" s="1">
        <v>0</v>
      </c>
      <c r="L472" s="1">
        <v>0</v>
      </c>
      <c r="M472" s="1">
        <v>0</v>
      </c>
      <c r="N472" s="1">
        <v>0</v>
      </c>
    </row>
    <row r="473" spans="1:14">
      <c r="A473" s="1" t="s">
        <v>919</v>
      </c>
      <c r="B473" s="1">
        <v>1</v>
      </c>
      <c r="C473" s="1"/>
      <c r="D473" s="1" t="s">
        <v>920</v>
      </c>
      <c r="E473" s="1">
        <v>0</v>
      </c>
      <c r="F473" s="1">
        <v>0</v>
      </c>
      <c r="G473" s="1">
        <v>0</v>
      </c>
      <c r="H473" s="1">
        <v>0</v>
      </c>
      <c r="I473" s="1">
        <v>0</v>
      </c>
      <c r="J473" s="1">
        <v>0</v>
      </c>
      <c r="K473" s="1">
        <v>0</v>
      </c>
      <c r="L473" s="1">
        <v>0</v>
      </c>
      <c r="M473" s="1">
        <v>0</v>
      </c>
      <c r="N473" s="1">
        <v>0</v>
      </c>
    </row>
    <row r="474" spans="1:14">
      <c r="A474" s="1" t="s">
        <v>921</v>
      </c>
      <c r="B474" s="1">
        <v>1</v>
      </c>
      <c r="C474" s="1"/>
      <c r="D474" s="1" t="s">
        <v>922</v>
      </c>
      <c r="E474" s="1">
        <v>0</v>
      </c>
      <c r="F474" s="1">
        <v>0</v>
      </c>
      <c r="G474" s="1">
        <v>0</v>
      </c>
      <c r="H474" s="1">
        <v>0</v>
      </c>
      <c r="I474" s="1">
        <v>0</v>
      </c>
      <c r="J474" s="1">
        <v>0</v>
      </c>
      <c r="K474" s="1">
        <v>0</v>
      </c>
      <c r="L474" s="1">
        <v>0</v>
      </c>
      <c r="M474" s="1">
        <v>0</v>
      </c>
      <c r="N474" s="1">
        <v>0</v>
      </c>
    </row>
    <row r="475" spans="1:14">
      <c r="A475" s="1" t="s">
        <v>923</v>
      </c>
      <c r="B475" s="1">
        <v>1</v>
      </c>
      <c r="C475" s="1"/>
      <c r="D475" s="1" t="s">
        <v>924</v>
      </c>
      <c r="E475" s="1">
        <v>0</v>
      </c>
      <c r="F475" s="1">
        <v>0</v>
      </c>
      <c r="G475" s="1">
        <v>0</v>
      </c>
      <c r="H475" s="1">
        <v>0</v>
      </c>
      <c r="I475" s="1">
        <v>0</v>
      </c>
      <c r="J475" s="1">
        <v>0</v>
      </c>
      <c r="K475" s="1">
        <v>0</v>
      </c>
      <c r="L475" s="1">
        <v>0</v>
      </c>
      <c r="M475" s="1">
        <v>0</v>
      </c>
      <c r="N475" s="1">
        <v>0</v>
      </c>
    </row>
    <row r="476" spans="1:14">
      <c r="A476" s="1" t="s">
        <v>925</v>
      </c>
      <c r="B476" s="1">
        <v>7</v>
      </c>
      <c r="C476" s="1"/>
      <c r="D476" s="1" t="s">
        <v>926</v>
      </c>
      <c r="E476" s="1">
        <v>0</v>
      </c>
      <c r="F476" s="1">
        <v>0</v>
      </c>
      <c r="G476" s="1">
        <v>0</v>
      </c>
      <c r="H476" s="1">
        <v>0</v>
      </c>
      <c r="I476" s="1">
        <v>0</v>
      </c>
      <c r="J476" s="1">
        <v>0</v>
      </c>
      <c r="K476" s="1">
        <v>0</v>
      </c>
      <c r="L476" s="1">
        <v>0</v>
      </c>
      <c r="M476" s="1">
        <v>0</v>
      </c>
      <c r="N476" s="1">
        <v>0</v>
      </c>
    </row>
    <row r="477" spans="1:14">
      <c r="A477" s="1" t="s">
        <v>927</v>
      </c>
      <c r="B477" s="1">
        <v>6</v>
      </c>
      <c r="C477" s="1"/>
      <c r="D477" s="1" t="s">
        <v>928</v>
      </c>
      <c r="E477" s="1">
        <v>0</v>
      </c>
      <c r="F477" s="1">
        <v>0</v>
      </c>
      <c r="G477" s="1">
        <v>0</v>
      </c>
      <c r="H477" s="1">
        <v>0</v>
      </c>
      <c r="I477" s="1">
        <v>0</v>
      </c>
      <c r="J477" s="1">
        <v>0</v>
      </c>
      <c r="K477" s="1">
        <v>0</v>
      </c>
      <c r="L477" s="1">
        <v>0</v>
      </c>
      <c r="M477" s="1">
        <v>0</v>
      </c>
      <c r="N477" s="1">
        <v>0</v>
      </c>
    </row>
    <row r="478" spans="1:14">
      <c r="A478" s="1" t="s">
        <v>929</v>
      </c>
      <c r="B478" s="1">
        <v>5</v>
      </c>
      <c r="C478" s="1"/>
      <c r="D478" s="1" t="s">
        <v>930</v>
      </c>
      <c r="E478" s="1">
        <v>0</v>
      </c>
      <c r="F478" s="1">
        <v>0</v>
      </c>
      <c r="G478" s="1">
        <v>0</v>
      </c>
      <c r="H478" s="1">
        <v>0</v>
      </c>
      <c r="I478" s="1">
        <v>0</v>
      </c>
      <c r="J478" s="1">
        <v>0</v>
      </c>
      <c r="K478" s="1">
        <v>0</v>
      </c>
      <c r="L478" s="1">
        <v>0</v>
      </c>
      <c r="M478" s="1">
        <v>0</v>
      </c>
      <c r="N478" s="1">
        <v>0</v>
      </c>
    </row>
    <row r="479" spans="1:14">
      <c r="A479" s="1" t="s">
        <v>931</v>
      </c>
      <c r="B479" s="1">
        <v>2</v>
      </c>
      <c r="C479" s="1"/>
      <c r="D479" s="1" t="s">
        <v>932</v>
      </c>
      <c r="E479" s="1">
        <v>3</v>
      </c>
      <c r="F479" s="1">
        <v>9</v>
      </c>
      <c r="G479" s="1">
        <v>0</v>
      </c>
      <c r="H479" s="1">
        <v>0</v>
      </c>
      <c r="I479" s="1">
        <v>3</v>
      </c>
      <c r="J479" s="1">
        <v>0</v>
      </c>
      <c r="K479" s="1">
        <v>0</v>
      </c>
      <c r="L479" s="1">
        <v>0</v>
      </c>
      <c r="M479" s="1">
        <v>0</v>
      </c>
      <c r="N479" s="1">
        <v>0</v>
      </c>
    </row>
    <row r="480" spans="1:14">
      <c r="A480" s="1" t="s">
        <v>933</v>
      </c>
      <c r="B480" s="1">
        <v>1</v>
      </c>
      <c r="C480" s="1"/>
      <c r="D480" s="1" t="s">
        <v>934</v>
      </c>
      <c r="E480" s="1">
        <v>1</v>
      </c>
      <c r="F480" s="1">
        <v>3</v>
      </c>
      <c r="G480" s="1">
        <v>0</v>
      </c>
      <c r="H480" s="1">
        <v>0</v>
      </c>
      <c r="I480" s="1">
        <v>1</v>
      </c>
      <c r="J480" s="1">
        <v>0</v>
      </c>
      <c r="K480" s="1">
        <v>0</v>
      </c>
      <c r="L480" s="1">
        <v>0</v>
      </c>
      <c r="M480" s="1">
        <v>0</v>
      </c>
      <c r="N480" s="1">
        <v>0</v>
      </c>
    </row>
    <row r="481" spans="1:14">
      <c r="A481" s="1" t="s">
        <v>935</v>
      </c>
      <c r="B481" s="1">
        <v>1</v>
      </c>
      <c r="C481" s="1"/>
      <c r="D481" s="1" t="s">
        <v>936</v>
      </c>
      <c r="E481" s="1">
        <v>0</v>
      </c>
      <c r="F481" s="1">
        <v>0</v>
      </c>
      <c r="G481" s="1">
        <v>0</v>
      </c>
      <c r="H481" s="1">
        <v>0</v>
      </c>
      <c r="I481" s="1">
        <v>0</v>
      </c>
      <c r="J481" s="1">
        <v>0</v>
      </c>
      <c r="K481" s="1">
        <v>0</v>
      </c>
      <c r="L481" s="1">
        <v>0</v>
      </c>
      <c r="M481" s="1">
        <v>0</v>
      </c>
      <c r="N481" s="1">
        <v>0</v>
      </c>
    </row>
    <row r="482" spans="1:14">
      <c r="A482" s="1" t="s">
        <v>937</v>
      </c>
      <c r="B482" s="1">
        <v>-1</v>
      </c>
      <c r="C482" s="1"/>
      <c r="D482" s="1" t="s">
        <v>938</v>
      </c>
      <c r="E482" s="1">
        <v>0</v>
      </c>
      <c r="F482" s="1">
        <v>0</v>
      </c>
      <c r="G482" s="1">
        <v>0</v>
      </c>
      <c r="H482" s="1">
        <v>0</v>
      </c>
      <c r="I482" s="1">
        <v>0</v>
      </c>
      <c r="J482" s="1">
        <v>0</v>
      </c>
      <c r="K482" s="1">
        <v>0</v>
      </c>
      <c r="L482" s="1">
        <v>0</v>
      </c>
      <c r="M482" s="1">
        <v>0</v>
      </c>
      <c r="N482" s="1">
        <v>0</v>
      </c>
    </row>
    <row r="483" spans="1:14">
      <c r="A483" s="1" t="s">
        <v>939</v>
      </c>
      <c r="B483" s="1"/>
      <c r="C483" s="1"/>
      <c r="D483" s="1" t="s">
        <v>940</v>
      </c>
      <c r="E483" s="1">
        <v>0</v>
      </c>
      <c r="F483" s="1">
        <v>0</v>
      </c>
      <c r="G483" s="1">
        <v>0</v>
      </c>
      <c r="H483" s="1">
        <v>0</v>
      </c>
      <c r="I483" s="1">
        <v>0</v>
      </c>
      <c r="J483" s="1">
        <v>0</v>
      </c>
      <c r="K483" s="1">
        <v>0</v>
      </c>
      <c r="L483" s="1">
        <v>0</v>
      </c>
      <c r="M483" s="1">
        <v>0</v>
      </c>
      <c r="N483" s="1">
        <v>0</v>
      </c>
    </row>
    <row r="484" spans="1:14">
      <c r="A484" s="1" t="s">
        <v>941</v>
      </c>
      <c r="B484" s="1"/>
      <c r="C484" s="1"/>
      <c r="D484" s="1"/>
      <c r="E484" s="1">
        <v>0</v>
      </c>
      <c r="F484" s="1">
        <v>0</v>
      </c>
      <c r="G484" s="1">
        <v>0</v>
      </c>
      <c r="H484" s="1">
        <v>0</v>
      </c>
      <c r="I484" s="1">
        <v>0</v>
      </c>
      <c r="J484" s="1">
        <v>0</v>
      </c>
      <c r="K484" s="1">
        <v>0</v>
      </c>
      <c r="L484" s="1">
        <v>0</v>
      </c>
      <c r="M484" s="1">
        <v>0</v>
      </c>
      <c r="N484" s="1">
        <v>0</v>
      </c>
    </row>
    <row r="485" spans="1:14">
      <c r="A485" s="1" t="s">
        <v>942</v>
      </c>
      <c r="B485" s="1"/>
      <c r="C485" s="1"/>
      <c r="D485" s="1"/>
      <c r="E485" s="1">
        <v>0.16666666699999999</v>
      </c>
      <c r="F485" s="1">
        <v>0.5</v>
      </c>
      <c r="G485" s="1">
        <v>0</v>
      </c>
      <c r="H485" s="1">
        <v>0</v>
      </c>
      <c r="I485" s="1">
        <v>1</v>
      </c>
      <c r="J485" s="1">
        <v>0</v>
      </c>
      <c r="K485" s="1">
        <v>0</v>
      </c>
      <c r="L485" s="1">
        <v>0</v>
      </c>
      <c r="M485" s="1">
        <v>0</v>
      </c>
      <c r="N485" s="1">
        <v>0</v>
      </c>
    </row>
    <row r="486" spans="1:14">
      <c r="A486" s="1" t="s">
        <v>943</v>
      </c>
      <c r="B486" s="1"/>
      <c r="C486" s="1"/>
      <c r="D486" s="1"/>
      <c r="E486" s="1">
        <v>0.25</v>
      </c>
      <c r="F486" s="1">
        <v>0.25</v>
      </c>
      <c r="G486" s="1">
        <v>0</v>
      </c>
      <c r="H486" s="1">
        <v>0.66666666699999999</v>
      </c>
      <c r="I486" s="1">
        <v>1</v>
      </c>
      <c r="J486" s="1">
        <v>0</v>
      </c>
      <c r="K486" s="1">
        <v>0</v>
      </c>
      <c r="L486" s="1">
        <v>0</v>
      </c>
      <c r="M486" s="1">
        <v>0</v>
      </c>
      <c r="N486" s="1">
        <v>0</v>
      </c>
    </row>
    <row r="487" spans="1:14">
      <c r="A487" s="1" t="s">
        <v>944</v>
      </c>
      <c r="B487" s="1"/>
      <c r="C487" s="1"/>
      <c r="D487" s="1"/>
      <c r="E487" s="1">
        <v>0.14285714299999999</v>
      </c>
      <c r="F487" s="1">
        <v>0.428571429</v>
      </c>
      <c r="G487" s="1">
        <v>0</v>
      </c>
      <c r="H487" s="1">
        <v>0</v>
      </c>
      <c r="I487" s="1">
        <v>1</v>
      </c>
      <c r="J487" s="1">
        <v>0</v>
      </c>
      <c r="K487" s="1">
        <v>0</v>
      </c>
      <c r="L487" s="1">
        <v>0</v>
      </c>
      <c r="M487" s="1">
        <v>0</v>
      </c>
      <c r="N487" s="1">
        <v>0</v>
      </c>
    </row>
    <row r="488" spans="1:14">
      <c r="A488" s="1" t="s">
        <v>945</v>
      </c>
      <c r="B488" s="1"/>
      <c r="C488" s="1"/>
      <c r="D488" s="1"/>
      <c r="E488" s="1">
        <v>0</v>
      </c>
      <c r="F488" s="1">
        <v>0</v>
      </c>
      <c r="G488" s="1">
        <v>0</v>
      </c>
      <c r="H488" s="1">
        <v>0</v>
      </c>
      <c r="I488" s="1">
        <v>0</v>
      </c>
      <c r="J488" s="1">
        <v>0</v>
      </c>
      <c r="K488" s="1">
        <v>0</v>
      </c>
      <c r="L488" s="1">
        <v>0</v>
      </c>
      <c r="M488" s="1">
        <v>0</v>
      </c>
      <c r="N488" s="1">
        <v>0</v>
      </c>
    </row>
    <row r="489" spans="1:14">
      <c r="A489" s="1" t="s">
        <v>946</v>
      </c>
      <c r="B489" s="1"/>
      <c r="C489" s="1"/>
      <c r="D489" s="1"/>
      <c r="E489" s="1">
        <v>0.125</v>
      </c>
      <c r="F489" s="1">
        <v>0.375</v>
      </c>
      <c r="G489" s="1">
        <v>0</v>
      </c>
      <c r="H489" s="1">
        <v>0</v>
      </c>
      <c r="I489" s="1">
        <v>1</v>
      </c>
      <c r="J489" s="1">
        <v>0</v>
      </c>
      <c r="K489" s="1">
        <v>0</v>
      </c>
      <c r="L489" s="1">
        <v>0</v>
      </c>
      <c r="M489" s="1">
        <v>0</v>
      </c>
      <c r="N489" s="1">
        <v>0</v>
      </c>
    </row>
    <row r="490" spans="1:14">
      <c r="A490" s="1" t="s">
        <v>947</v>
      </c>
      <c r="B490" s="1"/>
      <c r="C490" s="1"/>
      <c r="D490" s="1"/>
      <c r="E490" s="1">
        <v>0</v>
      </c>
      <c r="F490" s="1">
        <v>0</v>
      </c>
      <c r="G490" s="1">
        <v>0</v>
      </c>
      <c r="H490" s="1">
        <v>0</v>
      </c>
      <c r="I490" s="1">
        <v>0</v>
      </c>
      <c r="J490" s="1">
        <v>0</v>
      </c>
      <c r="K490" s="1">
        <v>0</v>
      </c>
      <c r="L490" s="1">
        <v>0</v>
      </c>
      <c r="M490" s="1">
        <v>0</v>
      </c>
      <c r="N490" s="1">
        <v>0</v>
      </c>
    </row>
    <row r="491" spans="1:14">
      <c r="A491" s="1" t="s">
        <v>948</v>
      </c>
      <c r="B491" s="1"/>
      <c r="C491" s="1"/>
      <c r="D491" s="1"/>
      <c r="E491" s="1">
        <v>0</v>
      </c>
      <c r="F491" s="1">
        <v>0</v>
      </c>
      <c r="G491" s="1">
        <v>0</v>
      </c>
      <c r="H491" s="1">
        <v>0</v>
      </c>
      <c r="I491" s="1">
        <v>0</v>
      </c>
      <c r="J491" s="1">
        <v>0</v>
      </c>
      <c r="K491" s="1">
        <v>0</v>
      </c>
      <c r="L491" s="1">
        <v>0</v>
      </c>
      <c r="M491" s="1">
        <v>0</v>
      </c>
      <c r="N491" s="1">
        <v>0</v>
      </c>
    </row>
    <row r="492" spans="1:14">
      <c r="A492" s="1" t="s">
        <v>949</v>
      </c>
      <c r="B492" s="1"/>
      <c r="C492" s="1"/>
      <c r="D492" s="1"/>
      <c r="E492" s="1">
        <v>0.25</v>
      </c>
      <c r="F492" s="1">
        <v>0.75</v>
      </c>
      <c r="G492" s="1">
        <v>0</v>
      </c>
      <c r="H492" s="1">
        <v>0</v>
      </c>
      <c r="I492" s="1">
        <v>1</v>
      </c>
      <c r="J492" s="1">
        <v>0</v>
      </c>
      <c r="K492" s="1">
        <v>0</v>
      </c>
      <c r="L492" s="1">
        <v>0</v>
      </c>
      <c r="M492" s="1">
        <v>0</v>
      </c>
      <c r="N492" s="1">
        <v>0</v>
      </c>
    </row>
    <row r="493" spans="1:14">
      <c r="A493" s="1" t="s">
        <v>950</v>
      </c>
      <c r="B493" s="1"/>
      <c r="C493" s="1"/>
      <c r="D493" s="1"/>
      <c r="E493" s="1">
        <v>9.0909090999999997E-2</v>
      </c>
      <c r="F493" s="1">
        <v>0</v>
      </c>
      <c r="G493" s="1">
        <v>0</v>
      </c>
      <c r="H493" s="1">
        <v>0.33333333300000001</v>
      </c>
      <c r="I493" s="1">
        <v>0</v>
      </c>
      <c r="J493" s="1">
        <v>0</v>
      </c>
      <c r="K493" s="1">
        <v>0</v>
      </c>
      <c r="L493" s="1">
        <v>0</v>
      </c>
      <c r="M493" s="1">
        <v>0</v>
      </c>
      <c r="N493" s="1">
        <v>0</v>
      </c>
    </row>
    <row r="494" spans="1:14">
      <c r="A494" s="1" t="s">
        <v>951</v>
      </c>
      <c r="B494" s="1"/>
      <c r="C494" s="1"/>
      <c r="D494" s="1"/>
      <c r="E494" s="1">
        <v>0.125</v>
      </c>
      <c r="F494" s="1">
        <v>0.375</v>
      </c>
      <c r="G494" s="1">
        <v>0</v>
      </c>
      <c r="H494" s="1">
        <v>0</v>
      </c>
      <c r="I494" s="1">
        <v>1</v>
      </c>
      <c r="J494" s="1">
        <v>0</v>
      </c>
      <c r="K494" s="1">
        <v>0</v>
      </c>
      <c r="L494" s="1">
        <v>0</v>
      </c>
      <c r="M494" s="1">
        <v>0</v>
      </c>
      <c r="N494" s="1">
        <v>0</v>
      </c>
    </row>
    <row r="495" spans="1:14">
      <c r="A495" s="1" t="s">
        <v>952</v>
      </c>
      <c r="B495" s="1"/>
      <c r="C495" s="1"/>
      <c r="D495" s="1"/>
      <c r="E495" s="1">
        <v>0.111111111</v>
      </c>
      <c r="F495" s="1">
        <v>0</v>
      </c>
      <c r="G495" s="1">
        <v>0</v>
      </c>
      <c r="H495" s="1">
        <v>0.5</v>
      </c>
      <c r="I495" s="1">
        <v>0</v>
      </c>
      <c r="J495" s="1">
        <v>0</v>
      </c>
      <c r="K495" s="1">
        <v>0</v>
      </c>
      <c r="L495" s="1">
        <v>0</v>
      </c>
      <c r="M495" s="1">
        <v>0</v>
      </c>
      <c r="N495" s="1">
        <v>0</v>
      </c>
    </row>
    <row r="496" spans="1:14">
      <c r="A496" s="1" t="s">
        <v>953</v>
      </c>
      <c r="B496" s="1"/>
      <c r="C496" s="1"/>
      <c r="D496" s="1"/>
      <c r="E496" s="1">
        <v>0</v>
      </c>
      <c r="F496" s="1">
        <v>0</v>
      </c>
      <c r="G496" s="1">
        <v>0</v>
      </c>
      <c r="H496" s="1">
        <v>0</v>
      </c>
      <c r="I496" s="1">
        <v>0</v>
      </c>
      <c r="J496" s="1">
        <v>0</v>
      </c>
      <c r="K496" s="1">
        <v>0</v>
      </c>
      <c r="L496" s="1">
        <v>0</v>
      </c>
      <c r="M496" s="1">
        <v>0</v>
      </c>
      <c r="N496" s="1">
        <v>0</v>
      </c>
    </row>
    <row r="497" spans="1:14">
      <c r="A497" s="1" t="s">
        <v>954</v>
      </c>
      <c r="B497" s="1"/>
      <c r="C497" s="1"/>
      <c r="D497" s="1"/>
      <c r="E497" s="1">
        <v>0.125</v>
      </c>
      <c r="F497" s="1">
        <v>0</v>
      </c>
      <c r="G497" s="1">
        <v>0</v>
      </c>
      <c r="H497" s="1">
        <v>0.33333333300000001</v>
      </c>
      <c r="I497" s="1">
        <v>0</v>
      </c>
      <c r="J497" s="1">
        <v>0</v>
      </c>
      <c r="K497" s="1">
        <v>0</v>
      </c>
      <c r="L497" s="1">
        <v>0</v>
      </c>
      <c r="M497" s="1">
        <v>0</v>
      </c>
      <c r="N497" s="1">
        <v>0</v>
      </c>
    </row>
    <row r="498" spans="1:14">
      <c r="A498" s="1"/>
      <c r="B498" s="1"/>
      <c r="C498" s="1"/>
      <c r="D498" s="1"/>
      <c r="E498" s="1">
        <f>AVERAGE(E2:E497)</f>
        <v>0.27686717403830641</v>
      </c>
      <c r="F498" s="1"/>
      <c r="G498" s="1"/>
      <c r="H498" s="1"/>
      <c r="I498" s="1"/>
      <c r="J498" s="1"/>
      <c r="K498" s="1"/>
      <c r="L498" s="1"/>
      <c r="M498" s="1"/>
      <c r="N49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3541-4FD8-4F23-9AF0-6774FBEE5F49}">
  <dimension ref="A1:AF498"/>
  <sheetViews>
    <sheetView workbookViewId="0">
      <selection activeCell="R490" sqref="R490"/>
    </sheetView>
  </sheetViews>
  <sheetFormatPr defaultRowHeight="15"/>
  <cols>
    <col min="2" max="2" width="75.7109375" customWidth="1"/>
    <col min="3" max="3" width="19.7109375" customWidth="1"/>
    <col min="4" max="4" width="22.42578125" customWidth="1"/>
    <col min="5" max="5" width="19.140625" hidden="1" customWidth="1"/>
    <col min="6" max="6" width="15.140625" hidden="1" customWidth="1"/>
    <col min="7" max="7" width="12.28515625" hidden="1" customWidth="1"/>
    <col min="8" max="8" width="12.7109375" hidden="1" customWidth="1"/>
    <col min="9" max="9" width="19.42578125" hidden="1" customWidth="1"/>
    <col min="10" max="10" width="11.85546875" hidden="1" customWidth="1"/>
    <col min="11" max="11" width="15.140625" hidden="1" customWidth="1"/>
    <col min="12" max="12" width="21" hidden="1" customWidth="1"/>
    <col min="13" max="13" width="38.7109375" style="6" customWidth="1"/>
    <col min="14" max="14" width="33.85546875" customWidth="1"/>
    <col min="15" max="15" width="37" style="6" customWidth="1"/>
    <col min="16" max="16" width="17.42578125" style="6" customWidth="1"/>
    <col min="17" max="17" width="14.140625" customWidth="1"/>
    <col min="18" max="18" width="14.28515625" customWidth="1"/>
    <col min="19" max="19" width="22.85546875" customWidth="1"/>
    <col min="20" max="20" width="22" customWidth="1"/>
  </cols>
  <sheetData>
    <row r="1" spans="1:32" ht="29.25">
      <c r="B1" s="1" t="s">
        <v>0</v>
      </c>
      <c r="C1" s="1" t="s">
        <v>4</v>
      </c>
      <c r="D1" s="1" t="s">
        <v>5</v>
      </c>
      <c r="E1" s="1" t="s">
        <v>6</v>
      </c>
      <c r="F1" s="1" t="s">
        <v>7</v>
      </c>
      <c r="G1" s="1" t="s">
        <v>8</v>
      </c>
      <c r="H1" s="1" t="s">
        <v>9</v>
      </c>
      <c r="I1" s="1" t="s">
        <v>10</v>
      </c>
      <c r="J1" s="1" t="s">
        <v>11</v>
      </c>
      <c r="K1" s="1" t="s">
        <v>12</v>
      </c>
      <c r="L1" s="1" t="s">
        <v>13</v>
      </c>
      <c r="M1" s="6" t="s">
        <v>955</v>
      </c>
      <c r="N1" t="s">
        <v>956</v>
      </c>
      <c r="O1" s="6" t="s">
        <v>957</v>
      </c>
      <c r="P1" s="6" t="s">
        <v>958</v>
      </c>
      <c r="Q1" s="12" t="s">
        <v>959</v>
      </c>
      <c r="R1" t="s">
        <v>960</v>
      </c>
      <c r="S1" t="s">
        <v>961</v>
      </c>
      <c r="T1" t="s">
        <v>962</v>
      </c>
      <c r="AA1" t="s">
        <v>963</v>
      </c>
      <c r="AB1" t="s">
        <v>964</v>
      </c>
      <c r="AF1">
        <f>AVERAGE(C2:C497)</f>
        <v>0.27686717403830641</v>
      </c>
    </row>
    <row r="2" spans="1:32">
      <c r="A2">
        <v>1</v>
      </c>
      <c r="B2" s="4" t="s">
        <v>14</v>
      </c>
      <c r="C2" s="1">
        <v>0.33333333300000001</v>
      </c>
      <c r="D2" s="1">
        <v>0</v>
      </c>
      <c r="E2" s="1">
        <v>0</v>
      </c>
      <c r="F2" s="1">
        <v>1</v>
      </c>
      <c r="G2" s="1">
        <v>0</v>
      </c>
      <c r="H2" s="1">
        <v>0</v>
      </c>
      <c r="I2" s="1">
        <v>0</v>
      </c>
      <c r="J2" s="1">
        <v>0</v>
      </c>
      <c r="K2" s="1">
        <v>0</v>
      </c>
      <c r="L2" s="1">
        <v>0</v>
      </c>
      <c r="M2" s="6" t="str" cm="1">
        <f t="array" ref="M2">_xlfn.TEXTJOIN(", ",TRUE,
_xlfn._xlws.FILTER($R$2:$R$101,
ISNUMBER(SEARCH(LOWER($R$2:$R$101),LOWER(B2)))
))</f>
        <v>schapelle corby, drug smuggler, corby</v>
      </c>
      <c r="N2">
        <f>IF(M2="","0",LEN(M2)-LEN(SUBSTITUTE(M2,",",""))+1)</f>
        <v>3</v>
      </c>
      <c r="O2" s="6" t="str" cm="1">
        <f t="array" ref="O2">_xlfn.TEXTJOIN(", ",TRUE,
_xlfn.UNIQUE(
_xlfn._xlws.FILTER($S$2:$S$200,
ISNUMBER(SEARCH(LOWER($R$2:$R$200),LOWER(B2)))
)
))</f>
        <v>Case Related, Crime based, Familial based</v>
      </c>
      <c r="P2" cm="1">
        <f t="array" aca="1" ref="P2" ca="1">IFERROR(
    IF(N2=0, 0,
        SUMPRODUCT(
            N(
                _xlfn.IFNA(
                    VLOOKUP(
                        TRIM(MID(SUBSTITUTE(M2,",",REPT(" ",100)),
                        (ROW(INDIRECT("1:" &amp; LEN(M2)-LEN(SUBSTITUTE(M2,",","")) + 1))-1)*100 + 1, 100)),
                        $R$2:$T$101, 3, FALSE
                    ), 0)
            )
        ) / N2
    ),
0)</f>
        <v>0.33333333333333331</v>
      </c>
      <c r="R2" t="s">
        <v>965</v>
      </c>
      <c r="S2" t="s">
        <v>966</v>
      </c>
      <c r="T2">
        <v>0</v>
      </c>
      <c r="W2">
        <f>SUM(N:N)</f>
        <v>917</v>
      </c>
      <c r="AA2" t="s">
        <v>967</v>
      </c>
      <c r="AB2">
        <f>MEDIAN(S2:W11)</f>
        <v>0</v>
      </c>
    </row>
    <row r="3" spans="1:32" ht="183.75" customHeight="1">
      <c r="A3">
        <v>2</v>
      </c>
      <c r="B3" s="4" t="s">
        <v>15</v>
      </c>
      <c r="C3" s="1">
        <v>0</v>
      </c>
      <c r="D3" s="1">
        <v>0</v>
      </c>
      <c r="E3" s="1">
        <v>0</v>
      </c>
      <c r="F3" s="1">
        <v>0</v>
      </c>
      <c r="G3" s="1">
        <v>0</v>
      </c>
      <c r="H3" s="1">
        <v>0</v>
      </c>
      <c r="I3" s="1">
        <v>0</v>
      </c>
      <c r="J3" s="1">
        <v>0</v>
      </c>
      <c r="K3" s="1">
        <v>0</v>
      </c>
      <c r="L3" s="1">
        <v>0</v>
      </c>
      <c r="M3" s="6" t="str" cm="1">
        <f t="array" ref="M3">_xlfn.TEXTJOIN(", ",TRUE,
_xlfn._xlws.FILTER($R$2:$R$101,
ISNUMBER(SEARCH(LOWER($R$2:$R$101),LOWER(B3)))
))</f>
        <v>schapelle corby, sister, sisters, corby, brother</v>
      </c>
      <c r="N3">
        <f>IF(M3="","0",LEN(M3)-LEN(SUBSTITUTE(M3,",",""))+1)</f>
        <v>5</v>
      </c>
      <c r="O3" s="6" t="str" cm="1">
        <f t="array" ref="O3">_xlfn.TEXTJOIN(", ",TRUE,
_xlfn.UNIQUE(
_xlfn._xlws.FILTER($S$2:$S$200,
ISNUMBER(SEARCH(LOWER($R$2:$R$200),LOWER(B3)))
)
))</f>
        <v>Case Related, Familial based</v>
      </c>
      <c r="P3" cm="1">
        <f t="array" aca="1" ref="P3" ca="1">IFERROR(
    IF(N3=0, 0,
        SUMPRODUCT(
            N(
                _xlfn.IFNA(
                    VLOOKUP(
                        TRIM(MID(SUBSTITUTE(M3,",",REPT(" ",100)),
                        (ROW(INDIRECT("1:" &amp; LEN(M3)-LEN(SUBSTITUTE(M3,",","")) + 1))-1)*100 + 1, 100)),
                        $R$2:$T$101, 3, FALSE
                    ), 0)
            )
        ) / N3
    ),
0)</f>
        <v>0</v>
      </c>
      <c r="R3" t="s">
        <v>968</v>
      </c>
      <c r="S3" t="s">
        <v>966</v>
      </c>
      <c r="T3">
        <v>0</v>
      </c>
      <c r="W3">
        <f>MAX(N2:N497)</f>
        <v>13</v>
      </c>
      <c r="AA3" t="s">
        <v>969</v>
      </c>
      <c r="AB3">
        <f>MEDIAN(S12:W33)</f>
        <v>0</v>
      </c>
    </row>
    <row r="4" spans="1:32" ht="290.25">
      <c r="A4">
        <v>3</v>
      </c>
      <c r="B4" s="4" t="s">
        <v>16</v>
      </c>
      <c r="C4" s="1">
        <v>0</v>
      </c>
      <c r="D4" s="1">
        <v>0</v>
      </c>
      <c r="E4" s="1">
        <v>0</v>
      </c>
      <c r="F4" s="1">
        <v>0</v>
      </c>
      <c r="G4" s="1">
        <v>0</v>
      </c>
      <c r="H4" s="1">
        <v>0</v>
      </c>
      <c r="I4" s="1">
        <v>0</v>
      </c>
      <c r="J4" s="1">
        <v>0</v>
      </c>
      <c r="K4" s="1">
        <v>0</v>
      </c>
      <c r="L4" s="1">
        <v>0</v>
      </c>
      <c r="M4" s="6" t="str" cm="1">
        <f t="array" ref="M4">_xlfn.TEXTJOIN(", ",TRUE,
_xlfn._xlws.FILTER($R$2:$R$101,
ISNUMBER(SEARCH(LOWER($R$2:$R$101),LOWER(B4)))
))</f>
        <v>schapelle corby, australian, australia, corby</v>
      </c>
      <c r="N4">
        <f t="shared" ref="N3:N66" si="0">IF(M4="","0",LEN(M4)-LEN(SUBSTITUTE(M4,",",""))+1)</f>
        <v>4</v>
      </c>
      <c r="O4" s="6" t="str" cm="1">
        <f t="array" ref="O4">_xlfn.TEXTJOIN(", ",TRUE,
_xlfn.UNIQUE(
_xlfn._xlws.FILTER($S$2:$S$200,
ISNUMBER(SEARCH(LOWER($R$2:$R$200),LOWER(B4)))
)
))</f>
        <v>Case Related, Familial based</v>
      </c>
      <c r="P4" cm="1">
        <f t="array" aca="1" ref="P4" ca="1">IFERROR(
    IF(N4=0, 0,
        SUMPRODUCT(
            N(
                _xlfn.IFNA(
                    VLOOKUP(
                        TRIM(MID(SUBSTITUTE(M4,",",REPT(" ",100)),
                        (ROW(INDIRECT("1:" &amp; LEN(M4)-LEN(SUBSTITUTE(M4,",","")) + 1))-1)*100 + 1, 100)),
                        $R$2:$T$101, 3, FALSE
                    ), 0)
            )
        ) / N4
    ),
0)</f>
        <v>0</v>
      </c>
      <c r="R4" t="s">
        <v>970</v>
      </c>
      <c r="S4" t="s">
        <v>966</v>
      </c>
      <c r="T4">
        <v>0</v>
      </c>
      <c r="AA4" t="s">
        <v>971</v>
      </c>
      <c r="AB4">
        <f>MEDIAN(S34:W47)</f>
        <v>3</v>
      </c>
    </row>
    <row r="5" spans="1:32" ht="76.5">
      <c r="A5">
        <v>4</v>
      </c>
      <c r="B5" s="4" t="s">
        <v>17</v>
      </c>
      <c r="C5" s="1">
        <v>0.33333333300000001</v>
      </c>
      <c r="D5" s="1">
        <v>1</v>
      </c>
      <c r="E5" s="1">
        <v>0</v>
      </c>
      <c r="F5" s="1">
        <v>0</v>
      </c>
      <c r="G5" s="1">
        <v>1</v>
      </c>
      <c r="H5" s="1">
        <v>0</v>
      </c>
      <c r="I5" s="1">
        <v>0</v>
      </c>
      <c r="J5" s="1">
        <v>0</v>
      </c>
      <c r="K5" s="1">
        <v>0</v>
      </c>
      <c r="L5" s="1">
        <v>0</v>
      </c>
      <c r="M5" s="6" t="str" cm="1">
        <f t="array" ref="M5">_xlfn.TEXTJOIN(", ",TRUE,
_xlfn._xlws.FILTER($R$2:$R$101,
ISNUMBER(SEARCH(LOWER($R$2:$R$101),LOWER(B5)))
))</f>
        <v>schapelle corby, af, corby</v>
      </c>
      <c r="N5">
        <f t="shared" si="0"/>
        <v>3</v>
      </c>
      <c r="O5" s="6" t="str" cm="1">
        <f t="array" ref="O5">_xlfn.TEXTJOIN(", ",TRUE,
_xlfn.UNIQUE(
_xlfn._xlws.FILTER($S$2:$S$200,
ISNUMBER(SEARCH(LOWER($R$2:$R$200),LOWER(B5)))
)
))</f>
        <v>Case Related, Intelligence based, Familial based</v>
      </c>
      <c r="P5" cm="1">
        <f t="array" aca="1" ref="P5" ca="1">IFERROR(
    IF(N5=0, 0,
        SUMPRODUCT(
            N(
                _xlfn.IFNA(
                    VLOOKUP(
                        TRIM(MID(SUBSTITUTE(M5,",",REPT(" ",100)),
                        (ROW(INDIRECT("1:" &amp; LEN(M5)-LEN(SUBSTITUTE(M5,",","")) + 1))-1)*100 + 1, 100)),
                        $R$2:$T$101, 3, FALSE
                    ), 0)
            )
        ) / N5
    ),
0)</f>
        <v>0.33333333333333331</v>
      </c>
      <c r="R5" t="s">
        <v>972</v>
      </c>
      <c r="S5" t="s">
        <v>966</v>
      </c>
      <c r="T5">
        <v>0</v>
      </c>
      <c r="AA5" t="s">
        <v>973</v>
      </c>
      <c r="AB5">
        <f>MEDIAN(S48:W56)</f>
        <v>0</v>
      </c>
    </row>
    <row r="6" spans="1:32" ht="121.5">
      <c r="A6">
        <v>5</v>
      </c>
      <c r="B6" s="4" t="s">
        <v>18</v>
      </c>
      <c r="C6" s="1">
        <v>0.111111111</v>
      </c>
      <c r="D6" s="1">
        <v>0</v>
      </c>
      <c r="E6" s="1">
        <v>0</v>
      </c>
      <c r="F6" s="1">
        <v>0.5</v>
      </c>
      <c r="G6" s="1">
        <v>0</v>
      </c>
      <c r="H6" s="1">
        <v>0</v>
      </c>
      <c r="I6" s="1">
        <v>0</v>
      </c>
      <c r="J6" s="1">
        <v>0</v>
      </c>
      <c r="K6" s="1">
        <v>0</v>
      </c>
      <c r="L6" s="1">
        <v>0</v>
      </c>
      <c r="M6" s="6" t="str" cm="1">
        <f t="array" ref="M6">_xlfn.TEXTJOIN(", ",TRUE,
_xlfn._xlws.FILTER($R$2:$R$101,
ISNUMBER(SEARCH(LOWER($R$2:$R$101),LOWER(B6)))
))</f>
        <v>schapelle corby, australian, smuggling, conviction, australia, convicted drug smuggler, drug smuggler, corby, conviction, convicted</v>
      </c>
      <c r="N6">
        <f t="shared" si="0"/>
        <v>10</v>
      </c>
      <c r="O6" s="6" t="str" cm="1">
        <f t="array" ref="O6">_xlfn.TEXTJOIN(", ",TRUE,
_xlfn.UNIQUE(
_xlfn._xlws.FILTER($S$2:$S$200,
ISNUMBER(SEARCH(LOWER($R$2:$R$200),LOWER(B6)))
)
))</f>
        <v>Case Related, Crime based, Familial based, Legality based</v>
      </c>
      <c r="P6" cm="1">
        <f t="array" aca="1" ref="P6" ca="1">IFERROR(
    IF(N6=0, 0,
        SUMPRODUCT(
            N(
                _xlfn.IFNA(
                    VLOOKUP(
                        TRIM(MID(SUBSTITUTE(M6,",",REPT(" ",100)),
                        (ROW(INDIRECT("1:" &amp; LEN(M6)-LEN(SUBSTITUTE(M6,",","")) + 1))-1)*100 + 1, 100)),
                        $R$2:$T$101, 3, FALSE
                    ), 0)
            )
        ) / N6
    ),
0)</f>
        <v>0.1</v>
      </c>
      <c r="R6" t="s">
        <v>974</v>
      </c>
      <c r="S6" t="s">
        <v>966</v>
      </c>
      <c r="T6">
        <v>0</v>
      </c>
      <c r="AA6" t="s">
        <v>975</v>
      </c>
      <c r="AB6">
        <f>MEDIAN(S57:W64)</f>
        <v>3.5</v>
      </c>
    </row>
    <row r="7" spans="1:32">
      <c r="A7">
        <v>6</v>
      </c>
      <c r="B7" s="4" t="s">
        <v>19</v>
      </c>
      <c r="C7" s="1">
        <v>0</v>
      </c>
      <c r="D7" s="1">
        <v>0</v>
      </c>
      <c r="E7" s="1">
        <v>0</v>
      </c>
      <c r="F7" s="1">
        <v>0</v>
      </c>
      <c r="G7" s="1">
        <v>0</v>
      </c>
      <c r="H7" s="1">
        <v>0</v>
      </c>
      <c r="I7" s="1">
        <v>0</v>
      </c>
      <c r="J7" s="1">
        <v>0</v>
      </c>
      <c r="K7" s="1">
        <v>0</v>
      </c>
      <c r="L7" s="1">
        <v>0</v>
      </c>
      <c r="M7" s="6" t="str" cm="1">
        <f t="array" ref="M7">_xlfn.TEXTJOIN(", ",TRUE,
_xlfn._xlws.FILTER($R$2:$R$101,
ISNUMBER(SEARCH(LOWER($R$2:$R$101),LOWER(B7)))
))</f>
        <v>schapelle corby, corby</v>
      </c>
      <c r="N7">
        <f t="shared" si="0"/>
        <v>2</v>
      </c>
      <c r="O7" s="6" t="str" cm="1">
        <f t="array" ref="O7">_xlfn.TEXTJOIN(", ",TRUE,
_xlfn.UNIQUE(
_xlfn._xlws.FILTER($S$2:$S$200,
ISNUMBER(SEARCH(LOWER($R$2:$R$200),LOWER(B7)))
)
))</f>
        <v>Case Related, Familial based</v>
      </c>
      <c r="P7" cm="1">
        <f t="array" aca="1" ref="P7" ca="1">IFERROR(
    IF(N7=0, 0,
        SUMPRODUCT(
            N(
                _xlfn.IFNA(
                    VLOOKUP(
                        TRIM(MID(SUBSTITUTE(M7,",",REPT(" ",100)),
                        (ROW(INDIRECT("1:" &amp; LEN(M7)-LEN(SUBSTITUTE(M7,",","")) + 1))-1)*100 + 1, 100)),
                        $R$2:$T$101, 3, FALSE
                    ), 0)
            )
        ) / N7
    ),
0)</f>
        <v>0</v>
      </c>
      <c r="R7" t="s">
        <v>976</v>
      </c>
      <c r="S7" t="s">
        <v>966</v>
      </c>
      <c r="T7">
        <v>0</v>
      </c>
      <c r="AA7" t="s">
        <v>977</v>
      </c>
      <c r="AB7">
        <f>MEDIAN(S65:W68)</f>
        <v>1</v>
      </c>
    </row>
    <row r="8" spans="1:32" ht="121.5">
      <c r="A8">
        <v>7</v>
      </c>
      <c r="B8" s="4" t="s">
        <v>20</v>
      </c>
      <c r="C8" s="1">
        <v>0</v>
      </c>
      <c r="D8" s="1">
        <v>0</v>
      </c>
      <c r="E8" s="1">
        <v>0</v>
      </c>
      <c r="F8" s="1">
        <v>0</v>
      </c>
      <c r="G8" s="1">
        <v>0</v>
      </c>
      <c r="H8" s="1">
        <v>0</v>
      </c>
      <c r="I8" s="1">
        <v>0</v>
      </c>
      <c r="J8" s="1">
        <v>0</v>
      </c>
      <c r="K8" s="1">
        <v>0</v>
      </c>
      <c r="L8" s="1">
        <v>0</v>
      </c>
      <c r="M8" s="6" t="str" cm="1">
        <f t="array" ref="M8">_xlfn.TEXTJOIN(", ",TRUE,
_xlfn._xlws.FILTER($R$2:$R$101,
ISNUMBER(SEARCH(LOWER($R$2:$R$101),LOWER(B8)))
))</f>
        <v>schapelle corby, corby, import</v>
      </c>
      <c r="N8">
        <f t="shared" si="0"/>
        <v>3</v>
      </c>
      <c r="O8" s="6" t="str" cm="1">
        <f t="array" ref="O8">_xlfn.TEXTJOIN(", ",TRUE,
_xlfn.UNIQUE(
_xlfn._xlws.FILTER($S$2:$S$200,
ISNUMBER(SEARCH(LOWER($R$2:$R$200),LOWER(B8)))
)
))</f>
        <v>Case Related, Familial based, Legality based</v>
      </c>
      <c r="P8" cm="1">
        <f t="array" aca="1" ref="P8" ca="1">IFERROR(
    IF(N8=0, 0,
        SUMPRODUCT(
            N(
                _xlfn.IFNA(
                    VLOOKUP(
                        TRIM(MID(SUBSTITUTE(M8,",",REPT(" ",100)),
                        (ROW(INDIRECT("1:" &amp; LEN(M8)-LEN(SUBSTITUTE(M8,",","")) + 1))-1)*100 + 1, 100)),
                        $R$2:$T$101, 3, FALSE
                    ), 0)
            )
        ) / N8
    ),
0)</f>
        <v>0</v>
      </c>
      <c r="R8" t="s">
        <v>978</v>
      </c>
      <c r="S8" t="s">
        <v>966</v>
      </c>
      <c r="T8">
        <v>0</v>
      </c>
      <c r="AA8" t="s">
        <v>979</v>
      </c>
      <c r="AB8">
        <f>MEDIAN(S69:W79)</f>
        <v>2</v>
      </c>
    </row>
    <row r="9" spans="1:32">
      <c r="A9">
        <v>8</v>
      </c>
      <c r="B9" s="4" t="s">
        <v>21</v>
      </c>
      <c r="C9" s="1">
        <v>0</v>
      </c>
      <c r="D9" s="1">
        <v>0</v>
      </c>
      <c r="E9" s="1">
        <v>0</v>
      </c>
      <c r="F9" s="1">
        <v>0</v>
      </c>
      <c r="G9" s="1">
        <v>0</v>
      </c>
      <c r="H9" s="1">
        <v>0</v>
      </c>
      <c r="I9" s="1">
        <v>0</v>
      </c>
      <c r="J9" s="1">
        <v>0</v>
      </c>
      <c r="K9" s="1">
        <v>0</v>
      </c>
      <c r="L9" s="1">
        <v>0</v>
      </c>
      <c r="M9" s="6" t="str" cm="1">
        <f t="array" ref="M9">_xlfn.TEXTJOIN(", ",TRUE,
_xlfn._xlws.FILTER($R$2:$R$101,
ISNUMBER(SEARCH(LOWER($R$2:$R$101),LOWER(B9)))
))</f>
        <v>schapelle corby, corby</v>
      </c>
      <c r="N9">
        <f t="shared" si="0"/>
        <v>2</v>
      </c>
      <c r="O9" s="6" t="str" cm="1">
        <f t="array" ref="O9">_xlfn.TEXTJOIN(", ",TRUE,
_xlfn.UNIQUE(
_xlfn._xlws.FILTER($S$2:$S$200,
ISNUMBER(SEARCH(LOWER($R$2:$R$200),LOWER(B9)))
)
))</f>
        <v>Case Related, Familial based</v>
      </c>
      <c r="P9" cm="1">
        <f t="array" aca="1" ref="P9" ca="1">IFERROR(
    IF(N9=0, 0,
        SUMPRODUCT(
            N(
                _xlfn.IFNA(
                    VLOOKUP(
                        TRIM(MID(SUBSTITUTE(M9,",",REPT(" ",100)),
                        (ROW(INDIRECT("1:" &amp; LEN(M9)-LEN(SUBSTITUTE(M9,",","")) + 1))-1)*100 + 1, 100)),
                        $R$2:$T$101, 3, FALSE
                    ), 0)
            )
        ) / N9
    ),
0)</f>
        <v>0</v>
      </c>
      <c r="R9" t="s">
        <v>980</v>
      </c>
      <c r="S9" t="s">
        <v>966</v>
      </c>
      <c r="T9">
        <v>0</v>
      </c>
      <c r="AA9" t="s">
        <v>981</v>
      </c>
      <c r="AB9">
        <f>MEDIAN(S80:W101)</f>
        <v>0</v>
      </c>
    </row>
    <row r="10" spans="1:32" ht="30.75">
      <c r="A10">
        <v>9</v>
      </c>
      <c r="B10" s="4" t="s">
        <v>22</v>
      </c>
      <c r="C10" s="1">
        <v>0</v>
      </c>
      <c r="D10" s="1">
        <v>0</v>
      </c>
      <c r="E10" s="1">
        <v>0</v>
      </c>
      <c r="F10" s="1">
        <v>0</v>
      </c>
      <c r="G10" s="1">
        <v>0</v>
      </c>
      <c r="H10" s="1">
        <v>0</v>
      </c>
      <c r="I10" s="1">
        <v>0</v>
      </c>
      <c r="J10" s="1">
        <v>0</v>
      </c>
      <c r="K10" s="1">
        <v>0</v>
      </c>
      <c r="L10" s="1">
        <v>0</v>
      </c>
      <c r="M10" s="6" t="str" cm="1">
        <f t="array" ref="M10">_xlfn.TEXTJOIN(", ",TRUE,
_xlfn._xlws.FILTER($R$2:$R$101,
ISNUMBER(SEARCH(LOWER($R$2:$R$101),LOWER(B10)))
))</f>
        <v>schapelle corby, australia, corby</v>
      </c>
      <c r="N10">
        <f t="shared" si="0"/>
        <v>3</v>
      </c>
      <c r="O10" s="6" t="str" cm="1">
        <f t="array" ref="O10">_xlfn.TEXTJOIN(", ",TRUE,
_xlfn.UNIQUE(
_xlfn._xlws.FILTER($S$2:$S$200,
ISNUMBER(SEARCH(LOWER($R$2:$R$200),LOWER(B10)))
)
))</f>
        <v>Case Related, Familial based</v>
      </c>
      <c r="P10" cm="1">
        <f t="array" aca="1" ref="P10" ca="1">IFERROR(
    IF(N10=0, 0,
        SUMPRODUCT(
            N(
                _xlfn.IFNA(
                    VLOOKUP(
                        TRIM(MID(SUBSTITUTE(M10,",",REPT(" ",100)),
                        (ROW(INDIRECT("1:" &amp; LEN(M10)-LEN(SUBSTITUTE(M10,",","")) + 1))-1)*100 + 1, 100)),
                        $R$2:$T$101, 3, FALSE
                    ), 0)
            )
        ) / N10
    ),
0)</f>
        <v>0</v>
      </c>
      <c r="R10" t="s">
        <v>982</v>
      </c>
      <c r="S10" t="s">
        <v>966</v>
      </c>
      <c r="T10">
        <v>0</v>
      </c>
    </row>
    <row r="11" spans="1:32">
      <c r="A11">
        <v>10</v>
      </c>
      <c r="B11" s="4" t="s">
        <v>23</v>
      </c>
      <c r="C11" s="1">
        <v>0</v>
      </c>
      <c r="D11" s="1">
        <v>0</v>
      </c>
      <c r="E11" s="1">
        <v>0</v>
      </c>
      <c r="F11" s="1">
        <v>0</v>
      </c>
      <c r="G11" s="1">
        <v>0</v>
      </c>
      <c r="H11" s="1">
        <v>0</v>
      </c>
      <c r="I11" s="1">
        <v>0</v>
      </c>
      <c r="J11" s="1">
        <v>0</v>
      </c>
      <c r="K11" s="1">
        <v>0</v>
      </c>
      <c r="L11" s="1">
        <v>0</v>
      </c>
      <c r="M11" s="6" t="str" cm="1">
        <f t="array" ref="M11">_xlfn.TEXTJOIN(", ",TRUE,
_xlfn._xlws.FILTER($R$2:$R$101,
ISNUMBER(SEARCH(LOWER($R$2:$R$101),LOWER(B11)))
))</f>
        <v>schapelle corby, corby</v>
      </c>
      <c r="N11">
        <f t="shared" si="0"/>
        <v>2</v>
      </c>
      <c r="O11" s="6" t="str" cm="1">
        <f t="array" ref="O11">_xlfn.TEXTJOIN(", ",TRUE,
_xlfn.UNIQUE(
_xlfn._xlws.FILTER($S$2:$S$200,
ISNUMBER(SEARCH(LOWER($R$2:$R$200),LOWER(B11)))
)
))</f>
        <v>Case Related, Familial based</v>
      </c>
      <c r="P11" cm="1">
        <f t="array" aca="1" ref="P11" ca="1">IFERROR(
    IF(N11=0, 0,
        SUMPRODUCT(
            N(
                _xlfn.IFNA(
                    VLOOKUP(
                        TRIM(MID(SUBSTITUTE(M11,",",REPT(" ",100)),
                        (ROW(INDIRECT("1:" &amp; LEN(M11)-LEN(SUBSTITUTE(M11,",","")) + 1))-1)*100 + 1, 100)),
                        $R$2:$T$101, 3, FALSE
                    ), 0)
            )
        ) / N11
    ),
0)</f>
        <v>0</v>
      </c>
      <c r="R11" t="s">
        <v>983</v>
      </c>
      <c r="S11" t="s">
        <v>966</v>
      </c>
      <c r="T11">
        <v>0</v>
      </c>
    </row>
    <row r="12" spans="1:32" ht="106.5">
      <c r="A12">
        <v>11</v>
      </c>
      <c r="B12" s="4" t="s">
        <v>24</v>
      </c>
      <c r="C12" s="1">
        <v>0</v>
      </c>
      <c r="D12" s="1">
        <v>0</v>
      </c>
      <c r="E12" s="1">
        <v>0</v>
      </c>
      <c r="F12" s="1">
        <v>0</v>
      </c>
      <c r="G12" s="1">
        <v>0</v>
      </c>
      <c r="H12" s="1">
        <v>0</v>
      </c>
      <c r="I12" s="1">
        <v>0</v>
      </c>
      <c r="J12" s="1">
        <v>0</v>
      </c>
      <c r="K12" s="1">
        <v>0</v>
      </c>
      <c r="L12" s="1">
        <v>0</v>
      </c>
      <c r="M12" s="6" t="str" cm="1">
        <f t="array" ref="M12">_xlfn.TEXTJOIN(", ",TRUE,
_xlfn._xlws.FILTER($R$2:$R$101,
ISNUMBER(SEARCH(LOWER($R$2:$R$101),LOWER(B12)))
))</f>
        <v>schapelle corby, australian, australia, corby, convicted</v>
      </c>
      <c r="N12">
        <f t="shared" si="0"/>
        <v>5</v>
      </c>
      <c r="O12" s="6" t="str" cm="1">
        <f t="array" ref="O12">_xlfn.TEXTJOIN(", ",TRUE,
_xlfn.UNIQUE(
_xlfn._xlws.FILTER($S$2:$S$200,
ISNUMBER(SEARCH(LOWER($R$2:$R$200),LOWER(B12)))
)
))</f>
        <v>Case Related, Familial based, Legality based</v>
      </c>
      <c r="P12" cm="1">
        <f t="array" aca="1" ref="P12" ca="1">IFERROR(
    IF(N12=0, 0,
        SUMPRODUCT(
            N(
                _xlfn.IFNA(
                    VLOOKUP(
                        TRIM(MID(SUBSTITUTE(M12,",",REPT(" ",100)),
                        (ROW(INDIRECT("1:" &amp; LEN(M12)-LEN(SUBSTITUTE(M12,",","")) + 1))-1)*100 + 1, 100)),
                        $R$2:$T$101, 3, FALSE
                    ), 0)
            )
        ) / N12
    ),
0)</f>
        <v>0</v>
      </c>
      <c r="R12" t="s">
        <v>984</v>
      </c>
      <c r="S12" t="s">
        <v>985</v>
      </c>
      <c r="T12">
        <v>0</v>
      </c>
    </row>
    <row r="13" spans="1:32">
      <c r="A13">
        <v>12</v>
      </c>
      <c r="B13" s="4" t="s">
        <v>25</v>
      </c>
      <c r="C13" s="1">
        <v>0</v>
      </c>
      <c r="D13" s="1">
        <v>0</v>
      </c>
      <c r="E13" s="1">
        <v>0</v>
      </c>
      <c r="F13" s="1">
        <v>0</v>
      </c>
      <c r="G13" s="1">
        <v>0</v>
      </c>
      <c r="H13" s="1">
        <v>0</v>
      </c>
      <c r="I13" s="1">
        <v>0</v>
      </c>
      <c r="J13" s="1">
        <v>0</v>
      </c>
      <c r="K13" s="1">
        <v>0</v>
      </c>
      <c r="L13" s="1">
        <v>0</v>
      </c>
      <c r="M13" s="6" t="str" cm="1">
        <f t="array" ref="M13">_xlfn.TEXTJOIN(", ",TRUE,
_xlfn._xlws.FILTER($R$2:$R$101,
ISNUMBER(SEARCH(LOWER($R$2:$R$101),LOWER(B13)))
))</f>
        <v>schapelle corby, corby</v>
      </c>
      <c r="N13">
        <f t="shared" si="0"/>
        <v>2</v>
      </c>
      <c r="O13" s="6" t="str" cm="1">
        <f t="array" ref="O13">_xlfn.TEXTJOIN(", ",TRUE,
_xlfn.UNIQUE(
_xlfn._xlws.FILTER($S$2:$S$200,
ISNUMBER(SEARCH(LOWER($R$2:$R$200),LOWER(B13)))
)
))</f>
        <v>Case Related, Familial based</v>
      </c>
      <c r="P13" cm="1">
        <f t="array" aca="1" ref="P13" ca="1">IFERROR(
    IF(N13=0, 0,
        SUMPRODUCT(
            N(
                _xlfn.IFNA(
                    VLOOKUP(
                        TRIM(MID(SUBSTITUTE(M13,",",REPT(" ",100)),
                        (ROW(INDIRECT("1:" &amp; LEN(M13)-LEN(SUBSTITUTE(M13,",","")) + 1))-1)*100 + 1, 100)),
                        $R$2:$T$101, 3, FALSE
                    ), 0)
            )
        ) / N13
    ),
0)</f>
        <v>0</v>
      </c>
      <c r="R13" t="s">
        <v>986</v>
      </c>
      <c r="S13" t="s">
        <v>985</v>
      </c>
      <c r="T13">
        <v>1</v>
      </c>
    </row>
    <row r="14" spans="1:32" ht="45.75">
      <c r="A14">
        <v>13</v>
      </c>
      <c r="B14" s="4" t="s">
        <v>26</v>
      </c>
      <c r="C14" s="1">
        <v>0</v>
      </c>
      <c r="D14" s="1">
        <v>0</v>
      </c>
      <c r="E14" s="1">
        <v>0</v>
      </c>
      <c r="F14" s="1">
        <v>0</v>
      </c>
      <c r="G14" s="1">
        <v>0</v>
      </c>
      <c r="H14" s="1">
        <v>0</v>
      </c>
      <c r="I14" s="1">
        <v>0</v>
      </c>
      <c r="J14" s="1">
        <v>0</v>
      </c>
      <c r="K14" s="1">
        <v>0</v>
      </c>
      <c r="L14" s="1">
        <v>0</v>
      </c>
      <c r="M14" s="6" t="str" cm="1">
        <f t="array" ref="M14">_xlfn.TEXTJOIN(", ",TRUE,
_xlfn._xlws.FILTER($R$2:$R$101,
ISNUMBER(SEARCH(LOWER($R$2:$R$101),LOWER(B14)))
))</f>
        <v xml:space="preserve">sentence </v>
      </c>
      <c r="N14">
        <f t="shared" si="0"/>
        <v>1</v>
      </c>
      <c r="O14" s="6" t="str" cm="1">
        <f t="array" ref="O14">_xlfn.TEXTJOIN(", ",TRUE,
_xlfn.UNIQUE(
_xlfn._xlws.FILTER($S$2:$S$200,
ISNUMBER(SEARCH(LOWER($R$2:$R$200),LOWER(B14)))
)
))</f>
        <v>Legality based</v>
      </c>
      <c r="P14" cm="1">
        <f t="array" aca="1" ref="P14" ca="1">IFERROR(
    IF(N14=0, 0,
        SUMPRODUCT(
            N(
                _xlfn.IFNA(
                    VLOOKUP(
                        TRIM(MID(SUBSTITUTE(M14,",",REPT(" ",100)),
                        (ROW(INDIRECT("1:" &amp; LEN(M14)-LEN(SUBSTITUTE(M14,",","")) + 1))-1)*100 + 1, 100)),
                        $R$2:$T$101, 3, FALSE
                    ), 0)
            )
        ) / N14
    ),
0)</f>
        <v>0</v>
      </c>
      <c r="R14" t="s">
        <v>987</v>
      </c>
      <c r="S14" t="s">
        <v>985</v>
      </c>
      <c r="T14">
        <v>1</v>
      </c>
    </row>
    <row r="15" spans="1:32" ht="45.75">
      <c r="A15">
        <v>14</v>
      </c>
      <c r="B15" s="4" t="s">
        <v>27</v>
      </c>
      <c r="C15" s="1">
        <v>0</v>
      </c>
      <c r="D15" s="1">
        <v>0</v>
      </c>
      <c r="E15" s="1">
        <v>0</v>
      </c>
      <c r="F15" s="1">
        <v>0</v>
      </c>
      <c r="G15" s="1">
        <v>0</v>
      </c>
      <c r="H15" s="1">
        <v>0</v>
      </c>
      <c r="I15" s="1">
        <v>0</v>
      </c>
      <c r="J15" s="1">
        <v>0</v>
      </c>
      <c r="K15" s="1">
        <v>0</v>
      </c>
      <c r="L15" s="1">
        <v>0</v>
      </c>
      <c r="M15" s="6" t="str" cm="1">
        <f t="array" ref="M15">_xlfn.TEXTJOIN(", ",TRUE,
_xlfn._xlws.FILTER($R$2:$R$101,
ISNUMBER(SEARCH(LOWER($R$2:$R$101),LOWER(B15)))
))</f>
        <v>schapelle corby, corby</v>
      </c>
      <c r="N15">
        <f t="shared" si="0"/>
        <v>2</v>
      </c>
      <c r="O15" s="6" t="str" cm="1">
        <f t="array" ref="O15">_xlfn.TEXTJOIN(", ",TRUE,
_xlfn.UNIQUE(
_xlfn._xlws.FILTER($S$2:$S$200,
ISNUMBER(SEARCH(LOWER($R$2:$R$200),LOWER(B15)))
)
))</f>
        <v>Case Related, Familial based</v>
      </c>
      <c r="P15" cm="1">
        <f t="array" aca="1" ref="P15" ca="1">IFERROR(
    IF(N15=0, 0,
        SUMPRODUCT(
            N(
                _xlfn.IFNA(
                    VLOOKUP(
                        TRIM(MID(SUBSTITUTE(M15,",",REPT(" ",100)),
                        (ROW(INDIRECT("1:" &amp; LEN(M15)-LEN(SUBSTITUTE(M15,",","")) + 1))-1)*100 + 1, 100)),
                        $R$2:$T$101, 3, FALSE
                    ), 0)
            )
        ) / N15
    ),
0)</f>
        <v>0</v>
      </c>
      <c r="R15" t="s">
        <v>988</v>
      </c>
      <c r="S15" t="s">
        <v>985</v>
      </c>
      <c r="T15">
        <v>0</v>
      </c>
    </row>
    <row r="16" spans="1:32">
      <c r="A16">
        <v>15</v>
      </c>
      <c r="B16" s="4" t="s">
        <v>28</v>
      </c>
      <c r="C16" s="1">
        <v>0</v>
      </c>
      <c r="D16" s="1">
        <v>0</v>
      </c>
      <c r="E16" s="1">
        <v>0</v>
      </c>
      <c r="F16" s="1">
        <v>0</v>
      </c>
      <c r="G16" s="1">
        <v>0</v>
      </c>
      <c r="H16" s="1">
        <v>0</v>
      </c>
      <c r="I16" s="1">
        <v>0</v>
      </c>
      <c r="J16" s="1">
        <v>0</v>
      </c>
      <c r="K16" s="1">
        <v>0</v>
      </c>
      <c r="L16" s="1">
        <v>0</v>
      </c>
      <c r="M16" s="6" t="str" cm="1">
        <f t="array" ref="M16">_xlfn.TEXTJOIN(", ",TRUE,
_xlfn._xlws.FILTER($R$2:$R$101,
ISNUMBER(SEARCH(LOWER($R$2:$R$101),LOWER(B16)))
))</f>
        <v>schapelle corby, corby</v>
      </c>
      <c r="N16">
        <f t="shared" si="0"/>
        <v>2</v>
      </c>
      <c r="O16" s="6" t="str" cm="1">
        <f t="array" ref="O16">_xlfn.TEXTJOIN(", ",TRUE,
_xlfn.UNIQUE(
_xlfn._xlws.FILTER($S$2:$S$200,
ISNUMBER(SEARCH(LOWER($R$2:$R$200),LOWER(B16)))
)
))</f>
        <v>Case Related, Familial based</v>
      </c>
      <c r="P16" cm="1">
        <f t="array" aca="1" ref="P16" ca="1">IFERROR(
    IF(N16=0, 0,
        SUMPRODUCT(
            N(
                _xlfn.IFNA(
                    VLOOKUP(
                        TRIM(MID(SUBSTITUTE(M16,",",REPT(" ",100)),
                        (ROW(INDIRECT("1:" &amp; LEN(M16)-LEN(SUBSTITUTE(M16,",","")) + 1))-1)*100 + 1, 100)),
                        $R$2:$T$101, 3, FALSE
                    ), 0)
            )
        ) / N16
    ),
0)</f>
        <v>0</v>
      </c>
      <c r="R16" t="s">
        <v>989</v>
      </c>
      <c r="S16" t="s">
        <v>985</v>
      </c>
      <c r="T16">
        <v>1</v>
      </c>
    </row>
    <row r="17" spans="1:20" ht="30.75">
      <c r="A17">
        <v>16</v>
      </c>
      <c r="B17" s="4" t="s">
        <v>29</v>
      </c>
      <c r="C17" s="1">
        <v>0.16666666699999999</v>
      </c>
      <c r="D17" s="1">
        <v>0.5</v>
      </c>
      <c r="E17" s="1">
        <v>0</v>
      </c>
      <c r="F17" s="1">
        <v>0</v>
      </c>
      <c r="G17" s="1">
        <v>1</v>
      </c>
      <c r="H17" s="1">
        <v>0</v>
      </c>
      <c r="I17" s="1">
        <v>0</v>
      </c>
      <c r="J17" s="1">
        <v>0</v>
      </c>
      <c r="K17" s="1">
        <v>0</v>
      </c>
      <c r="L17" s="1">
        <v>0</v>
      </c>
      <c r="M17" s="6" t="str" cm="1">
        <f t="array" ref="M17">_xlfn.TEXTJOIN(", ",TRUE,
_xlfn._xlws.FILTER($R$2:$R$101,
ISNUMBER(SEARCH(LOWER($R$2:$R$101),LOWER(B17)))
))</f>
        <v>schapelle corby, australian, australia, af, corby, AFP</v>
      </c>
      <c r="N17">
        <f t="shared" si="0"/>
        <v>6</v>
      </c>
      <c r="O17" s="6" t="str" cm="1">
        <f t="array" ref="O17">_xlfn.TEXTJOIN(", ",TRUE,
_xlfn.UNIQUE(
_xlfn._xlws.FILTER($S$2:$S$200,
ISNUMBER(SEARCH(LOWER($R$2:$R$200),LOWER(B17)))
)
))</f>
        <v>Case Related, Intelligence based, Familial based, Authority based</v>
      </c>
      <c r="P17" cm="1">
        <f t="array" aca="1" ref="P17" ca="1">IFERROR(
    IF(N17=0, 0,
        SUMPRODUCT(
            N(
                _xlfn.IFNA(
                    VLOOKUP(
                        TRIM(MID(SUBSTITUTE(M17,",",REPT(" ",100)),
                        (ROW(INDIRECT("1:" &amp; LEN(M17)-LEN(SUBSTITUTE(M17,",","")) + 1))-1)*100 + 1, 100)),
                        $R$2:$T$101, 3, FALSE
                    ), 0)
            )
        ) / N17
    ),
0)</f>
        <v>0.16666666666666666</v>
      </c>
      <c r="R17" t="s">
        <v>990</v>
      </c>
      <c r="S17" t="s">
        <v>985</v>
      </c>
      <c r="T17">
        <v>2</v>
      </c>
    </row>
    <row r="18" spans="1:20" ht="30.75">
      <c r="A18">
        <v>17</v>
      </c>
      <c r="B18" s="4" t="s">
        <v>30</v>
      </c>
      <c r="C18" s="1">
        <v>0</v>
      </c>
      <c r="D18" s="1">
        <v>0</v>
      </c>
      <c r="E18" s="1">
        <v>0</v>
      </c>
      <c r="F18" s="1">
        <v>0</v>
      </c>
      <c r="G18" s="1">
        <v>0</v>
      </c>
      <c r="H18" s="1">
        <v>0</v>
      </c>
      <c r="I18" s="1">
        <v>0</v>
      </c>
      <c r="J18" s="1">
        <v>0</v>
      </c>
      <c r="K18" s="1">
        <v>0</v>
      </c>
      <c r="L18" s="1">
        <v>0</v>
      </c>
      <c r="M18" s="6" t="str" cm="1">
        <f t="array" ref="M18">_xlfn.TEXTJOIN(", ",TRUE,
_xlfn._xlws.FILTER($R$2:$R$101,
ISNUMBER(SEARCH(LOWER($R$2:$R$101),LOWER(B18)))
))</f>
        <v>schapelle corby, sister, mercedes, corby</v>
      </c>
      <c r="N18">
        <f t="shared" si="0"/>
        <v>4</v>
      </c>
      <c r="O18" s="6" t="str" cm="1">
        <f t="array" ref="O18">_xlfn.TEXTJOIN(", ",TRUE,
_xlfn.UNIQUE(
_xlfn._xlws.FILTER($S$2:$S$200,
ISNUMBER(SEARCH(LOWER($R$2:$R$200),LOWER(B18)))
)
))</f>
        <v>Case Related, Familial based</v>
      </c>
      <c r="P18" cm="1">
        <f t="array" aca="1" ref="P18" ca="1">IFERROR(
    IF(N18=0, 0,
        SUMPRODUCT(
            N(
                _xlfn.IFNA(
                    VLOOKUP(
                        TRIM(MID(SUBSTITUTE(M18,",",REPT(" ",100)),
                        (ROW(INDIRECT("1:" &amp; LEN(M18)-LEN(SUBSTITUTE(M18,",","")) + 1))-1)*100 + 1, 100)),
                        $R$2:$T$101, 3, FALSE
                    ), 0)
            )
        ) / N18
    ),
0)</f>
        <v>0</v>
      </c>
      <c r="R18" t="s">
        <v>991</v>
      </c>
      <c r="S18" t="s">
        <v>985</v>
      </c>
      <c r="T18">
        <v>1</v>
      </c>
    </row>
    <row r="19" spans="1:20" ht="30.75">
      <c r="A19">
        <v>18</v>
      </c>
      <c r="B19" s="4" t="s">
        <v>31</v>
      </c>
      <c r="C19" s="1">
        <v>1.2</v>
      </c>
      <c r="D19" s="1">
        <v>3.6</v>
      </c>
      <c r="E19" s="1">
        <v>0</v>
      </c>
      <c r="F19" s="1">
        <v>0</v>
      </c>
      <c r="G19" s="1">
        <v>3</v>
      </c>
      <c r="H19" s="1">
        <v>0</v>
      </c>
      <c r="I19" s="1">
        <v>3</v>
      </c>
      <c r="J19" s="1">
        <v>0</v>
      </c>
      <c r="K19" s="1">
        <v>0</v>
      </c>
      <c r="L19" s="1">
        <v>0</v>
      </c>
      <c r="M19" s="6" t="str" cm="1">
        <f t="array" ref="M19">_xlfn.TEXTJOIN(", ",TRUE,
_xlfn._xlws.FILTER($R$2:$R$101,
ISNUMBER(SEARCH(LOWER($R$2:$R$101),LOWER(B19)))
))</f>
        <v>schapelle corby, dumb, corby, bogan, innocent</v>
      </c>
      <c r="N19">
        <f t="shared" si="0"/>
        <v>5</v>
      </c>
      <c r="O19" s="6" t="str" cm="1">
        <f t="array" ref="O19">_xlfn.TEXTJOIN(", ",TRUE,
_xlfn.UNIQUE(
_xlfn._xlws.FILTER($S$2:$S$200,
ISNUMBER(SEARCH(LOWER($R$2:$R$200),LOWER(B19)))
)
))</f>
        <v>Case Related, Intelligence based, Familial based, Class based, Legality based</v>
      </c>
      <c r="P19" cm="1">
        <f t="array" aca="1" ref="P19" ca="1">IFERROR(
    IF(N19=0, 0,
        SUMPRODUCT(
            N(
                _xlfn.IFNA(
                    VLOOKUP(
                        TRIM(MID(SUBSTITUTE(M19,",",REPT(" ",100)),
                        (ROW(INDIRECT("1:" &amp; LEN(M19)-LEN(SUBSTITUTE(M19,",","")) + 1))-1)*100 + 1, 100)),
                        $R$2:$T$101, 3, FALSE
                    ), 0)
            )
        ) / N19
    ),
0)</f>
        <v>1.2</v>
      </c>
      <c r="R19" t="s">
        <v>992</v>
      </c>
      <c r="S19" t="s">
        <v>985</v>
      </c>
      <c r="T19">
        <v>1</v>
      </c>
    </row>
    <row r="20" spans="1:20" ht="45.75">
      <c r="A20">
        <v>19</v>
      </c>
      <c r="B20" s="4" t="s">
        <v>32</v>
      </c>
      <c r="C20" s="10">
        <v>0.6</v>
      </c>
      <c r="D20" s="1">
        <v>0</v>
      </c>
      <c r="E20" s="1">
        <v>0</v>
      </c>
      <c r="F20" s="1">
        <v>1.5</v>
      </c>
      <c r="G20" s="1">
        <v>0</v>
      </c>
      <c r="H20" s="1">
        <v>0</v>
      </c>
      <c r="I20" s="1">
        <v>0</v>
      </c>
      <c r="J20" s="1">
        <v>0</v>
      </c>
      <c r="K20" s="1">
        <v>0</v>
      </c>
      <c r="L20" s="1">
        <v>0</v>
      </c>
      <c r="M20" s="6" t="str" cm="1">
        <f t="array" ref="M20">_xlfn.TEXTJOIN(", ",TRUE,
_xlfn._xlws.FILTER($R$2:$R$101,
ISNUMBER(SEARCH(LOWER($R$2:$R$101),LOWER(B20)))
))</f>
        <v>schapelle corby, boogie board, bribed, corby</v>
      </c>
      <c r="N20">
        <f t="shared" si="0"/>
        <v>4</v>
      </c>
      <c r="O20" s="6" t="str" cm="1">
        <f t="array" ref="O20">_xlfn.TEXTJOIN(", ",TRUE,
_xlfn.UNIQUE(
_xlfn._xlws.FILTER($S$2:$S$200,
ISNUMBER(SEARCH(LOWER($R$2:$R$200),LOWER(B20)))
)
))</f>
        <v>Case Related, Crime based, Familial based</v>
      </c>
      <c r="P20" cm="1">
        <f t="array" aca="1" ref="P20" ca="1">IFERROR(
    IF(N20=0, 0,
        SUMPRODUCT(
            N(
                _xlfn.IFNA(
                    VLOOKUP(
                        TRIM(MID(SUBSTITUTE(M20,",",REPT(" ",100)),
                        (ROW(INDIRECT("1:" &amp; LEN(M20)-LEN(SUBSTITUTE(M20,",","")) + 1))-1)*100 + 1, 100)),
                        $R$2:$T$101, 3, FALSE
                    ), 0)
            )
        ) / N20
    ),
0)</f>
        <v>0.5</v>
      </c>
      <c r="R20" t="s">
        <v>993</v>
      </c>
      <c r="S20" t="s">
        <v>985</v>
      </c>
      <c r="T20">
        <v>0</v>
      </c>
    </row>
    <row r="21" spans="1:20" ht="30.75">
      <c r="A21">
        <v>20</v>
      </c>
      <c r="B21" s="4" t="s">
        <v>33</v>
      </c>
      <c r="C21" s="1">
        <v>0</v>
      </c>
      <c r="D21" s="1">
        <v>0</v>
      </c>
      <c r="E21" s="1">
        <v>0</v>
      </c>
      <c r="F21" s="1">
        <v>0</v>
      </c>
      <c r="G21" s="1">
        <v>0</v>
      </c>
      <c r="H21" s="1">
        <v>0</v>
      </c>
      <c r="I21" s="1">
        <v>0</v>
      </c>
      <c r="J21" s="1">
        <v>0</v>
      </c>
      <c r="K21" s="1">
        <v>0</v>
      </c>
      <c r="L21" s="1">
        <v>0</v>
      </c>
      <c r="N21" t="str">
        <f>IF(M21="","0",LEN(M21)-LEN(SUBSTITUTE(M21,",",""))+1)</f>
        <v>0</v>
      </c>
      <c r="O21" s="6" t="str" cm="1">
        <f t="array" ref="O21">_xlfn.TEXTJOIN(", ",TRUE,
_xlfn.UNIQUE(
_xlfn._xlws.FILTER($S$2:$S$200,
ISNUMBER(SEARCH(LOWER($R$2:$R$200),LOWER(B21)))
)
))</f>
        <v/>
      </c>
      <c r="P21" cm="1">
        <f t="array" aca="1" ref="P21" ca="1">IFERROR(
    IF(N21=0, 0,
        SUMPRODUCT(
            N(
                _xlfn.IFNA(
                    VLOOKUP(
                        TRIM(MID(SUBSTITUTE(M21,",",REPT(" ",100)),
                        (ROW(INDIRECT("1:" &amp; LEN(M21)-LEN(SUBSTITUTE(M21,",","")) + 1))-1)*100 + 1, 100)),
                        $R$2:$T$101, 3, FALSE
                    ), 0)
            )
        ) / N21
    ),
0)</f>
        <v>0</v>
      </c>
      <c r="R21" t="s">
        <v>994</v>
      </c>
      <c r="S21" t="s">
        <v>985</v>
      </c>
      <c r="T21">
        <v>0</v>
      </c>
    </row>
    <row r="22" spans="1:20" ht="45.75">
      <c r="A22">
        <v>21</v>
      </c>
      <c r="B22" s="4" t="s">
        <v>34</v>
      </c>
      <c r="C22" s="1">
        <v>2</v>
      </c>
      <c r="D22" s="1">
        <v>6</v>
      </c>
      <c r="E22" s="1">
        <v>0</v>
      </c>
      <c r="F22" s="1">
        <v>0</v>
      </c>
      <c r="G22" s="1">
        <v>0</v>
      </c>
      <c r="H22" s="1">
        <v>0</v>
      </c>
      <c r="I22" s="1">
        <v>2</v>
      </c>
      <c r="J22" s="1">
        <v>0</v>
      </c>
      <c r="K22" s="1">
        <v>0</v>
      </c>
      <c r="L22" s="1">
        <v>0</v>
      </c>
      <c r="M22" s="6" t="str" cm="1">
        <f t="array" ref="M22">_xlfn.TEXTJOIN(", ",TRUE,
_xlfn._xlws.FILTER($R$2:$R$101,
ISNUMBER(SEARCH(LOWER($R$2:$R$101),LOWER(B22)))
))</f>
        <v>bitch, defensive</v>
      </c>
      <c r="N22">
        <f t="shared" si="0"/>
        <v>2</v>
      </c>
      <c r="O22" s="6" t="str" cm="1">
        <f t="array" ref="O22">_xlfn.TEXTJOIN(", ",TRUE,
_xlfn.UNIQUE(
_xlfn._xlws.FILTER($S$2:$S$200,
ISNUMBER(SEARCH(LOWER($R$2:$R$200),LOWER(B22)))
)
))</f>
        <v>Class based</v>
      </c>
      <c r="P22" cm="1">
        <f t="array" aca="1" ref="P22" ca="1">IFERROR(
    IF(N22=0, 0,
        SUMPRODUCT(
            N(
                _xlfn.IFNA(
                    VLOOKUP(
                        TRIM(MID(SUBSTITUTE(M22,",",REPT(" ",100)),
                        (ROW(INDIRECT("1:" &amp; LEN(M22)-LEN(SUBSTITUTE(M22,",","")) + 1))-1)*100 + 1, 100)),
                        $R$2:$T$101, 3, FALSE
                    ), 0)
            )
        ) / N22
    ),
0)</f>
        <v>2</v>
      </c>
      <c r="R22" t="s">
        <v>995</v>
      </c>
      <c r="S22" t="s">
        <v>985</v>
      </c>
      <c r="T22">
        <v>0</v>
      </c>
    </row>
    <row r="23" spans="1:20" ht="45.75">
      <c r="A23">
        <v>22</v>
      </c>
      <c r="B23" s="4" t="s">
        <v>35</v>
      </c>
      <c r="C23" s="1">
        <v>0.28571428599999998</v>
      </c>
      <c r="D23" s="1">
        <v>0.428571429</v>
      </c>
      <c r="E23" s="1">
        <v>0</v>
      </c>
      <c r="F23" s="1">
        <v>0.5</v>
      </c>
      <c r="G23" s="1">
        <v>1</v>
      </c>
      <c r="H23" s="1">
        <v>0</v>
      </c>
      <c r="I23" s="1">
        <v>0</v>
      </c>
      <c r="J23" s="1">
        <v>0</v>
      </c>
      <c r="K23" s="1">
        <v>0</v>
      </c>
      <c r="L23" s="1">
        <v>0</v>
      </c>
      <c r="M23" s="6" t="str" cm="1">
        <f t="array" ref="M23">_xlfn.TEXTJOIN(", ",TRUE,
_xlfn._xlws.FILTER($R$2:$R$101,
ISNUMBER(SEARCH(LOWER($R$2:$R$101),LOWER(B23)))
))</f>
        <v>schapelle corby, drugs, drug trafficking, af, corby, innocent, reasonable doubt</v>
      </c>
      <c r="N23">
        <f t="shared" si="0"/>
        <v>7</v>
      </c>
      <c r="O23" s="6" t="str" cm="1">
        <f t="array" ref="O23">_xlfn.TEXTJOIN(", ",TRUE,
_xlfn.UNIQUE(
_xlfn._xlws.FILTER($S$2:$S$200,
ISNUMBER(SEARCH(LOWER($R$2:$R$200),LOWER(B23)))
)
))</f>
        <v>Case Related, Crime based, Intelligence based, Familial based, Legality based</v>
      </c>
      <c r="P23" cm="1">
        <f t="array" aca="1" ref="P23" ca="1">IFERROR(
    IF(N23=0, 0,
        SUMPRODUCT(
            N(
                _xlfn.IFNA(
                    VLOOKUP(
                        TRIM(MID(SUBSTITUTE(M23,",",REPT(" ",100)),
                        (ROW(INDIRECT("1:" &amp; LEN(M23)-LEN(SUBSTITUTE(M23,",","")) + 1))-1)*100 + 1, 100)),
                        $R$2:$T$101, 3, FALSE
                    ), 0)
            )
        ) / N23
    ),
0)</f>
        <v>0.2857142857142857</v>
      </c>
      <c r="R23" t="s">
        <v>972</v>
      </c>
      <c r="S23" t="s">
        <v>985</v>
      </c>
      <c r="T23">
        <v>0</v>
      </c>
    </row>
    <row r="24" spans="1:20" ht="45.75">
      <c r="A24">
        <v>23</v>
      </c>
      <c r="B24" s="4" t="s">
        <v>35</v>
      </c>
      <c r="C24" s="1">
        <v>0.28571428599999998</v>
      </c>
      <c r="D24" s="1">
        <v>0.428571429</v>
      </c>
      <c r="E24" s="1">
        <v>0</v>
      </c>
      <c r="F24" s="1">
        <v>0.5</v>
      </c>
      <c r="G24" s="1">
        <v>1</v>
      </c>
      <c r="H24" s="1">
        <v>0</v>
      </c>
      <c r="I24" s="1">
        <v>0</v>
      </c>
      <c r="J24" s="1">
        <v>0</v>
      </c>
      <c r="K24" s="1">
        <v>0</v>
      </c>
      <c r="L24" s="1">
        <v>0</v>
      </c>
      <c r="M24" s="6" t="str" cm="1">
        <f t="array" ref="M24">_xlfn.TEXTJOIN(", ",TRUE,
_xlfn._xlws.FILTER($R$2:$R$101,
ISNUMBER(SEARCH(LOWER($R$2:$R$101),LOWER(B24)))
))</f>
        <v>schapelle corby, drugs, drug trafficking, af, corby, innocent, reasonable doubt</v>
      </c>
      <c r="N24">
        <f t="shared" si="0"/>
        <v>7</v>
      </c>
      <c r="O24" s="6" t="str" cm="1">
        <f t="array" ref="O24">_xlfn.TEXTJOIN(", ",TRUE,
_xlfn.UNIQUE(
_xlfn._xlws.FILTER($S$2:$S$200,
ISNUMBER(SEARCH(LOWER($R$2:$R$200),LOWER(B24)))
)
))</f>
        <v>Case Related, Crime based, Intelligence based, Familial based, Legality based</v>
      </c>
      <c r="P24" cm="1">
        <f t="array" aca="1" ref="P24" ca="1">IFERROR(
    IF(N24=0, 0,
        SUMPRODUCT(
            N(
                _xlfn.IFNA(
                    VLOOKUP(
                        TRIM(MID(SUBSTITUTE(M24,",",REPT(" ",100)),
                        (ROW(INDIRECT("1:" &amp; LEN(M24)-LEN(SUBSTITUTE(M24,",","")) + 1))-1)*100 + 1, 100)),
                        $R$2:$T$101, 3, FALSE
                    ), 0)
            )
        ) / N24
    ),
0)</f>
        <v>0.2857142857142857</v>
      </c>
      <c r="R24" t="s">
        <v>996</v>
      </c>
      <c r="S24" t="s">
        <v>985</v>
      </c>
      <c r="T24">
        <v>0</v>
      </c>
    </row>
    <row r="25" spans="1:20" ht="30.75">
      <c r="A25">
        <v>24</v>
      </c>
      <c r="B25" s="4" t="s">
        <v>36</v>
      </c>
      <c r="C25" s="1">
        <v>0.33333333300000001</v>
      </c>
      <c r="D25" s="1">
        <v>1</v>
      </c>
      <c r="E25" s="1">
        <v>0</v>
      </c>
      <c r="F25" s="1">
        <v>0</v>
      </c>
      <c r="G25" s="1">
        <v>1</v>
      </c>
      <c r="H25" s="1">
        <v>0</v>
      </c>
      <c r="I25" s="1">
        <v>0</v>
      </c>
      <c r="J25" s="1">
        <v>0</v>
      </c>
      <c r="K25" s="1">
        <v>0</v>
      </c>
      <c r="L25" s="1"/>
      <c r="M25" s="6" t="str" cm="1">
        <f t="array" ref="M25">_xlfn.TEXTJOIN(", ",TRUE,
_xlfn._xlws.FILTER($R$2:$R$101,
ISNUMBER(SEARCH(LOWER($R$2:$R$101),LOWER(B25)))
))</f>
        <v>schapelle corby, af, corby</v>
      </c>
      <c r="N25">
        <f t="shared" si="0"/>
        <v>3</v>
      </c>
      <c r="O25" s="6" t="str" cm="1">
        <f t="array" ref="O25">_xlfn.TEXTJOIN(", ",TRUE,
_xlfn.UNIQUE(
_xlfn._xlws.FILTER($S$2:$S$200,
ISNUMBER(SEARCH(LOWER($R$2:$R$200),LOWER(B25)))
)
))</f>
        <v>Case Related, Intelligence based, Familial based</v>
      </c>
      <c r="P25" cm="1">
        <f t="array" aca="1" ref="P25" ca="1">IFERROR(
    IF(N25=0, 0,
        SUMPRODUCT(
            N(
                _xlfn.IFNA(
                    VLOOKUP(
                        TRIM(MID(SUBSTITUTE(M25,",",REPT(" ",100)),
                        (ROW(INDIRECT("1:" &amp; LEN(M25)-LEN(SUBSTITUTE(M25,",","")) + 1))-1)*100 + 1, 100)),
                        $R$2:$T$101, 3, FALSE
                    ), 0)
            )
        ) / N25
    ),
0)</f>
        <v>0.33333333333333331</v>
      </c>
      <c r="R25" t="s">
        <v>997</v>
      </c>
      <c r="S25" t="s">
        <v>985</v>
      </c>
      <c r="T25">
        <v>0</v>
      </c>
    </row>
    <row r="26" spans="1:20">
      <c r="A26">
        <v>25</v>
      </c>
      <c r="B26" s="4" t="s">
        <v>38</v>
      </c>
      <c r="C26" s="1">
        <v>0</v>
      </c>
      <c r="D26" s="1">
        <v>0</v>
      </c>
      <c r="E26" s="1">
        <v>0</v>
      </c>
      <c r="F26" s="1">
        <v>0</v>
      </c>
      <c r="G26" s="1">
        <v>0</v>
      </c>
      <c r="H26" s="1">
        <v>0</v>
      </c>
      <c r="I26" s="1">
        <v>0</v>
      </c>
      <c r="J26" s="1">
        <v>0</v>
      </c>
      <c r="K26" s="1">
        <v>0</v>
      </c>
      <c r="L26" s="1">
        <v>0</v>
      </c>
      <c r="M26" s="6" t="str" cm="1">
        <f t="array" ref="M26">_xlfn.TEXTJOIN(", ",TRUE,
_xlfn._xlws.FILTER($R$2:$R$101,
ISNUMBER(SEARCH(LOWER($R$2:$R$101),LOWER(B26)))
))</f>
        <v>schapelle corby, corby</v>
      </c>
      <c r="N26">
        <f t="shared" si="0"/>
        <v>2</v>
      </c>
      <c r="O26" s="6" t="str" cm="1">
        <f t="array" ref="O26">_xlfn.TEXTJOIN(", ",TRUE,
_xlfn.UNIQUE(
_xlfn._xlws.FILTER($S$2:$S$200,
ISNUMBER(SEARCH(LOWER($R$2:$R$200),LOWER(B26)))
)
))</f>
        <v>Case Related, Familial based</v>
      </c>
      <c r="P26" cm="1">
        <f t="array" aca="1" ref="P26" ca="1">IFERROR(
    IF(N26=0, 0,
        SUMPRODUCT(
            N(
                _xlfn.IFNA(
                    VLOOKUP(
                        TRIM(MID(SUBSTITUTE(M26,",",REPT(" ",100)),
                        (ROW(INDIRECT("1:" &amp; LEN(M26)-LEN(SUBSTITUTE(M26,",","")) + 1))-1)*100 + 1, 100)),
                        $R$2:$T$101, 3, FALSE
                    ), 0)
            )
        ) / N26
    ),
0)</f>
        <v>0</v>
      </c>
      <c r="R26" t="s">
        <v>998</v>
      </c>
      <c r="S26" t="s">
        <v>985</v>
      </c>
      <c r="T26">
        <v>0</v>
      </c>
    </row>
    <row r="27" spans="1:20" ht="30.75">
      <c r="A27">
        <v>26</v>
      </c>
      <c r="B27" s="4" t="s">
        <v>40</v>
      </c>
      <c r="C27" s="1">
        <v>0</v>
      </c>
      <c r="D27" s="1">
        <v>0</v>
      </c>
      <c r="E27" s="1">
        <v>0</v>
      </c>
      <c r="F27" s="1">
        <v>0</v>
      </c>
      <c r="G27" s="1">
        <v>0</v>
      </c>
      <c r="H27" s="1">
        <v>0</v>
      </c>
      <c r="I27" s="1">
        <v>0</v>
      </c>
      <c r="J27" s="1">
        <v>0</v>
      </c>
      <c r="K27" s="1">
        <v>0</v>
      </c>
      <c r="L27" s="1">
        <v>0</v>
      </c>
      <c r="M27" s="6" t="str" cm="1">
        <f t="array" ref="M27">_xlfn.TEXTJOIN(", ",TRUE,
_xlfn._xlws.FILTER($R$2:$R$101,
ISNUMBER(SEARCH(LOWER($R$2:$R$101),LOWER(B27)))
))</f>
        <v>schapelle corby, boogie board, corby</v>
      </c>
      <c r="N27">
        <f t="shared" si="0"/>
        <v>3</v>
      </c>
      <c r="O27" s="6" t="str" cm="1">
        <f t="array" ref="O27">_xlfn.TEXTJOIN(", ",TRUE,
_xlfn.UNIQUE(
_xlfn._xlws.FILTER($S$2:$S$200,
ISNUMBER(SEARCH(LOWER($R$2:$R$200),LOWER(B27)))
)
))</f>
        <v>Case Related, Familial based</v>
      </c>
      <c r="P27" cm="1">
        <f t="array" aca="1" ref="P27" ca="1">IFERROR(
    IF(N27=0, 0,
        SUMPRODUCT(
            N(
                _xlfn.IFNA(
                    VLOOKUP(
                        TRIM(MID(SUBSTITUTE(M27,",",REPT(" ",100)),
                        (ROW(INDIRECT("1:" &amp; LEN(M27)-LEN(SUBSTITUTE(M27,",","")) + 1))-1)*100 + 1, 100)),
                        $R$2:$T$101, 3, FALSE
                    ), 0)
            )
        ) / N27
    ),
0)</f>
        <v>0</v>
      </c>
      <c r="R27" t="s">
        <v>999</v>
      </c>
      <c r="S27" t="s">
        <v>985</v>
      </c>
      <c r="T27">
        <v>0</v>
      </c>
    </row>
    <row r="28" spans="1:20" ht="45.75">
      <c r="A28">
        <v>27</v>
      </c>
      <c r="B28" s="4" t="s">
        <v>42</v>
      </c>
      <c r="C28" s="1">
        <v>0</v>
      </c>
      <c r="D28" s="1">
        <v>0</v>
      </c>
      <c r="E28" s="1">
        <v>0</v>
      </c>
      <c r="F28" s="1">
        <v>0</v>
      </c>
      <c r="G28" s="1">
        <v>0</v>
      </c>
      <c r="H28" s="1">
        <v>0</v>
      </c>
      <c r="I28" s="1">
        <v>0</v>
      </c>
      <c r="J28" s="1">
        <v>0</v>
      </c>
      <c r="K28" s="1">
        <v>0</v>
      </c>
      <c r="L28" s="1">
        <v>0</v>
      </c>
      <c r="M28" s="6" t="str" cm="1">
        <f t="array" ref="M28">_xlfn.TEXTJOIN(", ",TRUE,
_xlfn._xlws.FILTER($R$2:$R$101,
ISNUMBER(SEARCH(LOWER($R$2:$R$101),LOWER(B28)))
))</f>
        <v>schapelle corby, corby</v>
      </c>
      <c r="N28">
        <f t="shared" si="0"/>
        <v>2</v>
      </c>
      <c r="O28" s="6" t="str" cm="1">
        <f t="array" ref="O28">_xlfn.TEXTJOIN(", ",TRUE,
_xlfn.UNIQUE(
_xlfn._xlws.FILTER($S$2:$S$200,
ISNUMBER(SEARCH(LOWER($R$2:$R$200),LOWER(B28)))
)
))</f>
        <v>Case Related, Familial based</v>
      </c>
      <c r="P28" cm="1">
        <f t="array" aca="1" ref="P28" ca="1">IFERROR(
    IF(N28=0, 0,
        SUMPRODUCT(
            N(
                _xlfn.IFNA(
                    VLOOKUP(
                        TRIM(MID(SUBSTITUTE(M28,",",REPT(" ",100)),
                        (ROW(INDIRECT("1:" &amp; LEN(M28)-LEN(SUBSTITUTE(M28,",","")) + 1))-1)*100 + 1, 100)),
                        $R$2:$T$101, 3, FALSE
                    ), 0)
            )
        ) / N28
    ),
0)</f>
        <v>0</v>
      </c>
      <c r="R28" t="s">
        <v>1000</v>
      </c>
      <c r="S28" t="s">
        <v>985</v>
      </c>
      <c r="T28">
        <v>2</v>
      </c>
    </row>
    <row r="29" spans="1:20" ht="60.75">
      <c r="A29">
        <v>28</v>
      </c>
      <c r="B29" s="4" t="s">
        <v>44</v>
      </c>
      <c r="C29" s="1">
        <v>0</v>
      </c>
      <c r="D29" s="1">
        <v>0</v>
      </c>
      <c r="E29" s="1">
        <v>0</v>
      </c>
      <c r="F29" s="1">
        <v>0</v>
      </c>
      <c r="G29" s="1">
        <v>0</v>
      </c>
      <c r="H29" s="1">
        <v>0</v>
      </c>
      <c r="I29" s="1">
        <v>0</v>
      </c>
      <c r="J29" s="1">
        <v>0</v>
      </c>
      <c r="K29" s="1">
        <v>0</v>
      </c>
      <c r="L29" s="1">
        <v>0</v>
      </c>
      <c r="M29" s="6" t="str" cm="1">
        <f t="array" ref="M29">_xlfn.TEXTJOIN(", ",TRUE,
_xlfn._xlws.FILTER($R$2:$R$101,
ISNUMBER(SEARCH(LOWER($R$2:$R$101),LOWER(B29)))
))</f>
        <v>schapelle corby, australian, australia, corby</v>
      </c>
      <c r="N29">
        <f t="shared" si="0"/>
        <v>4</v>
      </c>
      <c r="O29" s="6" t="str" cm="1">
        <f t="array" ref="O29">_xlfn.TEXTJOIN(", ",TRUE,
_xlfn.UNIQUE(
_xlfn._xlws.FILTER($S$2:$S$200,
ISNUMBER(SEARCH(LOWER($R$2:$R$200),LOWER(B29)))
)
))</f>
        <v>Case Related, Familial based</v>
      </c>
      <c r="P29" cm="1">
        <f t="array" aca="1" ref="P29" ca="1">IFERROR(
    IF(N29=0, 0,
        SUMPRODUCT(
            N(
                _xlfn.IFNA(
                    VLOOKUP(
                        TRIM(MID(SUBSTITUTE(M29,",",REPT(" ",100)),
                        (ROW(INDIRECT("1:" &amp; LEN(M29)-LEN(SUBSTITUTE(M29,",","")) + 1))-1)*100 + 1, 100)),
                        $R$2:$T$101, 3, FALSE
                    ), 0)
            )
        ) / N29
    ),
0)</f>
        <v>0</v>
      </c>
      <c r="R29" t="s">
        <v>1001</v>
      </c>
      <c r="S29" t="s">
        <v>985</v>
      </c>
      <c r="T29">
        <v>0</v>
      </c>
    </row>
    <row r="30" spans="1:20" ht="30.75">
      <c r="A30">
        <v>29</v>
      </c>
      <c r="B30" s="4" t="s">
        <v>46</v>
      </c>
      <c r="C30" s="1">
        <v>0</v>
      </c>
      <c r="D30" s="1">
        <v>0</v>
      </c>
      <c r="E30" s="1">
        <v>0</v>
      </c>
      <c r="F30" s="1">
        <v>0</v>
      </c>
      <c r="G30" s="1">
        <v>0</v>
      </c>
      <c r="H30" s="1">
        <v>0</v>
      </c>
      <c r="I30" s="1">
        <v>0</v>
      </c>
      <c r="J30" s="1">
        <v>0</v>
      </c>
      <c r="K30" s="1">
        <v>0</v>
      </c>
      <c r="L30" s="1">
        <v>0</v>
      </c>
      <c r="M30" s="6" t="str" cm="1">
        <f t="array" ref="M30">_xlfn.TEXTJOIN(", ",TRUE,
_xlfn._xlws.FILTER($R$2:$R$101,
ISNUMBER(SEARCH(LOWER($R$2:$R$101),LOWER(B30)))
))</f>
        <v>schapelle corby, corby</v>
      </c>
      <c r="N30">
        <f t="shared" si="0"/>
        <v>2</v>
      </c>
      <c r="O30" s="6" t="str" cm="1">
        <f t="array" ref="O30">_xlfn.TEXTJOIN(", ",TRUE,
_xlfn.UNIQUE(
_xlfn._xlws.FILTER($S$2:$S$200,
ISNUMBER(SEARCH(LOWER($R$2:$R$200),LOWER(B30)))
)
))</f>
        <v>Case Related, Familial based</v>
      </c>
      <c r="P30" cm="1">
        <f t="array" aca="1" ref="P30" ca="1">IFERROR(
    IF(N30=0, 0,
        SUMPRODUCT(
            N(
                _xlfn.IFNA(
                    VLOOKUP(
                        TRIM(MID(SUBSTITUTE(M30,",",REPT(" ",100)),
                        (ROW(INDIRECT("1:" &amp; LEN(M30)-LEN(SUBSTITUTE(M30,",","")) + 1))-1)*100 + 1, 100)),
                        $R$2:$T$101, 3, FALSE
                    ), 0)
            )
        ) / N30
    ),
0)</f>
        <v>0</v>
      </c>
      <c r="R30" t="s">
        <v>1002</v>
      </c>
      <c r="S30" t="s">
        <v>985</v>
      </c>
      <c r="T30">
        <v>1</v>
      </c>
    </row>
    <row r="31" spans="1:20" ht="60.75">
      <c r="A31">
        <v>30</v>
      </c>
      <c r="B31" s="4" t="s">
        <v>48</v>
      </c>
      <c r="C31" s="1">
        <v>0</v>
      </c>
      <c r="D31" s="1">
        <v>0</v>
      </c>
      <c r="E31" s="1">
        <v>0</v>
      </c>
      <c r="F31" s="1">
        <v>0</v>
      </c>
      <c r="G31" s="1">
        <v>0</v>
      </c>
      <c r="H31" s="1">
        <v>0</v>
      </c>
      <c r="I31" s="1">
        <v>0</v>
      </c>
      <c r="J31" s="1">
        <v>0</v>
      </c>
      <c r="K31" s="1">
        <v>0</v>
      </c>
      <c r="L31" s="1">
        <v>0</v>
      </c>
      <c r="M31" s="6" t="str" cm="1">
        <f t="array" ref="M31">_xlfn.TEXTJOIN(", ",TRUE,
_xlfn._xlws.FILTER($R$2:$R$101,
ISNUMBER(SEARCH(LOWER($R$2:$R$101),LOWER(B31)))
))</f>
        <v>schapelle corby, corby, import</v>
      </c>
      <c r="N31">
        <f t="shared" si="0"/>
        <v>3</v>
      </c>
      <c r="O31" s="6" t="str" cm="1">
        <f t="array" ref="O31">_xlfn.TEXTJOIN(", ",TRUE,
_xlfn.UNIQUE(
_xlfn._xlws.FILTER($S$2:$S$200,
ISNUMBER(SEARCH(LOWER($R$2:$R$200),LOWER(B31)))
)
))</f>
        <v>Case Related, Familial based, Legality based</v>
      </c>
      <c r="P31" cm="1">
        <f t="array" aca="1" ref="P31" ca="1">IFERROR(
    IF(N31=0, 0,
        SUMPRODUCT(
            N(
                _xlfn.IFNA(
                    VLOOKUP(
                        TRIM(MID(SUBSTITUTE(M31,",",REPT(" ",100)),
                        (ROW(INDIRECT("1:" &amp; LEN(M31)-LEN(SUBSTITUTE(M31,",","")) + 1))-1)*100 + 1, 100)),
                        $R$2:$T$101, 3, FALSE
                    ), 0)
            )
        ) / N31
    ),
0)</f>
        <v>0</v>
      </c>
      <c r="R31" t="s">
        <v>1003</v>
      </c>
      <c r="S31" t="s">
        <v>985</v>
      </c>
      <c r="T31">
        <v>2</v>
      </c>
    </row>
    <row r="32" spans="1:20">
      <c r="A32">
        <v>31</v>
      </c>
      <c r="B32" s="4" t="s">
        <v>50</v>
      </c>
      <c r="C32" s="1">
        <v>0</v>
      </c>
      <c r="D32" s="1">
        <v>0</v>
      </c>
      <c r="E32" s="1">
        <v>0</v>
      </c>
      <c r="F32" s="1">
        <v>0</v>
      </c>
      <c r="G32" s="1">
        <v>0</v>
      </c>
      <c r="H32" s="1">
        <v>0</v>
      </c>
      <c r="I32" s="1">
        <v>0</v>
      </c>
      <c r="J32" s="1">
        <v>0</v>
      </c>
      <c r="K32" s="1">
        <v>0</v>
      </c>
      <c r="L32" s="1">
        <v>0</v>
      </c>
      <c r="M32" s="6" t="str" cm="1">
        <f t="array" ref="M32">_xlfn.TEXTJOIN(", ",TRUE,
_xlfn._xlws.FILTER($R$2:$R$101,
ISNUMBER(SEARCH(LOWER($R$2:$R$101),LOWER(B32)))
))</f>
        <v>schapelle corby, corby</v>
      </c>
      <c r="N32">
        <f t="shared" si="0"/>
        <v>2</v>
      </c>
      <c r="O32" s="6" t="str" cm="1">
        <f t="array" ref="O32">_xlfn.TEXTJOIN(", ",TRUE,
_xlfn.UNIQUE(
_xlfn._xlws.FILTER($S$2:$S$200,
ISNUMBER(SEARCH(LOWER($R$2:$R$200),LOWER(B32)))
)
))</f>
        <v>Case Related, Familial based</v>
      </c>
      <c r="P32" cm="1">
        <f t="array" aca="1" ref="P32" ca="1">IFERROR(
    IF(N32=0, 0,
        SUMPRODUCT(
            N(
                _xlfn.IFNA(
                    VLOOKUP(
                        TRIM(MID(SUBSTITUTE(M32,",",REPT(" ",100)),
                        (ROW(INDIRECT("1:" &amp; LEN(M32)-LEN(SUBSTITUTE(M32,",","")) + 1))-1)*100 + 1, 100)),
                        $R$2:$T$101, 3, FALSE
                    ), 0)
            )
        ) / N32
    ),
0)</f>
        <v>0</v>
      </c>
      <c r="R32" t="s">
        <v>1004</v>
      </c>
      <c r="S32" t="s">
        <v>985</v>
      </c>
      <c r="T32">
        <v>0</v>
      </c>
    </row>
    <row r="33" spans="1:20" ht="32.25">
      <c r="A33">
        <v>32</v>
      </c>
      <c r="B33" s="4" t="s">
        <v>52</v>
      </c>
      <c r="C33" s="1">
        <v>0</v>
      </c>
      <c r="D33" s="1">
        <v>0</v>
      </c>
      <c r="E33" s="1">
        <v>0</v>
      </c>
      <c r="F33" s="1">
        <v>0</v>
      </c>
      <c r="G33" s="1">
        <v>0</v>
      </c>
      <c r="H33" s="1">
        <v>0</v>
      </c>
      <c r="I33" s="1">
        <v>0</v>
      </c>
      <c r="J33" s="1">
        <v>0</v>
      </c>
      <c r="K33" s="1">
        <v>0</v>
      </c>
      <c r="L33" s="1">
        <v>0</v>
      </c>
      <c r="M33" s="6" t="str" cm="1">
        <f t="array" ref="M33">_xlfn.TEXTJOIN(", ",TRUE,
_xlfn._xlws.FILTER($R$2:$R$101,
ISNUMBER(SEARCH(LOWER($R$2:$R$101),LOWER(B33)))
))</f>
        <v>schapelle corby, corby</v>
      </c>
      <c r="N33">
        <f t="shared" si="0"/>
        <v>2</v>
      </c>
      <c r="O33" s="6" t="str" cm="1">
        <f t="array" ref="O33">_xlfn.TEXTJOIN(", ",TRUE,
_xlfn.UNIQUE(
_xlfn._xlws.FILTER($S$2:$S$200,
ISNUMBER(SEARCH(LOWER($R$2:$R$200),LOWER(B33)))
)
))</f>
        <v>Case Related, Familial based</v>
      </c>
      <c r="P33" cm="1">
        <f t="array" aca="1" ref="P33" ca="1">IFERROR(
    IF(N33=0, 0,
        SUMPRODUCT(
            N(
                _xlfn.IFNA(
                    VLOOKUP(
                        TRIM(MID(SUBSTITUTE(M33,",",REPT(" ",100)),
                        (ROW(INDIRECT("1:" &amp; LEN(M33)-LEN(SUBSTITUTE(M33,",","")) + 1))-1)*100 + 1, 100)),
                        $R$2:$T$101, 3, FALSE
                    ), 0)
            )
        ) / N33
    ),
0)</f>
        <v>0</v>
      </c>
      <c r="R33" t="s">
        <v>1005</v>
      </c>
      <c r="S33" t="s">
        <v>985</v>
      </c>
      <c r="T33">
        <v>1</v>
      </c>
    </row>
    <row r="34" spans="1:20">
      <c r="A34">
        <v>33</v>
      </c>
      <c r="B34" s="4" t="s">
        <v>54</v>
      </c>
      <c r="C34" s="1">
        <v>0</v>
      </c>
      <c r="D34" s="1">
        <v>0</v>
      </c>
      <c r="E34" s="1">
        <v>0</v>
      </c>
      <c r="F34" s="1">
        <v>0</v>
      </c>
      <c r="G34" s="1">
        <v>0</v>
      </c>
      <c r="H34" s="1">
        <v>0</v>
      </c>
      <c r="I34" s="1">
        <v>0</v>
      </c>
      <c r="J34" s="1">
        <v>0</v>
      </c>
      <c r="K34" s="1">
        <v>0</v>
      </c>
      <c r="L34" s="1">
        <v>0</v>
      </c>
      <c r="M34" s="6" t="str" cm="1">
        <f t="array" ref="M34">_xlfn.TEXTJOIN(", ",TRUE,
_xlfn._xlws.FILTER($R$2:$R$101,
ISNUMBER(SEARCH(LOWER($R$2:$R$101),LOWER(B34)))
))</f>
        <v>schapelle corby, corby</v>
      </c>
      <c r="N34">
        <f t="shared" si="0"/>
        <v>2</v>
      </c>
      <c r="O34" s="6" t="str" cm="1">
        <f t="array" ref="O34">_xlfn.TEXTJOIN(", ",TRUE,
_xlfn.UNIQUE(
_xlfn._xlws.FILTER($S$2:$S$200,
ISNUMBER(SEARCH(LOWER($R$2:$R$200),LOWER(B34)))
)
))</f>
        <v>Case Related, Familial based</v>
      </c>
      <c r="P34" cm="1">
        <f t="array" aca="1" ref="P34" ca="1">IFERROR(
    IF(N34=0, 0,
        SUMPRODUCT(
            N(
                _xlfn.IFNA(
                    VLOOKUP(
                        TRIM(MID(SUBSTITUTE(M34,",",REPT(" ",100)),
                        (ROW(INDIRECT("1:" &amp; LEN(M34)-LEN(SUBSTITUTE(M34,",","")) + 1))-1)*100 + 1, 100)),
                        $R$2:$T$101, 3, FALSE
                    ), 0)
            )
        ) / N34
    ),
0)</f>
        <v>0</v>
      </c>
      <c r="R34" t="s">
        <v>1006</v>
      </c>
      <c r="S34" t="s">
        <v>1007</v>
      </c>
      <c r="T34">
        <v>3</v>
      </c>
    </row>
    <row r="35" spans="1:20">
      <c r="A35">
        <v>34</v>
      </c>
      <c r="B35" s="4" t="s">
        <v>54</v>
      </c>
      <c r="C35" s="1">
        <v>0</v>
      </c>
      <c r="D35" s="1">
        <v>0</v>
      </c>
      <c r="E35" s="1">
        <v>0</v>
      </c>
      <c r="F35" s="1">
        <v>0</v>
      </c>
      <c r="G35" s="1">
        <v>0</v>
      </c>
      <c r="H35" s="1">
        <v>0</v>
      </c>
      <c r="I35" s="1">
        <v>0</v>
      </c>
      <c r="J35" s="1">
        <v>0</v>
      </c>
      <c r="K35" s="1">
        <v>0</v>
      </c>
      <c r="L35" s="1">
        <v>0</v>
      </c>
      <c r="M35" s="6" t="str" cm="1">
        <f t="array" ref="M35">_xlfn.TEXTJOIN(", ",TRUE,
_xlfn._xlws.FILTER($R$2:$R$101,
ISNUMBER(SEARCH(LOWER($R$2:$R$101),LOWER(B35)))
))</f>
        <v>schapelle corby, corby</v>
      </c>
      <c r="N35">
        <f t="shared" si="0"/>
        <v>2</v>
      </c>
      <c r="O35" s="6" t="str" cm="1">
        <f t="array" ref="O35">_xlfn.TEXTJOIN(", ",TRUE,
_xlfn.UNIQUE(
_xlfn._xlws.FILTER($S$2:$S$200,
ISNUMBER(SEARCH(LOWER($R$2:$R$200),LOWER(B35)))
)
))</f>
        <v>Case Related, Familial based</v>
      </c>
      <c r="P35" cm="1">
        <f t="array" aca="1" ref="P35" ca="1">IFERROR(
    IF(N35=0, 0,
        SUMPRODUCT(
            N(
                _xlfn.IFNA(
                    VLOOKUP(
                        TRIM(MID(SUBSTITUTE(M35,",",REPT(" ",100)),
                        (ROW(INDIRECT("1:" &amp; LEN(M35)-LEN(SUBSTITUTE(M35,",","")) + 1))-1)*100 + 1, 100)),
                        $R$2:$T$101, 3, FALSE
                    ), 0)
            )
        ) / N35
    ),
0)</f>
        <v>0</v>
      </c>
      <c r="R35" t="s">
        <v>1008</v>
      </c>
      <c r="S35" t="s">
        <v>1007</v>
      </c>
      <c r="T35">
        <v>3</v>
      </c>
    </row>
    <row r="36" spans="1:20">
      <c r="A36">
        <v>35</v>
      </c>
      <c r="B36" s="4" t="s">
        <v>56</v>
      </c>
      <c r="C36" s="1">
        <v>0</v>
      </c>
      <c r="D36" s="1">
        <v>0</v>
      </c>
      <c r="E36" s="1">
        <v>0</v>
      </c>
      <c r="F36" s="1">
        <v>0</v>
      </c>
      <c r="G36" s="1">
        <v>0</v>
      </c>
      <c r="H36" s="1">
        <v>0</v>
      </c>
      <c r="I36" s="1">
        <v>0</v>
      </c>
      <c r="J36" s="1">
        <v>0</v>
      </c>
      <c r="K36" s="1">
        <v>0</v>
      </c>
      <c r="L36" s="1">
        <v>0</v>
      </c>
      <c r="M36" s="6" t="str" cm="1">
        <f t="array" ref="M36">_xlfn.TEXTJOIN(", ",TRUE,
_xlfn._xlws.FILTER($R$2:$R$101,
ISNUMBER(SEARCH(LOWER($R$2:$R$101),LOWER(B36)))
))</f>
        <v>schapelle corby, corby</v>
      </c>
      <c r="N36">
        <f t="shared" si="0"/>
        <v>2</v>
      </c>
      <c r="O36" s="6" t="str" cm="1">
        <f t="array" ref="O36">_xlfn.TEXTJOIN(", ",TRUE,
_xlfn.UNIQUE(
_xlfn._xlws.FILTER($S$2:$S$200,
ISNUMBER(SEARCH(LOWER($R$2:$R$200),LOWER(B36)))
)
))</f>
        <v>Case Related, Familial based</v>
      </c>
      <c r="P36" cm="1">
        <f t="array" aca="1" ref="P36" ca="1">IFERROR(
    IF(N36=0, 0,
        SUMPRODUCT(
            N(
                _xlfn.IFNA(
                    VLOOKUP(
                        TRIM(MID(SUBSTITUTE(M36,",",REPT(" ",100)),
                        (ROW(INDIRECT("1:" &amp; LEN(M36)-LEN(SUBSTITUTE(M36,",","")) + 1))-1)*100 + 1, 100)),
                        $R$2:$T$101, 3, FALSE
                    ), 0)
            )
        ) / N36
    ),
0)</f>
        <v>0</v>
      </c>
      <c r="R36" t="s">
        <v>1009</v>
      </c>
      <c r="S36" t="s">
        <v>1007</v>
      </c>
      <c r="T36">
        <v>3</v>
      </c>
    </row>
    <row r="37" spans="1:20">
      <c r="A37">
        <v>36</v>
      </c>
      <c r="B37" s="4" t="s">
        <v>58</v>
      </c>
      <c r="C37" s="1">
        <v>1</v>
      </c>
      <c r="D37" s="1">
        <v>3</v>
      </c>
      <c r="E37" s="1">
        <v>0</v>
      </c>
      <c r="F37" s="1">
        <v>0</v>
      </c>
      <c r="G37" s="1">
        <v>0</v>
      </c>
      <c r="H37" s="1">
        <v>0</v>
      </c>
      <c r="I37" s="1">
        <v>3</v>
      </c>
      <c r="J37" s="1">
        <v>0</v>
      </c>
      <c r="K37" s="1">
        <v>0</v>
      </c>
      <c r="L37" s="1">
        <v>0</v>
      </c>
      <c r="M37" s="6" t="str" cm="1">
        <f t="array" ref="M37">_xlfn.TEXTJOIN(", ",TRUE,
_xlfn._xlws.FILTER($R$2:$R$101,
ISNUMBER(SEARCH(LOWER($R$2:$R$101),LOWER(B37)))
))</f>
        <v>schapelle corby, corby, bogan</v>
      </c>
      <c r="N37">
        <f t="shared" si="0"/>
        <v>3</v>
      </c>
      <c r="O37" s="6" t="str" cm="1">
        <f t="array" ref="O37">_xlfn.TEXTJOIN(", ",TRUE,
_xlfn.UNIQUE(
_xlfn._xlws.FILTER($S$2:$S$200,
ISNUMBER(SEARCH(LOWER($R$2:$R$200),LOWER(B37)))
)
))</f>
        <v>Case Related, Familial based, Class based</v>
      </c>
      <c r="P37" cm="1">
        <f t="array" aca="1" ref="P37" ca="1">IFERROR(
    IF(N37=0, 0,
        SUMPRODUCT(
            N(
                _xlfn.IFNA(
                    VLOOKUP(
                        TRIM(MID(SUBSTITUTE(M37,",",REPT(" ",100)),
                        (ROW(INDIRECT("1:" &amp; LEN(M37)-LEN(SUBSTITUTE(M37,",","")) + 1))-1)*100 + 1, 100)),
                        $R$2:$T$101, 3, FALSE
                    ), 0)
            )
        ) / N37
    ),
0)</f>
        <v>1</v>
      </c>
      <c r="R37" t="s">
        <v>1010</v>
      </c>
      <c r="S37" t="s">
        <v>1007</v>
      </c>
      <c r="T37">
        <v>4</v>
      </c>
    </row>
    <row r="38" spans="1:20" ht="30.75">
      <c r="A38">
        <v>37</v>
      </c>
      <c r="B38" s="4" t="s">
        <v>60</v>
      </c>
      <c r="C38" s="10">
        <v>0.75</v>
      </c>
      <c r="D38" s="1">
        <v>0</v>
      </c>
      <c r="E38" s="1">
        <v>0</v>
      </c>
      <c r="F38" s="1">
        <v>1.5</v>
      </c>
      <c r="G38" s="1">
        <v>0</v>
      </c>
      <c r="H38" s="1">
        <v>0</v>
      </c>
      <c r="I38" s="1">
        <v>0</v>
      </c>
      <c r="J38" s="1">
        <v>0</v>
      </c>
      <c r="K38" s="1">
        <v>0</v>
      </c>
      <c r="L38" s="1">
        <v>0</v>
      </c>
      <c r="M38" s="6" t="str" cm="1">
        <f t="array" ref="M38">_xlfn.TEXTJOIN(", ",TRUE,
_xlfn._xlws.FILTER($R$2:$R$101,
ISNUMBER(SEARCH(LOWER($R$2:$R$101),LOWER(B38)))
))</f>
        <v>schapelle corby, bribed, corby</v>
      </c>
      <c r="N38">
        <f t="shared" si="0"/>
        <v>3</v>
      </c>
      <c r="O38" s="6" t="str" cm="1">
        <f t="array" ref="O38">_xlfn.TEXTJOIN(", ",TRUE,
_xlfn.UNIQUE(
_xlfn._xlws.FILTER($S$2:$S$200,
ISNUMBER(SEARCH(LOWER($R$2:$R$200),LOWER(B38)))
)
))</f>
        <v>Case Related, Crime based, Familial based</v>
      </c>
      <c r="P38" cm="1">
        <f t="array" aca="1" ref="P38" ca="1">IFERROR(
    IF(N38=0, 0,
        SUMPRODUCT(
            N(
                _xlfn.IFNA(
                    VLOOKUP(
                        TRIM(MID(SUBSTITUTE(M38,",",REPT(" ",100)),
                        (ROW(INDIRECT("1:" &amp; LEN(M38)-LEN(SUBSTITUTE(M38,",","")) + 1))-1)*100 + 1, 100)),
                        $R$2:$T$101, 3, FALSE
                    ), 0)
            )
        ) / N38
    ),
0)</f>
        <v>0.66666666666666663</v>
      </c>
      <c r="R38" t="s">
        <v>1011</v>
      </c>
      <c r="S38" t="s">
        <v>1007</v>
      </c>
      <c r="T38">
        <v>3</v>
      </c>
    </row>
    <row r="39" spans="1:20">
      <c r="A39">
        <v>38</v>
      </c>
      <c r="B39" s="4" t="s">
        <v>62</v>
      </c>
      <c r="C39" s="1">
        <v>0</v>
      </c>
      <c r="D39" s="1">
        <v>0</v>
      </c>
      <c r="E39" s="1">
        <v>0</v>
      </c>
      <c r="F39" s="1">
        <v>0</v>
      </c>
      <c r="G39" s="1">
        <v>0</v>
      </c>
      <c r="H39" s="1">
        <v>0</v>
      </c>
      <c r="I39" s="1">
        <v>0</v>
      </c>
      <c r="J39" s="1">
        <v>0</v>
      </c>
      <c r="K39" s="1">
        <v>0</v>
      </c>
      <c r="L39" s="1">
        <v>0</v>
      </c>
      <c r="M39" s="6" t="str" cm="1">
        <f t="array" ref="M39">_xlfn.TEXTJOIN(", ",TRUE,
_xlfn._xlws.FILTER($R$2:$R$101,
ISNUMBER(SEARCH(LOWER($R$2:$R$101),LOWER(B39)))
))</f>
        <v>schapelle corby, corby</v>
      </c>
      <c r="N39">
        <f t="shared" si="0"/>
        <v>2</v>
      </c>
      <c r="O39" s="6" t="str" cm="1">
        <f t="array" ref="O39">_xlfn.TEXTJOIN(", ",TRUE,
_xlfn.UNIQUE(
_xlfn._xlws.FILTER($S$2:$S$200,
ISNUMBER(SEARCH(LOWER($R$2:$R$200),LOWER(B39)))
)
))</f>
        <v>Case Related, Familial based</v>
      </c>
      <c r="P39" cm="1">
        <f t="array" aca="1" ref="P39" ca="1">IFERROR(
    IF(N39=0, 0,
        SUMPRODUCT(
            N(
                _xlfn.IFNA(
                    VLOOKUP(
                        TRIM(MID(SUBSTITUTE(M39,",",REPT(" ",100)),
                        (ROW(INDIRECT("1:" &amp; LEN(M39)-LEN(SUBSTITUTE(M39,",","")) + 1))-1)*100 + 1, 100)),
                        $R$2:$T$101, 3, FALSE
                    ), 0)
            )
        ) / N39
    ),
0)</f>
        <v>0</v>
      </c>
      <c r="R39" t="s">
        <v>1012</v>
      </c>
      <c r="S39" t="s">
        <v>1007</v>
      </c>
      <c r="T39">
        <v>3</v>
      </c>
    </row>
    <row r="40" spans="1:20">
      <c r="A40">
        <v>39</v>
      </c>
      <c r="B40" s="4" t="s">
        <v>64</v>
      </c>
      <c r="C40" s="1">
        <v>0</v>
      </c>
      <c r="D40" s="1">
        <v>0</v>
      </c>
      <c r="E40" s="1">
        <v>0</v>
      </c>
      <c r="F40" s="1">
        <v>0</v>
      </c>
      <c r="G40" s="1">
        <v>0</v>
      </c>
      <c r="H40" s="1">
        <v>0</v>
      </c>
      <c r="I40" s="1">
        <v>0</v>
      </c>
      <c r="J40" s="1">
        <v>0</v>
      </c>
      <c r="K40" s="1">
        <v>0</v>
      </c>
      <c r="L40" s="1">
        <v>0</v>
      </c>
      <c r="M40" s="6" t="str" cm="1">
        <f t="array" ref="M40">_xlfn.TEXTJOIN(", ",TRUE,
_xlfn._xlws.FILTER($R$2:$R$101,
ISNUMBER(SEARCH(LOWER($R$2:$R$101),LOWER(B40)))
))</f>
        <v>schapelle corby, corby</v>
      </c>
      <c r="N40">
        <f t="shared" si="0"/>
        <v>2</v>
      </c>
      <c r="O40" s="6" t="str" cm="1">
        <f t="array" ref="O40">_xlfn.TEXTJOIN(", ",TRUE,
_xlfn.UNIQUE(
_xlfn._xlws.FILTER($S$2:$S$200,
ISNUMBER(SEARCH(LOWER($R$2:$R$200),LOWER(B40)))
)
))</f>
        <v>Case Related, Familial based</v>
      </c>
      <c r="P40" cm="1">
        <f t="array" aca="1" ref="P40" ca="1">IFERROR(
    IF(N40=0, 0,
        SUMPRODUCT(
            N(
                _xlfn.IFNA(
                    VLOOKUP(
                        TRIM(MID(SUBSTITUTE(M40,",",REPT(" ",100)),
                        (ROW(INDIRECT("1:" &amp; LEN(M40)-LEN(SUBSTITUTE(M40,",","")) + 1))-1)*100 + 1, 100)),
                        $R$2:$T$101, 3, FALSE
                    ), 0)
            )
        ) / N40
    ),
0)</f>
        <v>0</v>
      </c>
      <c r="R40" t="s">
        <v>1013</v>
      </c>
      <c r="S40" t="s">
        <v>1007</v>
      </c>
      <c r="T40">
        <v>3</v>
      </c>
    </row>
    <row r="41" spans="1:20">
      <c r="A41">
        <v>40</v>
      </c>
      <c r="B41" s="4" t="s">
        <v>66</v>
      </c>
      <c r="C41" s="1">
        <v>0</v>
      </c>
      <c r="D41" s="1">
        <v>0</v>
      </c>
      <c r="E41" s="1">
        <v>0</v>
      </c>
      <c r="F41" s="1">
        <v>0</v>
      </c>
      <c r="G41" s="1">
        <v>0</v>
      </c>
      <c r="H41" s="1">
        <v>0</v>
      </c>
      <c r="I41" s="1">
        <v>0</v>
      </c>
      <c r="J41" s="1">
        <v>0</v>
      </c>
      <c r="K41" s="1">
        <v>0</v>
      </c>
      <c r="L41" s="1">
        <v>0</v>
      </c>
      <c r="N41" t="str">
        <f t="shared" si="0"/>
        <v>0</v>
      </c>
      <c r="O41" s="6" t="str" cm="1">
        <f t="array" ref="O41">_xlfn.TEXTJOIN(", ",TRUE,
_xlfn.UNIQUE(
_xlfn._xlws.FILTER($S$2:$S$200,
ISNUMBER(SEARCH(LOWER($R$2:$R$200),LOWER(B41)))
)
))</f>
        <v/>
      </c>
      <c r="P41" cm="1">
        <f t="array" aca="1" ref="P41" ca="1">IFERROR(
    IF(N41=0, 0,
        SUMPRODUCT(
            N(
                _xlfn.IFNA(
                    VLOOKUP(
                        TRIM(MID(SUBSTITUTE(M41,",",REPT(" ",100)),
                        (ROW(INDIRECT("1:" &amp; LEN(M41)-LEN(SUBSTITUTE(M41,",","")) + 1))-1)*100 + 1, 100)),
                        $R$2:$T$101, 3, FALSE
                    ), 0)
            )
        ) / N41
    ),
0)</f>
        <v>0</v>
      </c>
      <c r="R41" t="s">
        <v>1014</v>
      </c>
      <c r="S41" t="s">
        <v>1007</v>
      </c>
      <c r="T41">
        <v>3</v>
      </c>
    </row>
    <row r="42" spans="1:20">
      <c r="A42">
        <v>41</v>
      </c>
      <c r="B42" s="4" t="s">
        <v>68</v>
      </c>
      <c r="C42" s="1">
        <v>0</v>
      </c>
      <c r="D42" s="1">
        <v>0</v>
      </c>
      <c r="E42" s="1">
        <v>0</v>
      </c>
      <c r="F42" s="1">
        <v>0</v>
      </c>
      <c r="G42" s="1">
        <v>0</v>
      </c>
      <c r="H42" s="1">
        <v>0</v>
      </c>
      <c r="I42" s="1">
        <v>0</v>
      </c>
      <c r="J42" s="1">
        <v>0</v>
      </c>
      <c r="K42" s="1">
        <v>0</v>
      </c>
      <c r="L42" s="1">
        <v>0</v>
      </c>
      <c r="M42" s="6" t="str" cm="1">
        <f t="array" ref="M42">_xlfn.TEXTJOIN(", ",TRUE,
_xlfn._xlws.FILTER($R$2:$R$101,
ISNUMBER(SEARCH(LOWER($R$2:$R$101),LOWER(B42)))
))</f>
        <v>schapelle corby, corby</v>
      </c>
      <c r="N42">
        <f t="shared" si="0"/>
        <v>2</v>
      </c>
      <c r="O42" s="6" t="str" cm="1">
        <f t="array" ref="O42">_xlfn.TEXTJOIN(", ",TRUE,
_xlfn.UNIQUE(
_xlfn._xlws.FILTER($S$2:$S$200,
ISNUMBER(SEARCH(LOWER($R$2:$R$200),LOWER(B42)))
)
))</f>
        <v>Case Related, Familial based</v>
      </c>
      <c r="P42" cm="1">
        <f t="array" aca="1" ref="P42" ca="1">IFERROR(
    IF(N42=0, 0,
        SUMPRODUCT(
            N(
                _xlfn.IFNA(
                    VLOOKUP(
                        TRIM(MID(SUBSTITUTE(M42,",",REPT(" ",100)),
                        (ROW(INDIRECT("1:" &amp; LEN(M42)-LEN(SUBSTITUTE(M42,",","")) + 1))-1)*100 + 1, 100)),
                        $R$2:$T$101, 3, FALSE
                    ), 0)
            )
        ) / N42
    ),
0)</f>
        <v>0</v>
      </c>
      <c r="R42" t="s">
        <v>1015</v>
      </c>
      <c r="S42" t="s">
        <v>1007</v>
      </c>
      <c r="T42">
        <v>3</v>
      </c>
    </row>
    <row r="43" spans="1:20">
      <c r="A43">
        <v>42</v>
      </c>
      <c r="B43" s="4" t="s">
        <v>70</v>
      </c>
      <c r="C43" s="1">
        <v>0</v>
      </c>
      <c r="D43" s="1">
        <v>0</v>
      </c>
      <c r="E43" s="1">
        <v>0</v>
      </c>
      <c r="F43" s="1">
        <v>0</v>
      </c>
      <c r="G43" s="1">
        <v>0</v>
      </c>
      <c r="H43" s="1">
        <v>0</v>
      </c>
      <c r="I43" s="1">
        <v>0</v>
      </c>
      <c r="J43" s="1">
        <v>0</v>
      </c>
      <c r="K43" s="1">
        <v>0</v>
      </c>
      <c r="L43" s="1">
        <v>0</v>
      </c>
      <c r="M43" s="6" t="str" cm="1">
        <f t="array" ref="M43">_xlfn.TEXTJOIN(", ",TRUE,
_xlfn._xlws.FILTER($R$2:$R$101,
ISNUMBER(SEARCH(LOWER($R$2:$R$101),LOWER(B43)))
))</f>
        <v>schapelle corby, corby, parole</v>
      </c>
      <c r="N43">
        <f t="shared" si="0"/>
        <v>3</v>
      </c>
      <c r="O43" s="6" t="str" cm="1">
        <f t="array" ref="O43">_xlfn.TEXTJOIN(", ",TRUE,
_xlfn.UNIQUE(
_xlfn._xlws.FILTER($S$2:$S$200,
ISNUMBER(SEARCH(LOWER($R$2:$R$200),LOWER(B43)))
)
))</f>
        <v>Case Related, Familial based, Legality based</v>
      </c>
      <c r="P43" cm="1">
        <f t="array" aca="1" ref="P43" ca="1">IFERROR(
    IF(N43=0, 0,
        SUMPRODUCT(
            N(
                _xlfn.IFNA(
                    VLOOKUP(
                        TRIM(MID(SUBSTITUTE(M43,",",REPT(" ",100)),
                        (ROW(INDIRECT("1:" &amp; LEN(M43)-LEN(SUBSTITUTE(M43,",","")) + 1))-1)*100 + 1, 100)),
                        $R$2:$T$101, 3, FALSE
                    ), 0)
            )
        ) / N43
    ),
0)</f>
        <v>0</v>
      </c>
      <c r="R43" t="s">
        <v>1016</v>
      </c>
      <c r="S43" t="s">
        <v>1007</v>
      </c>
      <c r="T43">
        <v>1</v>
      </c>
    </row>
    <row r="44" spans="1:20">
      <c r="A44">
        <v>43</v>
      </c>
      <c r="B44" s="4" t="s">
        <v>72</v>
      </c>
      <c r="C44" s="1">
        <v>0</v>
      </c>
      <c r="D44" s="1">
        <v>0</v>
      </c>
      <c r="E44" s="1">
        <v>0</v>
      </c>
      <c r="F44" s="1">
        <v>0</v>
      </c>
      <c r="G44" s="1">
        <v>0</v>
      </c>
      <c r="H44" s="1">
        <v>0</v>
      </c>
      <c r="I44" s="1">
        <v>0</v>
      </c>
      <c r="J44" s="1">
        <v>0</v>
      </c>
      <c r="K44" s="1">
        <v>0</v>
      </c>
      <c r="L44" s="1">
        <v>0</v>
      </c>
      <c r="M44" s="6" t="str" cm="1">
        <f t="array" ref="M44">_xlfn.TEXTJOIN(", ",TRUE,
_xlfn._xlws.FILTER($R$2:$R$101,
ISNUMBER(SEARCH(LOWER($R$2:$R$101),LOWER(B44)))
))</f>
        <v>schapelle corby, corby</v>
      </c>
      <c r="N44">
        <f t="shared" si="0"/>
        <v>2</v>
      </c>
      <c r="O44" s="6" t="str" cm="1">
        <f t="array" ref="O44">_xlfn.TEXTJOIN(", ",TRUE,
_xlfn.UNIQUE(
_xlfn._xlws.FILTER($S$2:$S$200,
ISNUMBER(SEARCH(LOWER($R$2:$R$200),LOWER(B44)))
)
))</f>
        <v>Case Related, Familial based</v>
      </c>
      <c r="P44" cm="1">
        <f t="array" aca="1" ref="P44" ca="1">IFERROR(
    IF(N44=0, 0,
        SUMPRODUCT(
            N(
                _xlfn.IFNA(
                    VLOOKUP(
                        TRIM(MID(SUBSTITUTE(M44,",",REPT(" ",100)),
                        (ROW(INDIRECT("1:" &amp; LEN(M44)-LEN(SUBSTITUTE(M44,",","")) + 1))-1)*100 + 1, 100)),
                        $R$2:$T$101, 3, FALSE
                    ), 0)
            )
        ) / N44
    ),
0)</f>
        <v>0</v>
      </c>
      <c r="R44" t="s">
        <v>1017</v>
      </c>
      <c r="S44" t="s">
        <v>1007</v>
      </c>
      <c r="T44">
        <v>3</v>
      </c>
    </row>
    <row r="45" spans="1:20">
      <c r="A45">
        <v>44</v>
      </c>
      <c r="B45" s="4" t="s">
        <v>74</v>
      </c>
      <c r="C45" s="1">
        <v>0</v>
      </c>
      <c r="D45" s="1">
        <v>0</v>
      </c>
      <c r="E45" s="1">
        <v>0</v>
      </c>
      <c r="F45" s="1">
        <v>0</v>
      </c>
      <c r="G45" s="1">
        <v>0</v>
      </c>
      <c r="H45" s="1">
        <v>0</v>
      </c>
      <c r="I45" s="1">
        <v>0</v>
      </c>
      <c r="J45" s="1">
        <v>0</v>
      </c>
      <c r="K45" s="1">
        <v>0</v>
      </c>
      <c r="L45" s="1">
        <v>0</v>
      </c>
      <c r="M45" s="6" t="str" cm="1">
        <f t="array" ref="M45">_xlfn.TEXTJOIN(", ",TRUE,
_xlfn._xlws.FILTER($R$2:$R$101,
ISNUMBER(SEARCH(LOWER($R$2:$R$101),LOWER(B45)))
))</f>
        <v>schapelle corby, corby</v>
      </c>
      <c r="N45">
        <f t="shared" si="0"/>
        <v>2</v>
      </c>
      <c r="O45" s="6" t="str" cm="1">
        <f t="array" ref="O45">_xlfn.TEXTJOIN(", ",TRUE,
_xlfn.UNIQUE(
_xlfn._xlws.FILTER($S$2:$S$200,
ISNUMBER(SEARCH(LOWER($R$2:$R$200),LOWER(B45)))
)
))</f>
        <v>Case Related, Familial based</v>
      </c>
      <c r="P45" cm="1">
        <f t="array" aca="1" ref="P45" ca="1">IFERROR(
    IF(N45=0, 0,
        SUMPRODUCT(
            N(
                _xlfn.IFNA(
                    VLOOKUP(
                        TRIM(MID(SUBSTITUTE(M45,",",REPT(" ",100)),
                        (ROW(INDIRECT("1:" &amp; LEN(M45)-LEN(SUBSTITUTE(M45,",","")) + 1))-1)*100 + 1, 100)),
                        $R$2:$T$101, 3, FALSE
                    ), 0)
            )
        ) / N45
    ),
0)</f>
        <v>0</v>
      </c>
      <c r="R45" t="s">
        <v>1018</v>
      </c>
      <c r="S45" t="s">
        <v>1007</v>
      </c>
      <c r="T45">
        <v>0</v>
      </c>
    </row>
    <row r="46" spans="1:20">
      <c r="A46">
        <v>45</v>
      </c>
      <c r="B46" s="4" t="s">
        <v>76</v>
      </c>
      <c r="C46" s="1">
        <v>0</v>
      </c>
      <c r="D46" s="1">
        <v>0</v>
      </c>
      <c r="E46" s="1">
        <v>0</v>
      </c>
      <c r="F46" s="1">
        <v>0</v>
      </c>
      <c r="G46" s="1">
        <v>0</v>
      </c>
      <c r="H46" s="1">
        <v>0</v>
      </c>
      <c r="I46" s="1">
        <v>0</v>
      </c>
      <c r="J46" s="1">
        <v>0</v>
      </c>
      <c r="K46" s="1">
        <v>0</v>
      </c>
      <c r="L46" s="1">
        <v>0</v>
      </c>
      <c r="M46" s="6" t="str" cm="1">
        <f t="array" ref="M46">_xlfn.TEXTJOIN(", ",TRUE,
_xlfn._xlws.FILTER($R$2:$R$101,
ISNUMBER(SEARCH(LOWER($R$2:$R$101),LOWER(B46)))
))</f>
        <v>schapelle corby, indonesia , corby</v>
      </c>
      <c r="N46">
        <f t="shared" si="0"/>
        <v>3</v>
      </c>
      <c r="O46" s="6" t="str" cm="1">
        <f t="array" ref="O46">_xlfn.TEXTJOIN(", ",TRUE,
_xlfn.UNIQUE(
_xlfn._xlws.FILTER($S$2:$S$200,
ISNUMBER(SEARCH(LOWER($R$2:$R$200),LOWER(B46)))
)
))</f>
        <v>Case Related, Familial based</v>
      </c>
      <c r="P46" cm="1">
        <f t="array" aca="1" ref="P46" ca="1">IFERROR(
    IF(N46=0, 0,
        SUMPRODUCT(
            N(
                _xlfn.IFNA(
                    VLOOKUP(
                        TRIM(MID(SUBSTITUTE(M46,",",REPT(" ",100)),
                        (ROW(INDIRECT("1:" &amp; LEN(M46)-LEN(SUBSTITUTE(M46,",","")) + 1))-1)*100 + 1, 100)),
                        $R$2:$T$101, 3, FALSE
                    ), 0)
            )
        ) / N46
    ),
0)</f>
        <v>0</v>
      </c>
      <c r="R46" t="s">
        <v>1019</v>
      </c>
      <c r="S46" t="s">
        <v>1007</v>
      </c>
      <c r="T46">
        <v>3</v>
      </c>
    </row>
    <row r="47" spans="1:20" ht="30.75">
      <c r="A47">
        <v>46</v>
      </c>
      <c r="B47" s="4" t="s">
        <v>78</v>
      </c>
      <c r="C47" s="1">
        <v>0</v>
      </c>
      <c r="D47" s="1">
        <v>0</v>
      </c>
      <c r="E47" s="1">
        <v>0</v>
      </c>
      <c r="F47" s="1">
        <v>0</v>
      </c>
      <c r="G47" s="1">
        <v>0</v>
      </c>
      <c r="H47" s="1">
        <v>0</v>
      </c>
      <c r="I47" s="1">
        <v>0</v>
      </c>
      <c r="J47" s="1">
        <v>0</v>
      </c>
      <c r="K47" s="1">
        <v>0</v>
      </c>
      <c r="L47" s="1">
        <v>0</v>
      </c>
      <c r="M47" s="6" t="str" cm="1">
        <f t="array" ref="M47">_xlfn.TEXTJOIN(", ",TRUE,
_xlfn._xlws.FILTER($R$2:$R$101,
ISNUMBER(SEARCH(LOWER($R$2:$R$101),LOWER(B47)))
))</f>
        <v>schapelle corby, australian, australia, corby</v>
      </c>
      <c r="N47">
        <f t="shared" si="0"/>
        <v>4</v>
      </c>
      <c r="O47" s="6" t="str" cm="1">
        <f t="array" ref="O47">_xlfn.TEXTJOIN(", ",TRUE,
_xlfn.UNIQUE(
_xlfn._xlws.FILTER($S$2:$S$200,
ISNUMBER(SEARCH(LOWER($R$2:$R$200),LOWER(B47)))
)
))</f>
        <v>Case Related, Familial based</v>
      </c>
      <c r="P47" cm="1">
        <f t="array" aca="1" ref="P47" ca="1">IFERROR(
    IF(N47=0, 0,
        SUMPRODUCT(
            N(
                _xlfn.IFNA(
                    VLOOKUP(
                        TRIM(MID(SUBSTITUTE(M47,",",REPT(" ",100)),
                        (ROW(INDIRECT("1:" &amp; LEN(M47)-LEN(SUBSTITUTE(M47,",","")) + 1))-1)*100 + 1, 100)),
                        $R$2:$T$101, 3, FALSE
                    ), 0)
            )
        ) / N47
    ),
0)</f>
        <v>0</v>
      </c>
      <c r="R47" t="s">
        <v>1020</v>
      </c>
      <c r="S47" t="s">
        <v>1007</v>
      </c>
      <c r="T47">
        <v>1</v>
      </c>
    </row>
    <row r="48" spans="1:20" ht="30.75">
      <c r="A48">
        <v>47</v>
      </c>
      <c r="B48" s="4" t="s">
        <v>80</v>
      </c>
      <c r="C48" s="1">
        <v>0.2</v>
      </c>
      <c r="D48" s="1">
        <v>0</v>
      </c>
      <c r="E48" s="1">
        <v>0</v>
      </c>
      <c r="F48" s="1">
        <v>0.5</v>
      </c>
      <c r="G48" s="1">
        <v>0</v>
      </c>
      <c r="H48" s="1">
        <v>0</v>
      </c>
      <c r="I48" s="1">
        <v>0</v>
      </c>
      <c r="J48" s="1">
        <v>0</v>
      </c>
      <c r="K48" s="1">
        <v>0</v>
      </c>
      <c r="L48" s="1">
        <v>0</v>
      </c>
      <c r="M48" s="6" t="str" cm="1">
        <f t="array" ref="M48">_xlfn.TEXTJOIN(", ",TRUE,
_xlfn._xlws.FILTER($R$2:$R$101,
ISNUMBER(SEARCH(LOWER($R$2:$R$101),LOWER(B48)))
))</f>
        <v>schapelle corby, convicted drug smuggler, drug smuggler, corby, convicted</v>
      </c>
      <c r="N48">
        <f t="shared" si="0"/>
        <v>5</v>
      </c>
      <c r="O48" s="6" t="str" cm="1">
        <f t="array" ref="O48">_xlfn.TEXTJOIN(", ",TRUE,
_xlfn.UNIQUE(
_xlfn._xlws.FILTER($S$2:$S$200,
ISNUMBER(SEARCH(LOWER($R$2:$R$200),LOWER(B48)))
)
))</f>
        <v>Case Related, Crime based, Familial based, Legality based</v>
      </c>
      <c r="P48" cm="1">
        <f t="array" aca="1" ref="P48" ca="1">IFERROR(
    IF(N48=0, 0,
        SUMPRODUCT(
            N(
                _xlfn.IFNA(
                    VLOOKUP(
                        TRIM(MID(SUBSTITUTE(M48,",",REPT(" ",100)),
                        (ROW(INDIRECT("1:" &amp; LEN(M48)-LEN(SUBSTITUTE(M48,",","")) + 1))-1)*100 + 1, 100)),
                        $R$2:$T$101, 3, FALSE
                    ), 0)
            )
        ) / N48
    ),
0)</f>
        <v>0.2</v>
      </c>
      <c r="R48" t="s">
        <v>1021</v>
      </c>
      <c r="S48" t="s">
        <v>1022</v>
      </c>
      <c r="T48">
        <v>0</v>
      </c>
    </row>
    <row r="49" spans="1:20">
      <c r="A49">
        <v>48</v>
      </c>
      <c r="B49" s="4" t="s">
        <v>82</v>
      </c>
      <c r="C49" s="1">
        <v>0</v>
      </c>
      <c r="D49" s="1">
        <v>0</v>
      </c>
      <c r="E49" s="1">
        <v>0</v>
      </c>
      <c r="F49" s="1">
        <v>0</v>
      </c>
      <c r="G49" s="1">
        <v>0</v>
      </c>
      <c r="H49" s="1">
        <v>0</v>
      </c>
      <c r="I49" s="1">
        <v>0</v>
      </c>
      <c r="J49" s="1">
        <v>0</v>
      </c>
      <c r="K49" s="1">
        <v>0</v>
      </c>
      <c r="L49" s="1">
        <v>0</v>
      </c>
      <c r="M49" s="6" t="str" cm="1">
        <f t="array" ref="M49">_xlfn.TEXTJOIN(", ",TRUE,
_xlfn._xlws.FILTER($R$2:$R$101,
ISNUMBER(SEARCH(LOWER($R$2:$R$101),LOWER(B49)))
))</f>
        <v>schapelle corby, corby</v>
      </c>
      <c r="N49">
        <f t="shared" si="0"/>
        <v>2</v>
      </c>
      <c r="O49" s="6" t="str" cm="1">
        <f t="array" ref="O49">_xlfn.TEXTJOIN(", ",TRUE,
_xlfn.UNIQUE(
_xlfn._xlws.FILTER($S$2:$S$200,
ISNUMBER(SEARCH(LOWER($R$2:$R$200),LOWER(B49)))
)
))</f>
        <v>Case Related, Familial based</v>
      </c>
      <c r="P49" cm="1">
        <f t="array" aca="1" ref="P49" ca="1">IFERROR(
    IF(N49=0, 0,
        SUMPRODUCT(
            N(
                _xlfn.IFNA(
                    VLOOKUP(
                        TRIM(MID(SUBSTITUTE(M49,",",REPT(" ",100)),
                        (ROW(INDIRECT("1:" &amp; LEN(M49)-LEN(SUBSTITUTE(M49,",","")) + 1))-1)*100 + 1, 100)),
                        $R$2:$T$101, 3, FALSE
                    ), 0)
            )
        ) / N49
    ),
0)</f>
        <v>0</v>
      </c>
      <c r="R49" t="s">
        <v>1023</v>
      </c>
      <c r="S49" t="s">
        <v>1022</v>
      </c>
      <c r="T49">
        <v>0</v>
      </c>
    </row>
    <row r="50" spans="1:20" ht="30.75">
      <c r="A50">
        <v>49</v>
      </c>
      <c r="B50" s="4" t="s">
        <v>84</v>
      </c>
      <c r="C50" s="1">
        <v>0</v>
      </c>
      <c r="D50" s="1">
        <v>0</v>
      </c>
      <c r="E50" s="1">
        <v>0</v>
      </c>
      <c r="F50" s="1">
        <v>0</v>
      </c>
      <c r="G50" s="1">
        <v>0</v>
      </c>
      <c r="H50" s="1">
        <v>0</v>
      </c>
      <c r="I50" s="1">
        <v>0</v>
      </c>
      <c r="J50" s="1">
        <v>0</v>
      </c>
      <c r="K50" s="1">
        <v>0</v>
      </c>
      <c r="L50" s="1">
        <v>0</v>
      </c>
      <c r="M50" s="6" t="str" cm="1">
        <f t="array" ref="M50">_xlfn.TEXTJOIN(", ",TRUE,
_xlfn._xlws.FILTER($R$2:$R$101,
ISNUMBER(SEARCH(LOWER($R$2:$R$101),LOWER(B50)))
))</f>
        <v>schapelle corby, australian, australia, corby</v>
      </c>
      <c r="N50">
        <f t="shared" si="0"/>
        <v>4</v>
      </c>
      <c r="O50" s="6" t="str" cm="1">
        <f t="array" ref="O50">_xlfn.TEXTJOIN(", ",TRUE,
_xlfn.UNIQUE(
_xlfn._xlws.FILTER($S$2:$S$200,
ISNUMBER(SEARCH(LOWER($R$2:$R$200),LOWER(B50)))
)
))</f>
        <v>Case Related, Familial based</v>
      </c>
      <c r="P50" cm="1">
        <f t="array" aca="1" ref="P50" ca="1">IFERROR(
    IF(N50=0, 0,
        SUMPRODUCT(
            N(
                _xlfn.IFNA(
                    VLOOKUP(
                        TRIM(MID(SUBSTITUTE(M50,",",REPT(" ",100)),
                        (ROW(INDIRECT("1:" &amp; LEN(M50)-LEN(SUBSTITUTE(M50,",","")) + 1))-1)*100 + 1, 100)),
                        $R$2:$T$101, 3, FALSE
                    ), 0)
            )
        ) / N50
    ),
0)</f>
        <v>0</v>
      </c>
      <c r="R50" t="s">
        <v>1024</v>
      </c>
      <c r="S50" t="s">
        <v>1022</v>
      </c>
      <c r="T50">
        <v>0</v>
      </c>
    </row>
    <row r="51" spans="1:20" ht="30.75">
      <c r="A51">
        <v>50</v>
      </c>
      <c r="B51" s="4" t="s">
        <v>86</v>
      </c>
      <c r="C51" s="1">
        <v>0</v>
      </c>
      <c r="D51" s="1">
        <v>0</v>
      </c>
      <c r="E51" s="1">
        <v>0</v>
      </c>
      <c r="F51" s="1">
        <v>0</v>
      </c>
      <c r="G51" s="1">
        <v>0</v>
      </c>
      <c r="H51" s="1">
        <v>0</v>
      </c>
      <c r="I51" s="1">
        <v>0</v>
      </c>
      <c r="J51" s="1">
        <v>0</v>
      </c>
      <c r="K51" s="1">
        <v>0</v>
      </c>
      <c r="L51" s="1">
        <v>0</v>
      </c>
      <c r="M51" s="6" t="str" cm="1">
        <f t="array" ref="M51">_xlfn.TEXTJOIN(", ",TRUE,
_xlfn._xlws.FILTER($R$2:$R$101,
ISNUMBER(SEARCH(LOWER($R$2:$R$101),LOWER(B51)))
))</f>
        <v>schapelle corby, australian, australia, corby</v>
      </c>
      <c r="N51">
        <f t="shared" si="0"/>
        <v>4</v>
      </c>
      <c r="O51" s="6" t="str" cm="1">
        <f t="array" ref="O51">_xlfn.TEXTJOIN(", ",TRUE,
_xlfn.UNIQUE(
_xlfn._xlws.FILTER($S$2:$S$200,
ISNUMBER(SEARCH(LOWER($R$2:$R$200),LOWER(B51)))
)
))</f>
        <v>Case Related, Familial based</v>
      </c>
      <c r="P51" cm="1">
        <f t="array" aca="1" ref="P51" ca="1">IFERROR(
    IF(N51=0, 0,
        SUMPRODUCT(
            N(
                _xlfn.IFNA(
                    VLOOKUP(
                        TRIM(MID(SUBSTITUTE(M51,",",REPT(" ",100)),
                        (ROW(INDIRECT("1:" &amp; LEN(M51)-LEN(SUBSTITUTE(M51,",","")) + 1))-1)*100 + 1, 100)),
                        $R$2:$T$101, 3, FALSE
                    ), 0)
            )
        ) / N51
    ),
0)</f>
        <v>0</v>
      </c>
      <c r="R51" t="s">
        <v>1025</v>
      </c>
      <c r="S51" t="s">
        <v>1022</v>
      </c>
      <c r="T51">
        <v>0</v>
      </c>
    </row>
    <row r="52" spans="1:20" ht="30.75">
      <c r="A52">
        <v>51</v>
      </c>
      <c r="B52" s="4" t="s">
        <v>88</v>
      </c>
      <c r="C52" s="1">
        <v>0</v>
      </c>
      <c r="D52" s="1">
        <v>0</v>
      </c>
      <c r="E52" s="1">
        <v>0</v>
      </c>
      <c r="F52" s="1">
        <v>0</v>
      </c>
      <c r="G52" s="1">
        <v>0</v>
      </c>
      <c r="H52" s="1">
        <v>0</v>
      </c>
      <c r="I52" s="1">
        <v>0</v>
      </c>
      <c r="J52" s="1">
        <v>0</v>
      </c>
      <c r="K52" s="1">
        <v>0</v>
      </c>
      <c r="L52" s="1">
        <v>0</v>
      </c>
      <c r="M52" s="6" t="str" cm="1">
        <f t="array" ref="M52">_xlfn.TEXTJOIN(", ",TRUE,
_xlfn._xlws.FILTER($R$2:$R$101,
ISNUMBER(SEARCH(LOWER($R$2:$R$101),LOWER(B52)))
))</f>
        <v>schapelle corby, australian, australia, corby</v>
      </c>
      <c r="N52">
        <f t="shared" si="0"/>
        <v>4</v>
      </c>
      <c r="O52" s="6" t="str" cm="1">
        <f t="array" ref="O52">_xlfn.TEXTJOIN(", ",TRUE,
_xlfn.UNIQUE(
_xlfn._xlws.FILTER($S$2:$S$200,
ISNUMBER(SEARCH(LOWER($R$2:$R$200),LOWER(B52)))
)
))</f>
        <v>Case Related, Familial based</v>
      </c>
      <c r="P52" cm="1">
        <f t="array" aca="1" ref="P52" ca="1">IFERROR(
    IF(N52=0, 0,
        SUMPRODUCT(
            N(
                _xlfn.IFNA(
                    VLOOKUP(
                        TRIM(MID(SUBSTITUTE(M52,",",REPT(" ",100)),
                        (ROW(INDIRECT("1:" &amp; LEN(M52)-LEN(SUBSTITUTE(M52,",","")) + 1))-1)*100 + 1, 100)),
                        $R$2:$T$101, 3, FALSE
                    ), 0)
            )
        ) / N52
    ),
0)</f>
        <v>0</v>
      </c>
      <c r="R52" t="s">
        <v>1026</v>
      </c>
      <c r="S52" t="s">
        <v>1022</v>
      </c>
      <c r="T52">
        <v>0</v>
      </c>
    </row>
    <row r="53" spans="1:20" ht="30.75">
      <c r="A53">
        <v>52</v>
      </c>
      <c r="B53" s="4" t="s">
        <v>90</v>
      </c>
      <c r="C53" s="1">
        <v>0</v>
      </c>
      <c r="D53" s="1">
        <v>0</v>
      </c>
      <c r="E53" s="1">
        <v>0</v>
      </c>
      <c r="F53" s="1">
        <v>0</v>
      </c>
      <c r="G53" s="1">
        <v>0</v>
      </c>
      <c r="H53" s="1">
        <v>0</v>
      </c>
      <c r="I53" s="1">
        <v>0</v>
      </c>
      <c r="J53" s="1">
        <v>0</v>
      </c>
      <c r="K53" s="1">
        <v>0</v>
      </c>
      <c r="L53" s="1">
        <v>0</v>
      </c>
      <c r="M53" s="6" t="str" cm="1">
        <f t="array" ref="M53">_xlfn.TEXTJOIN(", ",TRUE,
_xlfn._xlws.FILTER($R$2:$R$101,
ISNUMBER(SEARCH(LOWER($R$2:$R$101),LOWER(B53)))
))</f>
        <v>schapelle corby, corby</v>
      </c>
      <c r="N53">
        <f t="shared" si="0"/>
        <v>2</v>
      </c>
      <c r="O53" s="6" t="str" cm="1">
        <f t="array" ref="O53">_xlfn.TEXTJOIN(", ",TRUE,
_xlfn.UNIQUE(
_xlfn._xlws.FILTER($S$2:$S$200,
ISNUMBER(SEARCH(LOWER($R$2:$R$200),LOWER(B53)))
)
))</f>
        <v>Case Related, Familial based</v>
      </c>
      <c r="P53" cm="1">
        <f t="array" aca="1" ref="P53" ca="1">IFERROR(
    IF(N53=0, 0,
        SUMPRODUCT(
            N(
                _xlfn.IFNA(
                    VLOOKUP(
                        TRIM(MID(SUBSTITUTE(M53,",",REPT(" ",100)),
                        (ROW(INDIRECT("1:" &amp; LEN(M53)-LEN(SUBSTITUTE(M53,",","")) + 1))-1)*100 + 1, 100)),
                        $R$2:$T$101, 3, FALSE
                    ), 0)
            )
        ) / N53
    ),
0)</f>
        <v>0</v>
      </c>
      <c r="R53" t="s">
        <v>1027</v>
      </c>
      <c r="S53" t="s">
        <v>1022</v>
      </c>
      <c r="T53">
        <v>0</v>
      </c>
    </row>
    <row r="54" spans="1:20" ht="30.75">
      <c r="A54">
        <v>53</v>
      </c>
      <c r="B54" s="4" t="s">
        <v>92</v>
      </c>
      <c r="C54" s="1">
        <v>0</v>
      </c>
      <c r="D54" s="1">
        <v>0</v>
      </c>
      <c r="E54" s="1">
        <v>0</v>
      </c>
      <c r="F54" s="1">
        <v>0</v>
      </c>
      <c r="G54" s="1">
        <v>0</v>
      </c>
      <c r="H54" s="1">
        <v>0</v>
      </c>
      <c r="I54" s="1">
        <v>0</v>
      </c>
      <c r="J54" s="1">
        <v>0</v>
      </c>
      <c r="K54" s="1">
        <v>0</v>
      </c>
      <c r="L54" s="1">
        <v>0</v>
      </c>
      <c r="M54" s="6" t="str" cm="1">
        <f t="array" ref="M54">_xlfn.TEXTJOIN(", ",TRUE,
_xlfn._xlws.FILTER($R$2:$R$101,
ISNUMBER(SEARCH(LOWER($R$2:$R$101),LOWER(B54)))
))</f>
        <v>schapelle corby, corby</v>
      </c>
      <c r="N54">
        <f t="shared" si="0"/>
        <v>2</v>
      </c>
      <c r="O54" s="6" t="str" cm="1">
        <f t="array" ref="O54">_xlfn.TEXTJOIN(", ",TRUE,
_xlfn.UNIQUE(
_xlfn._xlws.FILTER($S$2:$S$200,
ISNUMBER(SEARCH(LOWER($R$2:$R$200),LOWER(B54)))
)
))</f>
        <v>Case Related, Familial based</v>
      </c>
      <c r="P54" cm="1">
        <f t="array" aca="1" ref="P54" ca="1">IFERROR(
    IF(N54=0, 0,
        SUMPRODUCT(
            N(
                _xlfn.IFNA(
                    VLOOKUP(
                        TRIM(MID(SUBSTITUTE(M54,",",REPT(" ",100)),
                        (ROW(INDIRECT("1:" &amp; LEN(M54)-LEN(SUBSTITUTE(M54,",","")) + 1))-1)*100 + 1, 100)),
                        $R$2:$T$101, 3, FALSE
                    ), 0)
            )
        ) / N54
    ),
0)</f>
        <v>0</v>
      </c>
      <c r="R54" t="s">
        <v>1028</v>
      </c>
      <c r="S54" t="s">
        <v>1022</v>
      </c>
      <c r="T54">
        <v>0</v>
      </c>
    </row>
    <row r="55" spans="1:20" ht="30.75">
      <c r="A55">
        <v>54</v>
      </c>
      <c r="B55" s="4" t="s">
        <v>94</v>
      </c>
      <c r="C55" s="1">
        <v>0</v>
      </c>
      <c r="D55" s="1">
        <v>0</v>
      </c>
      <c r="E55" s="1">
        <v>0</v>
      </c>
      <c r="F55" s="1">
        <v>0</v>
      </c>
      <c r="G55" s="1">
        <v>0</v>
      </c>
      <c r="H55" s="1">
        <v>0</v>
      </c>
      <c r="I55" s="1">
        <v>0</v>
      </c>
      <c r="J55" s="1">
        <v>0</v>
      </c>
      <c r="K55" s="1">
        <v>0</v>
      </c>
      <c r="L55" s="1">
        <v>0</v>
      </c>
      <c r="M55" s="6" t="str" cm="1">
        <f t="array" ref="M55">_xlfn.TEXTJOIN(", ",TRUE,
_xlfn._xlws.FILTER($R$2:$R$101,
ISNUMBER(SEARCH(LOWER($R$2:$R$101),LOWER(B55)))
))</f>
        <v>schapelle corby, australian, australia, corby</v>
      </c>
      <c r="N55">
        <f t="shared" si="0"/>
        <v>4</v>
      </c>
      <c r="O55" s="6" t="str" cm="1">
        <f t="array" ref="O55">_xlfn.TEXTJOIN(", ",TRUE,
_xlfn.UNIQUE(
_xlfn._xlws.FILTER($S$2:$S$200,
ISNUMBER(SEARCH(LOWER($R$2:$R$200),LOWER(B55)))
)
))</f>
        <v>Case Related, Familial based</v>
      </c>
      <c r="P55" cm="1">
        <f t="array" aca="1" ref="P55" ca="1">IFERROR(
    IF(N55=0, 0,
        SUMPRODUCT(
            N(
                _xlfn.IFNA(
                    VLOOKUP(
                        TRIM(MID(SUBSTITUTE(M55,",",REPT(" ",100)),
                        (ROW(INDIRECT("1:" &amp; LEN(M55)-LEN(SUBSTITUTE(M55,",","")) + 1))-1)*100 + 1, 100)),
                        $R$2:$T$101, 3, FALSE
                    ), 0)
            )
        ) / N55
    ),
0)</f>
        <v>0</v>
      </c>
      <c r="R55" t="s">
        <v>1029</v>
      </c>
      <c r="S55" t="s">
        <v>1022</v>
      </c>
      <c r="T55">
        <v>0</v>
      </c>
    </row>
    <row r="56" spans="1:20">
      <c r="A56">
        <v>55</v>
      </c>
      <c r="B56" s="4" t="s">
        <v>96</v>
      </c>
      <c r="C56" s="1">
        <v>0</v>
      </c>
      <c r="D56" s="1">
        <v>0</v>
      </c>
      <c r="E56" s="1">
        <v>0</v>
      </c>
      <c r="F56" s="1">
        <v>0</v>
      </c>
      <c r="G56" s="1">
        <v>0</v>
      </c>
      <c r="H56" s="1">
        <v>0</v>
      </c>
      <c r="I56" s="1">
        <v>0</v>
      </c>
      <c r="J56" s="1">
        <v>0</v>
      </c>
      <c r="K56" s="1">
        <v>0</v>
      </c>
      <c r="L56" s="1">
        <v>0</v>
      </c>
      <c r="M56" s="6" t="str" cm="1">
        <f t="array" ref="M56">_xlfn.TEXTJOIN(", ",TRUE,
_xlfn._xlws.FILTER($R$2:$R$101,
ISNUMBER(SEARCH(LOWER($R$2:$R$101),LOWER(B56)))
))</f>
        <v>schapelle corby, corby</v>
      </c>
      <c r="N56">
        <f t="shared" si="0"/>
        <v>2</v>
      </c>
      <c r="O56" s="6" t="str" cm="1">
        <f t="array" ref="O56">_xlfn.TEXTJOIN(", ",TRUE,
_xlfn.UNIQUE(
_xlfn._xlws.FILTER($S$2:$S$200,
ISNUMBER(SEARCH(LOWER($R$2:$R$200),LOWER(B56)))
)
))</f>
        <v>Case Related, Familial based</v>
      </c>
      <c r="P56" cm="1">
        <f t="array" aca="1" ref="P56" ca="1">IFERROR(
    IF(N56=0, 0,
        SUMPRODUCT(
            N(
                _xlfn.IFNA(
                    VLOOKUP(
                        TRIM(MID(SUBSTITUTE(M56,",",REPT(" ",100)),
                        (ROW(INDIRECT("1:" &amp; LEN(M56)-LEN(SUBSTITUTE(M56,",","")) + 1))-1)*100 + 1, 100)),
                        $R$2:$T$101, 3, FALSE
                    ), 0)
            )
        ) / N56
    ),
0)</f>
        <v>0</v>
      </c>
      <c r="R56" t="s">
        <v>1030</v>
      </c>
      <c r="S56" t="s">
        <v>1022</v>
      </c>
      <c r="T56">
        <v>0</v>
      </c>
    </row>
    <row r="57" spans="1:20" ht="30.75">
      <c r="A57">
        <v>56</v>
      </c>
      <c r="B57" s="4" t="s">
        <v>98</v>
      </c>
      <c r="C57" s="1">
        <v>0.33333333300000001</v>
      </c>
      <c r="D57" s="1">
        <v>1</v>
      </c>
      <c r="E57" s="1">
        <v>0</v>
      </c>
      <c r="F57" s="1">
        <v>0</v>
      </c>
      <c r="G57" s="1">
        <v>1</v>
      </c>
      <c r="H57" s="1">
        <v>0</v>
      </c>
      <c r="I57" s="1">
        <v>0</v>
      </c>
      <c r="J57" s="1">
        <v>0</v>
      </c>
      <c r="K57" s="1">
        <v>0</v>
      </c>
      <c r="L57" s="1">
        <v>0</v>
      </c>
      <c r="M57" s="6" t="str" cm="1">
        <f t="array" ref="M57">_xlfn.TEXTJOIN(", ",TRUE,
_xlfn._xlws.FILTER($R$2:$R$101,
ISNUMBER(SEARCH(LOWER($R$2:$R$101),LOWER(B57)))
))</f>
        <v>schapelle corby, af, corby</v>
      </c>
      <c r="N57">
        <f t="shared" si="0"/>
        <v>3</v>
      </c>
      <c r="O57" s="6" t="str" cm="1">
        <f t="array" ref="O57">_xlfn.TEXTJOIN(", ",TRUE,
_xlfn.UNIQUE(
_xlfn._xlws.FILTER($S$2:$S$200,
ISNUMBER(SEARCH(LOWER($R$2:$R$200),LOWER(B57)))
)
))</f>
        <v>Case Related, Intelligence based, Familial based</v>
      </c>
      <c r="P57" cm="1">
        <f t="array" aca="1" ref="P57" ca="1">IFERROR(
    IF(N57=0, 0,
        SUMPRODUCT(
            N(
                _xlfn.IFNA(
                    VLOOKUP(
                        TRIM(MID(SUBSTITUTE(M57,",",REPT(" ",100)),
                        (ROW(INDIRECT("1:" &amp; LEN(M57)-LEN(SUBSTITUTE(M57,",","")) + 1))-1)*100 + 1, 100)),
                        $R$2:$T$101, 3, FALSE
                    ), 0)
            )
        ) / N57
    ),
0)</f>
        <v>0.33333333333333331</v>
      </c>
      <c r="R57" t="s">
        <v>1031</v>
      </c>
      <c r="S57" t="s">
        <v>1032</v>
      </c>
      <c r="T57">
        <v>3</v>
      </c>
    </row>
    <row r="58" spans="1:20">
      <c r="A58">
        <v>57</v>
      </c>
      <c r="B58" s="4" t="s">
        <v>100</v>
      </c>
      <c r="C58" s="1">
        <v>0</v>
      </c>
      <c r="D58" s="1">
        <v>0</v>
      </c>
      <c r="E58" s="1">
        <v>0</v>
      </c>
      <c r="F58" s="1">
        <v>0</v>
      </c>
      <c r="G58" s="1">
        <v>0</v>
      </c>
      <c r="H58" s="1">
        <v>0</v>
      </c>
      <c r="I58" s="1">
        <v>0</v>
      </c>
      <c r="J58" s="1">
        <v>0</v>
      </c>
      <c r="K58" s="1">
        <v>0</v>
      </c>
      <c r="L58" s="1">
        <v>0</v>
      </c>
      <c r="M58" s="6" t="str" cm="1">
        <f t="array" ref="M58">_xlfn.TEXTJOIN(", ",TRUE,
_xlfn._xlws.FILTER($R$2:$R$101,
ISNUMBER(SEARCH(LOWER($R$2:$R$101),LOWER(B58)))
))</f>
        <v>schapelle corby, corby</v>
      </c>
      <c r="N58">
        <f t="shared" si="0"/>
        <v>2</v>
      </c>
      <c r="O58" s="6" t="str" cm="1">
        <f t="array" ref="O58">_xlfn.TEXTJOIN(", ",TRUE,
_xlfn.UNIQUE(
_xlfn._xlws.FILTER($S$2:$S$200,
ISNUMBER(SEARCH(LOWER($R$2:$R$200),LOWER(B58)))
)
))</f>
        <v>Case Related, Familial based</v>
      </c>
      <c r="P58" cm="1">
        <f t="array" aca="1" ref="P58" ca="1">IFERROR(
    IF(N58=0, 0,
        SUMPRODUCT(
            N(
                _xlfn.IFNA(
                    VLOOKUP(
                        TRIM(MID(SUBSTITUTE(M58,",",REPT(" ",100)),
                        (ROW(INDIRECT("1:" &amp; LEN(M58)-LEN(SUBSTITUTE(M58,",","")) + 1))-1)*100 + 1, 100)),
                        $R$2:$T$101, 3, FALSE
                    ), 0)
            )
        ) / N58
    ),
0)</f>
        <v>0</v>
      </c>
      <c r="R58" t="s">
        <v>1033</v>
      </c>
      <c r="S58" t="s">
        <v>1032</v>
      </c>
      <c r="T58">
        <v>3</v>
      </c>
    </row>
    <row r="59" spans="1:20">
      <c r="A59">
        <v>58</v>
      </c>
      <c r="B59" s="4" t="s">
        <v>102</v>
      </c>
      <c r="C59" s="1">
        <v>0</v>
      </c>
      <c r="D59" s="1">
        <v>0</v>
      </c>
      <c r="E59" s="1">
        <v>0</v>
      </c>
      <c r="F59" s="1">
        <v>0</v>
      </c>
      <c r="G59" s="1">
        <v>0</v>
      </c>
      <c r="H59" s="1">
        <v>0</v>
      </c>
      <c r="I59" s="1">
        <v>0</v>
      </c>
      <c r="J59" s="1">
        <v>0</v>
      </c>
      <c r="K59" s="1">
        <v>0</v>
      </c>
      <c r="L59" s="1">
        <v>0</v>
      </c>
      <c r="M59" s="6" t="str" cm="1">
        <f t="array" ref="M59">_xlfn.TEXTJOIN(", ",TRUE,
_xlfn._xlws.FILTER($R$2:$R$101,
ISNUMBER(SEARCH(LOWER($R$2:$R$101),LOWER(B59)))
))</f>
        <v>schapelle corby, boogie board, corby</v>
      </c>
      <c r="N59">
        <f t="shared" si="0"/>
        <v>3</v>
      </c>
      <c r="O59" s="6" t="str" cm="1">
        <f t="array" ref="O59">_xlfn.TEXTJOIN(", ",TRUE,
_xlfn.UNIQUE(
_xlfn._xlws.FILTER($S$2:$S$200,
ISNUMBER(SEARCH(LOWER($R$2:$R$200),LOWER(B59)))
)
))</f>
        <v>Case Related, Familial based</v>
      </c>
      <c r="P59" cm="1">
        <f t="array" aca="1" ref="P59" ca="1">IFERROR(
    IF(N59=0, 0,
        SUMPRODUCT(
            N(
                _xlfn.IFNA(
                    VLOOKUP(
                        TRIM(MID(SUBSTITUTE(M59,",",REPT(" ",100)),
                        (ROW(INDIRECT("1:" &amp; LEN(M59)-LEN(SUBSTITUTE(M59,",","")) + 1))-1)*100 + 1, 100)),
                        $R$2:$T$101, 3, FALSE
                    ), 0)
            )
        ) / N59
    ),
0)</f>
        <v>0</v>
      </c>
      <c r="R59" t="s">
        <v>1034</v>
      </c>
      <c r="S59" t="s">
        <v>1032</v>
      </c>
      <c r="T59">
        <v>4</v>
      </c>
    </row>
    <row r="60" spans="1:20" ht="30.75">
      <c r="A60">
        <v>59</v>
      </c>
      <c r="B60" s="4" t="s">
        <v>104</v>
      </c>
      <c r="C60" s="1">
        <v>0.2</v>
      </c>
      <c r="D60" s="1">
        <v>0</v>
      </c>
      <c r="E60" s="1">
        <v>0</v>
      </c>
      <c r="F60" s="1">
        <v>0.5</v>
      </c>
      <c r="G60" s="1">
        <v>0</v>
      </c>
      <c r="H60" s="1">
        <v>0</v>
      </c>
      <c r="I60" s="1">
        <v>0</v>
      </c>
      <c r="J60" s="1">
        <v>0</v>
      </c>
      <c r="K60" s="1">
        <v>0</v>
      </c>
      <c r="L60" s="1">
        <v>0</v>
      </c>
      <c r="M60" s="6" t="str" cm="1">
        <f t="array" ref="M60">_xlfn.TEXTJOIN(", ",TRUE,
_xlfn._xlws.FILTER($R$2:$R$101,
ISNUMBER(SEARCH(LOWER($R$2:$R$101),LOWER(B60)))
))</f>
        <v>schapelle corby, convicted drug smuggler, drug smuggler, corby, convicted</v>
      </c>
      <c r="N60">
        <f t="shared" si="0"/>
        <v>5</v>
      </c>
      <c r="O60" s="6" t="str" cm="1">
        <f t="array" ref="O60">_xlfn.TEXTJOIN(", ",TRUE,
_xlfn.UNIQUE(
_xlfn._xlws.FILTER($S$2:$S$200,
ISNUMBER(SEARCH(LOWER($R$2:$R$200),LOWER(B60)))
)
))</f>
        <v>Case Related, Crime based, Familial based, Legality based</v>
      </c>
      <c r="P60" cm="1">
        <f t="array" aca="1" ref="P60" ca="1">IFERROR(
    IF(N60=0, 0,
        SUMPRODUCT(
            N(
                _xlfn.IFNA(
                    VLOOKUP(
                        TRIM(MID(SUBSTITUTE(M60,",",REPT(" ",100)),
                        (ROW(INDIRECT("1:" &amp; LEN(M60)-LEN(SUBSTITUTE(M60,",","")) + 1))-1)*100 + 1, 100)),
                        $R$2:$T$101, 3, FALSE
                    ), 0)
            )
        ) / N60
    ),
0)</f>
        <v>0.2</v>
      </c>
      <c r="R60" t="s">
        <v>1035</v>
      </c>
      <c r="S60" t="s">
        <v>1032</v>
      </c>
      <c r="T60">
        <v>4</v>
      </c>
    </row>
    <row r="61" spans="1:20" ht="30.75">
      <c r="A61">
        <v>60</v>
      </c>
      <c r="B61" s="4" t="s">
        <v>106</v>
      </c>
      <c r="C61" s="1">
        <v>0</v>
      </c>
      <c r="D61" s="1">
        <v>0</v>
      </c>
      <c r="E61" s="1">
        <v>0</v>
      </c>
      <c r="F61" s="1">
        <v>0</v>
      </c>
      <c r="G61" s="1">
        <v>0</v>
      </c>
      <c r="H61" s="1">
        <v>0</v>
      </c>
      <c r="I61" s="1">
        <v>0</v>
      </c>
      <c r="J61" s="1">
        <v>0</v>
      </c>
      <c r="K61" s="1">
        <v>0</v>
      </c>
      <c r="L61" s="1">
        <v>0</v>
      </c>
      <c r="M61" s="6" t="str" cm="1">
        <f t="array" ref="M61">_xlfn.TEXTJOIN(", ",TRUE,
_xlfn._xlws.FILTER($R$2:$R$101,
ISNUMBER(SEARCH(LOWER($R$2:$R$101),LOWER(B61)))
))</f>
        <v>schapelle corby, corby</v>
      </c>
      <c r="N61">
        <f t="shared" si="0"/>
        <v>2</v>
      </c>
      <c r="O61" s="6" t="str" cm="1">
        <f t="array" ref="O61">_xlfn.TEXTJOIN(", ",TRUE,
_xlfn.UNIQUE(
_xlfn._xlws.FILTER($S$2:$S$200,
ISNUMBER(SEARCH(LOWER($R$2:$R$200),LOWER(B61)))
)
))</f>
        <v>Case Related, Familial based</v>
      </c>
      <c r="P61" cm="1">
        <f t="array" aca="1" ref="P61" ca="1">IFERROR(
    IF(N61=0, 0,
        SUMPRODUCT(
            N(
                _xlfn.IFNA(
                    VLOOKUP(
                        TRIM(MID(SUBSTITUTE(M61,",",REPT(" ",100)),
                        (ROW(INDIRECT("1:" &amp; LEN(M61)-LEN(SUBSTITUTE(M61,",","")) + 1))-1)*100 + 1, 100)),
                        $R$2:$T$101, 3, FALSE
                    ), 0)
            )
        ) / N61
    ),
0)</f>
        <v>0</v>
      </c>
      <c r="R61" t="s">
        <v>1036</v>
      </c>
      <c r="S61" t="s">
        <v>1032</v>
      </c>
      <c r="T61">
        <v>4</v>
      </c>
    </row>
    <row r="62" spans="1:20">
      <c r="A62">
        <v>61</v>
      </c>
      <c r="B62" s="4" t="s">
        <v>108</v>
      </c>
      <c r="C62" s="1">
        <v>0</v>
      </c>
      <c r="D62" s="1">
        <v>0</v>
      </c>
      <c r="E62" s="1">
        <v>0</v>
      </c>
      <c r="F62" s="1">
        <v>0</v>
      </c>
      <c r="G62" s="1">
        <v>0</v>
      </c>
      <c r="H62" s="1">
        <v>0</v>
      </c>
      <c r="I62" s="1">
        <v>0</v>
      </c>
      <c r="J62" s="1">
        <v>0</v>
      </c>
      <c r="K62" s="1">
        <v>0</v>
      </c>
      <c r="L62" s="1">
        <v>0</v>
      </c>
      <c r="M62" s="6" t="str" cm="1">
        <f t="array" ref="M62">_xlfn.TEXTJOIN(", ",TRUE,
_xlfn._xlws.FILTER($R$2:$R$101,
ISNUMBER(SEARCH(LOWER($R$2:$R$101),LOWER(B62)))
))</f>
        <v>schapelle corby, corby</v>
      </c>
      <c r="N62">
        <f t="shared" si="0"/>
        <v>2</v>
      </c>
      <c r="O62" s="6" t="str" cm="1">
        <f t="array" ref="O62">_xlfn.TEXTJOIN(", ",TRUE,
_xlfn.UNIQUE(
_xlfn._xlws.FILTER($S$2:$S$200,
ISNUMBER(SEARCH(LOWER($R$2:$R$200),LOWER(B62)))
)
))</f>
        <v>Case Related, Familial based</v>
      </c>
      <c r="P62" cm="1">
        <f t="array" aca="1" ref="P62" ca="1">IFERROR(
    IF(N62=0, 0,
        SUMPRODUCT(
            N(
                _xlfn.IFNA(
                    VLOOKUP(
                        TRIM(MID(SUBSTITUTE(M62,",",REPT(" ",100)),
                        (ROW(INDIRECT("1:" &amp; LEN(M62)-LEN(SUBSTITUTE(M62,",","")) + 1))-1)*100 + 1, 100)),
                        $R$2:$T$101, 3, FALSE
                    ), 0)
            )
        ) / N62
    ),
0)</f>
        <v>0</v>
      </c>
      <c r="R62" t="s">
        <v>1037</v>
      </c>
      <c r="S62" t="s">
        <v>1032</v>
      </c>
      <c r="T62">
        <v>4</v>
      </c>
    </row>
    <row r="63" spans="1:20" ht="30.75">
      <c r="A63">
        <v>62</v>
      </c>
      <c r="B63" s="4" t="s">
        <v>110</v>
      </c>
      <c r="C63" s="1">
        <v>0</v>
      </c>
      <c r="D63" s="1">
        <v>0</v>
      </c>
      <c r="E63" s="1">
        <v>0</v>
      </c>
      <c r="F63" s="1">
        <v>0</v>
      </c>
      <c r="G63" s="1">
        <v>0</v>
      </c>
      <c r="H63" s="1">
        <v>0</v>
      </c>
      <c r="I63" s="1">
        <v>0</v>
      </c>
      <c r="J63" s="1">
        <v>0</v>
      </c>
      <c r="K63" s="1">
        <v>0</v>
      </c>
      <c r="L63" s="1">
        <v>0</v>
      </c>
      <c r="M63" s="6" t="str" cm="1">
        <f t="array" ref="M63">_xlfn.TEXTJOIN(", ",TRUE,
_xlfn._xlws.FILTER($R$2:$R$101,
ISNUMBER(SEARCH(LOWER($R$2:$R$101),LOWER(B63)))
))</f>
        <v>schapelle corby, corby</v>
      </c>
      <c r="N63">
        <f t="shared" si="0"/>
        <v>2</v>
      </c>
      <c r="O63" s="6" t="str" cm="1">
        <f t="array" ref="O63">_xlfn.TEXTJOIN(", ",TRUE,
_xlfn.UNIQUE(
_xlfn._xlws.FILTER($S$2:$S$200,
ISNUMBER(SEARCH(LOWER($R$2:$R$200),LOWER(B63)))
)
))</f>
        <v>Case Related, Familial based</v>
      </c>
      <c r="P63" cm="1">
        <f t="array" aca="1" ref="P63" ca="1">IFERROR(
    IF(N63=0, 0,
        SUMPRODUCT(
            N(
                _xlfn.IFNA(
                    VLOOKUP(
                        TRIM(MID(SUBSTITUTE(M63,",",REPT(" ",100)),
                        (ROW(INDIRECT("1:" &amp; LEN(M63)-LEN(SUBSTITUTE(M63,",","")) + 1))-1)*100 + 1, 100)),
                        $R$2:$T$101, 3, FALSE
                    ), 0)
            )
        ) / N63
    ),
0)</f>
        <v>0</v>
      </c>
      <c r="R63" t="s">
        <v>1038</v>
      </c>
      <c r="S63" t="s">
        <v>1032</v>
      </c>
      <c r="T63">
        <v>3</v>
      </c>
    </row>
    <row r="64" spans="1:20" ht="30.75">
      <c r="A64">
        <v>63</v>
      </c>
      <c r="B64" s="4" t="s">
        <v>112</v>
      </c>
      <c r="C64" s="1">
        <v>0</v>
      </c>
      <c r="D64" s="1">
        <v>0</v>
      </c>
      <c r="E64" s="1">
        <v>0</v>
      </c>
      <c r="F64" s="1">
        <v>0</v>
      </c>
      <c r="G64" s="1">
        <v>0</v>
      </c>
      <c r="H64" s="1">
        <v>0</v>
      </c>
      <c r="I64" s="1">
        <v>0</v>
      </c>
      <c r="J64" s="1">
        <v>0</v>
      </c>
      <c r="K64" s="1">
        <v>0</v>
      </c>
      <c r="L64" s="1">
        <v>0</v>
      </c>
      <c r="M64" s="6" t="str" cm="1">
        <f t="array" ref="M64">_xlfn.TEXTJOIN(", ",TRUE,
_xlfn._xlws.FILTER($R$2:$R$101,
ISNUMBER(SEARCH(LOWER($R$2:$R$101),LOWER(B64)))
))</f>
        <v>schapelle corby, corby</v>
      </c>
      <c r="N64">
        <f t="shared" si="0"/>
        <v>2</v>
      </c>
      <c r="O64" s="6" t="str" cm="1">
        <f t="array" ref="O64">_xlfn.TEXTJOIN(", ",TRUE,
_xlfn.UNIQUE(
_xlfn._xlws.FILTER($S$2:$S$200,
ISNUMBER(SEARCH(LOWER($R$2:$R$200),LOWER(B64)))
)
))</f>
        <v>Case Related, Familial based</v>
      </c>
      <c r="P64" cm="1">
        <f t="array" aca="1" ref="P64" ca="1">IFERROR(
    IF(N64=0, 0,
        SUMPRODUCT(
            N(
                _xlfn.IFNA(
                    VLOOKUP(
                        TRIM(MID(SUBSTITUTE(M64,",",REPT(" ",100)),
                        (ROW(INDIRECT("1:" &amp; LEN(M64)-LEN(SUBSTITUTE(M64,",","")) + 1))-1)*100 + 1, 100)),
                        $R$2:$T$101, 3, FALSE
                    ), 0)
            )
        ) / N64
    ),
0)</f>
        <v>0</v>
      </c>
      <c r="R64" t="s">
        <v>1039</v>
      </c>
      <c r="S64" t="s">
        <v>1032</v>
      </c>
      <c r="T64">
        <v>1</v>
      </c>
    </row>
    <row r="65" spans="1:20">
      <c r="A65">
        <v>64</v>
      </c>
      <c r="B65" s="4" t="s">
        <v>114</v>
      </c>
      <c r="C65" s="1">
        <v>0</v>
      </c>
      <c r="D65" s="1">
        <v>0</v>
      </c>
      <c r="E65" s="1">
        <v>0</v>
      </c>
      <c r="F65" s="1">
        <v>0</v>
      </c>
      <c r="G65" s="1">
        <v>0</v>
      </c>
      <c r="H65" s="1">
        <v>0</v>
      </c>
      <c r="I65" s="1">
        <v>0</v>
      </c>
      <c r="J65" s="1">
        <v>0</v>
      </c>
      <c r="K65" s="1">
        <v>0</v>
      </c>
      <c r="L65" s="1">
        <v>0</v>
      </c>
      <c r="M65" s="6" t="str" cm="1">
        <f t="array" ref="M65">_xlfn.TEXTJOIN(", ",TRUE,
_xlfn._xlws.FILTER($R$2:$R$101,
ISNUMBER(SEARCH(LOWER($R$2:$R$101),LOWER(B65)))
))</f>
        <v>schapelle corby, corby</v>
      </c>
      <c r="N65">
        <f t="shared" si="0"/>
        <v>2</v>
      </c>
      <c r="O65" s="6" t="str" cm="1">
        <f t="array" ref="O65">_xlfn.TEXTJOIN(", ",TRUE,
_xlfn.UNIQUE(
_xlfn._xlws.FILTER($S$2:$S$200,
ISNUMBER(SEARCH(LOWER($R$2:$R$200),LOWER(B65)))
)
))</f>
        <v>Case Related, Familial based</v>
      </c>
      <c r="P65" cm="1">
        <f t="array" aca="1" ref="P65" ca="1">IFERROR(
    IF(N65=0, 0,
        SUMPRODUCT(
            N(
                _xlfn.IFNA(
                    VLOOKUP(
                        TRIM(MID(SUBSTITUTE(M65,",",REPT(" ",100)),
                        (ROW(INDIRECT("1:" &amp; LEN(M65)-LEN(SUBSTITUTE(M65,",","")) + 1))-1)*100 + 1, 100)),
                        $R$2:$T$101, 3, FALSE
                    ), 0)
            )
        ) / N65
    ),
0)</f>
        <v>0</v>
      </c>
      <c r="R65" t="s">
        <v>1040</v>
      </c>
      <c r="S65" t="s">
        <v>1041</v>
      </c>
      <c r="T65">
        <v>3</v>
      </c>
    </row>
    <row r="66" spans="1:20">
      <c r="A66">
        <v>65</v>
      </c>
      <c r="B66" s="4" t="s">
        <v>116</v>
      </c>
      <c r="C66" s="1">
        <v>0</v>
      </c>
      <c r="D66" s="1">
        <v>0</v>
      </c>
      <c r="E66" s="1">
        <v>0</v>
      </c>
      <c r="F66" s="1">
        <v>0</v>
      </c>
      <c r="G66" s="1">
        <v>0</v>
      </c>
      <c r="H66" s="1">
        <v>0</v>
      </c>
      <c r="I66" s="1">
        <v>0</v>
      </c>
      <c r="J66" s="1">
        <v>0</v>
      </c>
      <c r="K66" s="1">
        <v>0</v>
      </c>
      <c r="L66" s="1">
        <v>0</v>
      </c>
      <c r="M66" s="6" t="str" cm="1">
        <f t="array" ref="M66">_xlfn.TEXTJOIN(", ",TRUE,
_xlfn._xlws.FILTER($R$2:$R$101,
ISNUMBER(SEARCH(LOWER($R$2:$R$101),LOWER(B66)))
))</f>
        <v>schapelle corby, jail, corby</v>
      </c>
      <c r="N66">
        <f t="shared" si="0"/>
        <v>3</v>
      </c>
      <c r="O66" s="6" t="str" cm="1">
        <f t="array" ref="O66">_xlfn.TEXTJOIN(", ",TRUE,
_xlfn.UNIQUE(
_xlfn._xlws.FILTER($S$2:$S$200,
ISNUMBER(SEARCH(LOWER($R$2:$R$200),LOWER(B66)))
)
))</f>
        <v>Case Related, Crime based, Familial based</v>
      </c>
      <c r="P66" cm="1">
        <f t="array" aca="1" ref="P66" ca="1">IFERROR(
    IF(N66=0, 0,
        SUMPRODUCT(
            N(
                _xlfn.IFNA(
                    VLOOKUP(
                        TRIM(MID(SUBSTITUTE(M66,",",REPT(" ",100)),
                        (ROW(INDIRECT("1:" &amp; LEN(M66)-LEN(SUBSTITUTE(M66,",","")) + 1))-1)*100 + 1, 100)),
                        $R$2:$T$101, 3, FALSE
                    ), 0)
            )
        ) / N66
    ),
0)</f>
        <v>0</v>
      </c>
      <c r="R66" t="s">
        <v>1042</v>
      </c>
      <c r="S66" t="s">
        <v>1041</v>
      </c>
      <c r="T66">
        <v>0</v>
      </c>
    </row>
    <row r="67" spans="1:20" ht="30.75">
      <c r="A67">
        <v>66</v>
      </c>
      <c r="B67" s="4" t="s">
        <v>118</v>
      </c>
      <c r="C67" s="1">
        <v>0.25</v>
      </c>
      <c r="D67" s="1">
        <v>0.75</v>
      </c>
      <c r="E67" s="1">
        <v>0</v>
      </c>
      <c r="F67" s="1">
        <v>0</v>
      </c>
      <c r="G67" s="1">
        <v>1</v>
      </c>
      <c r="H67" s="1">
        <v>0</v>
      </c>
      <c r="I67" s="1">
        <v>0</v>
      </c>
      <c r="J67" s="1">
        <v>0</v>
      </c>
      <c r="K67" s="1">
        <v>0</v>
      </c>
      <c r="L67" s="1">
        <v>0</v>
      </c>
      <c r="M67" s="6" t="str" cm="1">
        <f t="array" ref="M67">_xlfn.TEXTJOIN(", ",TRUE,
_xlfn._xlws.FILTER($R$2:$R$101,
ISNUMBER(SEARCH(LOWER($R$2:$R$101),LOWER(B67)))
))</f>
        <v>schapelle corby, australia, af, corby</v>
      </c>
      <c r="N67">
        <f t="shared" ref="N67:N130" si="1">IF(M67="","0",LEN(M67)-LEN(SUBSTITUTE(M67,",",""))+1)</f>
        <v>4</v>
      </c>
      <c r="O67" s="6" t="str" cm="1">
        <f t="array" ref="O67">_xlfn.TEXTJOIN(", ",TRUE,
_xlfn.UNIQUE(
_xlfn._xlws.FILTER($S$2:$S$200,
ISNUMBER(SEARCH(LOWER($R$2:$R$200),LOWER(B67)))
)
))</f>
        <v>Case Related, Intelligence based, Familial based</v>
      </c>
      <c r="P67" cm="1">
        <f t="array" aca="1" ref="P67" ca="1">IFERROR(
    IF(N67=0, 0,
        SUMPRODUCT(
            N(
                _xlfn.IFNA(
                    VLOOKUP(
                        TRIM(MID(SUBSTITUTE(M67,",",REPT(" ",100)),
                        (ROW(INDIRECT("1:" &amp; LEN(M67)-LEN(SUBSTITUTE(M67,",","")) + 1))-1)*100 + 1, 100)),
                        $R$2:$T$101, 3, FALSE
                    ), 0)
            )
        ) / N67
    ),
0)</f>
        <v>0.25</v>
      </c>
      <c r="R67" t="s">
        <v>1043</v>
      </c>
      <c r="S67" t="s">
        <v>1041</v>
      </c>
      <c r="T67">
        <v>0</v>
      </c>
    </row>
    <row r="68" spans="1:20">
      <c r="A68">
        <v>67</v>
      </c>
      <c r="B68" s="4" t="s">
        <v>120</v>
      </c>
      <c r="C68" s="1">
        <v>0</v>
      </c>
      <c r="D68" s="1">
        <v>0</v>
      </c>
      <c r="E68" s="1">
        <v>0</v>
      </c>
      <c r="F68" s="1">
        <v>0</v>
      </c>
      <c r="G68" s="1">
        <v>0</v>
      </c>
      <c r="H68" s="1">
        <v>0</v>
      </c>
      <c r="I68" s="1">
        <v>0</v>
      </c>
      <c r="J68" s="1">
        <v>0</v>
      </c>
      <c r="K68" s="1">
        <v>0</v>
      </c>
      <c r="L68" s="1">
        <v>0</v>
      </c>
      <c r="M68" s="6" t="str" cm="1">
        <f t="array" ref="M68">_xlfn.TEXTJOIN(", ",TRUE,
_xlfn._xlws.FILTER($R$2:$R$101,
ISNUMBER(SEARCH(LOWER($R$2:$R$101),LOWER(B68)))
))</f>
        <v>schapelle corby, australian, australia, corby</v>
      </c>
      <c r="N68">
        <f t="shared" si="1"/>
        <v>4</v>
      </c>
      <c r="O68" s="6" t="str" cm="1">
        <f t="array" ref="O68">_xlfn.TEXTJOIN(", ",TRUE,
_xlfn.UNIQUE(
_xlfn._xlws.FILTER($S$2:$S$200,
ISNUMBER(SEARCH(LOWER($R$2:$R$200),LOWER(B68)))
)
))</f>
        <v>Case Related, Familial based</v>
      </c>
      <c r="P68" cm="1">
        <f t="array" aca="1" ref="P68" ca="1">IFERROR(
    IF(N68=0, 0,
        SUMPRODUCT(
            N(
                _xlfn.IFNA(
                    VLOOKUP(
                        TRIM(MID(SUBSTITUTE(M68,",",REPT(" ",100)),
                        (ROW(INDIRECT("1:" &amp; LEN(M68)-LEN(SUBSTITUTE(M68,",","")) + 1))-1)*100 + 1, 100)),
                        $R$2:$T$101, 3, FALSE
                    ), 0)
            )
        ) / N68
    ),
0)</f>
        <v>0</v>
      </c>
      <c r="R68" t="s">
        <v>1044</v>
      </c>
      <c r="S68" t="s">
        <v>1041</v>
      </c>
      <c r="T68">
        <v>2</v>
      </c>
    </row>
    <row r="69" spans="1:20" ht="30.75">
      <c r="A69">
        <v>68</v>
      </c>
      <c r="B69" s="4" t="s">
        <v>122</v>
      </c>
      <c r="C69" s="1">
        <v>0</v>
      </c>
      <c r="D69" s="1">
        <v>0</v>
      </c>
      <c r="E69" s="1">
        <v>0</v>
      </c>
      <c r="F69" s="1">
        <v>0</v>
      </c>
      <c r="G69" s="1">
        <v>0</v>
      </c>
      <c r="H69" s="1">
        <v>0</v>
      </c>
      <c r="I69" s="1">
        <v>0</v>
      </c>
      <c r="J69" s="1">
        <v>0</v>
      </c>
      <c r="K69" s="1">
        <v>0</v>
      </c>
      <c r="L69" s="1">
        <v>0</v>
      </c>
      <c r="M69" s="6" t="str" cm="1">
        <f t="array" ref="M69">_xlfn.TEXTJOIN(", ",TRUE,
_xlfn._xlws.FILTER($R$2:$R$101,
ISNUMBER(SEARCH(LOWER($R$2:$R$101),LOWER(B69)))
))</f>
        <v>schapelle corby, corby</v>
      </c>
      <c r="N69">
        <f t="shared" si="1"/>
        <v>2</v>
      </c>
      <c r="O69" s="6" t="str" cm="1">
        <f t="array" ref="O69">_xlfn.TEXTJOIN(", ",TRUE,
_xlfn.UNIQUE(
_xlfn._xlws.FILTER($S$2:$S$200,
ISNUMBER(SEARCH(LOWER($R$2:$R$200),LOWER(B69)))
)
))</f>
        <v>Case Related, Familial based</v>
      </c>
      <c r="P69" cm="1">
        <f t="array" aca="1" ref="P69" ca="1">IFERROR(
    IF(N69=0, 0,
        SUMPRODUCT(
            N(
                _xlfn.IFNA(
                    VLOOKUP(
                        TRIM(MID(SUBSTITUTE(M69,",",REPT(" ",100)),
                        (ROW(INDIRECT("1:" &amp; LEN(M69)-LEN(SUBSTITUTE(M69,",","")) + 1))-1)*100 + 1, 100)),
                        $R$2:$T$101, 3, FALSE
                    ), 0)
            )
        ) / N69
    ),
0)</f>
        <v>0</v>
      </c>
      <c r="R69" t="s">
        <v>1045</v>
      </c>
      <c r="S69" t="s">
        <v>1046</v>
      </c>
      <c r="T69">
        <v>3</v>
      </c>
    </row>
    <row r="70" spans="1:20" ht="30.75">
      <c r="A70">
        <v>69</v>
      </c>
      <c r="B70" s="4" t="s">
        <v>124</v>
      </c>
      <c r="C70" s="1">
        <v>0.4</v>
      </c>
      <c r="D70" s="1">
        <v>0.6</v>
      </c>
      <c r="E70" s="1">
        <v>0</v>
      </c>
      <c r="F70" s="1">
        <v>1</v>
      </c>
      <c r="G70" s="1">
        <v>1</v>
      </c>
      <c r="H70" s="1">
        <v>0</v>
      </c>
      <c r="I70" s="1">
        <v>0</v>
      </c>
      <c r="J70" s="1">
        <v>0</v>
      </c>
      <c r="K70" s="1">
        <v>0</v>
      </c>
      <c r="L70" s="1">
        <v>0</v>
      </c>
      <c r="M70" s="6" t="str" cm="1">
        <f t="array" ref="M70">_xlfn.TEXTJOIN(", ",TRUE,
_xlfn._xlws.FILTER($R$2:$R$101,
ISNUMBER(SEARCH(LOWER($R$2:$R$101),LOWER(B70)))
))</f>
        <v>schapelle corby, drug trafficking, af, corby, innocent</v>
      </c>
      <c r="N70">
        <f t="shared" si="1"/>
        <v>5</v>
      </c>
      <c r="O70" s="6" t="str" cm="1">
        <f t="array" ref="O70">_xlfn.TEXTJOIN(", ",TRUE,
_xlfn.UNIQUE(
_xlfn._xlws.FILTER($S$2:$S$200,
ISNUMBER(SEARCH(LOWER($R$2:$R$200),LOWER(B70)))
)
))</f>
        <v>Case Related, Crime based, Intelligence based, Familial based, Legality based</v>
      </c>
      <c r="P70" cm="1">
        <f t="array" aca="1" ref="P70" ca="1">IFERROR(
    IF(N70=0, 0,
        SUMPRODUCT(
            N(
                _xlfn.IFNA(
                    VLOOKUP(
                        TRIM(MID(SUBSTITUTE(M70,",",REPT(" ",100)),
                        (ROW(INDIRECT("1:" &amp; LEN(M70)-LEN(SUBSTITUTE(M70,",","")) + 1))-1)*100 + 1, 100)),
                        $R$2:$T$101, 3, FALSE
                    ), 0)
            )
        ) / N70
    ),
0)</f>
        <v>0.4</v>
      </c>
      <c r="R70" t="s">
        <v>1047</v>
      </c>
      <c r="S70" t="s">
        <v>1046</v>
      </c>
      <c r="T70">
        <v>3</v>
      </c>
    </row>
    <row r="71" spans="1:20" ht="60.75">
      <c r="A71">
        <v>70</v>
      </c>
      <c r="B71" s="4" t="s">
        <v>126</v>
      </c>
      <c r="C71" s="1">
        <v>0</v>
      </c>
      <c r="D71" s="1">
        <v>0</v>
      </c>
      <c r="E71" s="1">
        <v>0</v>
      </c>
      <c r="F71" s="1">
        <v>0</v>
      </c>
      <c r="G71" s="1">
        <v>0</v>
      </c>
      <c r="H71" s="1">
        <v>0</v>
      </c>
      <c r="I71" s="1">
        <v>0</v>
      </c>
      <c r="J71" s="1">
        <v>0</v>
      </c>
      <c r="K71" s="1">
        <v>0</v>
      </c>
      <c r="L71" s="1">
        <v>0</v>
      </c>
      <c r="M71" s="6" t="str" cm="1">
        <f t="array" ref="M71">_xlfn.TEXTJOIN(", ",TRUE,
_xlfn._xlws.FILTER($R$2:$R$101,
ISNUMBER(SEARCH(LOWER($R$2:$R$101),LOWER(B71)))
))</f>
        <v>schapelle corby, corby</v>
      </c>
      <c r="N71">
        <f t="shared" si="1"/>
        <v>2</v>
      </c>
      <c r="O71" s="6" t="str" cm="1">
        <f t="array" ref="O71">_xlfn.TEXTJOIN(", ",TRUE,
_xlfn.UNIQUE(
_xlfn._xlws.FILTER($S$2:$S$200,
ISNUMBER(SEARCH(LOWER($R$2:$R$200),LOWER(B71)))
)
))</f>
        <v>Case Related, Familial based</v>
      </c>
      <c r="P71" cm="1">
        <f t="array" aca="1" ref="P71" ca="1">IFERROR(
    IF(N71=0, 0,
        SUMPRODUCT(
            N(
                _xlfn.IFNA(
                    VLOOKUP(
                        TRIM(MID(SUBSTITUTE(M71,",",REPT(" ",100)),
                        (ROW(INDIRECT("1:" &amp; LEN(M71)-LEN(SUBSTITUTE(M71,",","")) + 1))-1)*100 + 1, 100)),
                        $R$2:$T$101, 3, FALSE
                    ), 0)
            )
        ) / N71
    ),
0)</f>
        <v>0</v>
      </c>
      <c r="R71" t="s">
        <v>1048</v>
      </c>
      <c r="S71" t="s">
        <v>1046</v>
      </c>
      <c r="T71">
        <v>3</v>
      </c>
    </row>
    <row r="72" spans="1:20">
      <c r="A72">
        <v>71</v>
      </c>
      <c r="B72" s="4" t="s">
        <v>128</v>
      </c>
      <c r="C72" s="1">
        <v>0</v>
      </c>
      <c r="D72" s="1">
        <v>0</v>
      </c>
      <c r="E72" s="1">
        <v>0</v>
      </c>
      <c r="F72" s="1">
        <v>0</v>
      </c>
      <c r="G72" s="1">
        <v>0</v>
      </c>
      <c r="H72" s="1">
        <v>0</v>
      </c>
      <c r="I72" s="1">
        <v>0</v>
      </c>
      <c r="J72" s="1">
        <v>0</v>
      </c>
      <c r="K72" s="1">
        <v>0</v>
      </c>
      <c r="L72" s="1">
        <v>0</v>
      </c>
      <c r="M72" s="6" t="str" cm="1">
        <f t="array" ref="M72">_xlfn.TEXTJOIN(", ",TRUE,
_xlfn._xlws.FILTER($R$2:$R$101,
ISNUMBER(SEARCH(LOWER($R$2:$R$101),LOWER(B72)))
))</f>
        <v>schapelle corby, corby</v>
      </c>
      <c r="N72">
        <f t="shared" si="1"/>
        <v>2</v>
      </c>
      <c r="O72" s="6" t="str" cm="1">
        <f t="array" ref="O72">_xlfn.TEXTJOIN(", ",TRUE,
_xlfn.UNIQUE(
_xlfn._xlws.FILTER($S$2:$S$200,
ISNUMBER(SEARCH(LOWER($R$2:$R$200),LOWER(B72)))
)
))</f>
        <v>Case Related, Familial based</v>
      </c>
      <c r="P72" cm="1">
        <f t="array" aca="1" ref="P72" ca="1">IFERROR(
    IF(N72=0, 0,
        SUMPRODUCT(
            N(
                _xlfn.IFNA(
                    VLOOKUP(
                        TRIM(MID(SUBSTITUTE(M72,",",REPT(" ",100)),
                        (ROW(INDIRECT("1:" &amp; LEN(M72)-LEN(SUBSTITUTE(M72,",","")) + 1))-1)*100 + 1, 100)),
                        $R$2:$T$101, 3, FALSE
                    ), 0)
            )
        ) / N72
    ),
0)</f>
        <v>0</v>
      </c>
      <c r="R72" t="s">
        <v>1049</v>
      </c>
      <c r="S72" t="s">
        <v>1046</v>
      </c>
      <c r="T72">
        <v>2</v>
      </c>
    </row>
    <row r="73" spans="1:20">
      <c r="A73">
        <v>72</v>
      </c>
      <c r="B73" s="4" t="s">
        <v>130</v>
      </c>
      <c r="C73" s="1">
        <v>0</v>
      </c>
      <c r="D73" s="1">
        <v>0</v>
      </c>
      <c r="E73" s="1">
        <v>0</v>
      </c>
      <c r="F73" s="1">
        <v>0</v>
      </c>
      <c r="G73" s="1">
        <v>0</v>
      </c>
      <c r="H73" s="1">
        <v>0</v>
      </c>
      <c r="I73" s="1">
        <v>0</v>
      </c>
      <c r="J73" s="1">
        <v>0</v>
      </c>
      <c r="K73" s="1">
        <v>0</v>
      </c>
      <c r="L73" s="1">
        <v>0</v>
      </c>
      <c r="M73" s="6" t="str" cm="1">
        <f t="array" ref="M73">_xlfn.TEXTJOIN(", ",TRUE,
_xlfn._xlws.FILTER($R$2:$R$101,
ISNUMBER(SEARCH(LOWER($R$2:$R$101),LOWER(B73)))
))</f>
        <v>schapelle corby, corby</v>
      </c>
      <c r="N73">
        <f t="shared" si="1"/>
        <v>2</v>
      </c>
      <c r="O73" s="6" t="str" cm="1">
        <f t="array" ref="O73">_xlfn.TEXTJOIN(", ",TRUE,
_xlfn.UNIQUE(
_xlfn._xlws.FILTER($S$2:$S$200,
ISNUMBER(SEARCH(LOWER($R$2:$R$200),LOWER(B73)))
)
))</f>
        <v>Case Related, Familial based</v>
      </c>
      <c r="P73" cm="1">
        <f t="array" aca="1" ref="P73" ca="1">IFERROR(
    IF(N73=0, 0,
        SUMPRODUCT(
            N(
                _xlfn.IFNA(
                    VLOOKUP(
                        TRIM(MID(SUBSTITUTE(M73,",",REPT(" ",100)),
                        (ROW(INDIRECT("1:" &amp; LEN(M73)-LEN(SUBSTITUTE(M73,",","")) + 1))-1)*100 + 1, 100)),
                        $R$2:$T$101, 3, FALSE
                    ), 0)
            )
        ) / N73
    ),
0)</f>
        <v>0</v>
      </c>
      <c r="R73" t="s">
        <v>1050</v>
      </c>
      <c r="S73" t="s">
        <v>1046</v>
      </c>
      <c r="T73">
        <v>2</v>
      </c>
    </row>
    <row r="74" spans="1:20" ht="30.75">
      <c r="A74">
        <v>73</v>
      </c>
      <c r="B74" s="4" t="s">
        <v>132</v>
      </c>
      <c r="C74" s="10">
        <v>0.16666666699999999</v>
      </c>
      <c r="D74" s="1">
        <v>0</v>
      </c>
      <c r="E74" s="1">
        <v>0</v>
      </c>
      <c r="F74" s="1">
        <v>1</v>
      </c>
      <c r="G74" s="1">
        <v>0</v>
      </c>
      <c r="H74" s="1">
        <v>0</v>
      </c>
      <c r="I74" s="1">
        <v>0</v>
      </c>
      <c r="J74" s="1">
        <v>0</v>
      </c>
      <c r="K74" s="1">
        <v>0</v>
      </c>
      <c r="L74" s="1">
        <v>0</v>
      </c>
      <c r="M74" s="6" t="str" cm="1">
        <f t="array" ref="M74">_xlfn.TEXTJOIN(", ",TRUE,
_xlfn._xlws.FILTER($R$2:$R$101,
ISNUMBER(SEARCH(LOWER($R$2:$R$101),LOWER(B74)))
))</f>
        <v>schapelle corby, australian, australia, drug smuggler, corby</v>
      </c>
      <c r="N74">
        <f t="shared" si="1"/>
        <v>5</v>
      </c>
      <c r="O74" s="6" t="str" cm="1">
        <f t="array" ref="O74">_xlfn.TEXTJOIN(", ",TRUE,
_xlfn.UNIQUE(
_xlfn._xlws.FILTER($S$2:$S$200,
ISNUMBER(SEARCH(LOWER($R$2:$R$200),LOWER(B74)))
)
))</f>
        <v>Case Related, Crime based, Familial based</v>
      </c>
      <c r="P74" cm="1">
        <f t="array" aca="1" ref="P74" ca="1">IFERROR(
    IF(N74=0, 0,
        SUMPRODUCT(
            N(
                _xlfn.IFNA(
                    VLOOKUP(
                        TRIM(MID(SUBSTITUTE(M74,",",REPT(" ",100)),
                        (ROW(INDIRECT("1:" &amp; LEN(M74)-LEN(SUBSTITUTE(M74,",","")) + 1))-1)*100 + 1, 100)),
                        $R$2:$T$101, 3, FALSE
                    ), 0)
            )
        ) / N74
    ),
0)</f>
        <v>0.2</v>
      </c>
      <c r="R74" t="s">
        <v>1051</v>
      </c>
      <c r="S74" t="s">
        <v>1046</v>
      </c>
      <c r="T74">
        <v>0</v>
      </c>
    </row>
    <row r="75" spans="1:20">
      <c r="A75">
        <v>74</v>
      </c>
      <c r="B75" s="4" t="s">
        <v>134</v>
      </c>
      <c r="C75" s="11">
        <v>0.33333333300000001</v>
      </c>
      <c r="D75" s="1">
        <v>0</v>
      </c>
      <c r="E75" s="1">
        <v>0.5</v>
      </c>
      <c r="F75" s="1">
        <v>0</v>
      </c>
      <c r="G75" s="1">
        <v>0</v>
      </c>
      <c r="H75" s="1">
        <v>0</v>
      </c>
      <c r="I75" s="1">
        <v>0</v>
      </c>
      <c r="J75" s="1">
        <v>0</v>
      </c>
      <c r="K75" s="1">
        <v>0</v>
      </c>
      <c r="L75" s="1">
        <v>0</v>
      </c>
      <c r="M75" s="6" t="str" cm="1">
        <f t="array" ref="M75">_xlfn.TEXTJOIN(", ",TRUE,
_xlfn._xlws.FILTER($R$2:$R$101,
ISNUMBER(SEARCH(LOWER($R$2:$R$101),LOWER(B75)))
))</f>
        <v>schapelle corby, media circus, corby</v>
      </c>
      <c r="N75">
        <f t="shared" si="1"/>
        <v>3</v>
      </c>
      <c r="O75" s="6" t="str" cm="1">
        <f t="array" ref="O75">_xlfn.TEXTJOIN(", ",TRUE,
_xlfn.UNIQUE(
_xlfn._xlws.FILTER($S$2:$S$200,
ISNUMBER(SEARCH(LOWER($R$2:$R$200),LOWER(B75)))
)
))</f>
        <v>Case Related, Familial based</v>
      </c>
      <c r="P75" s="8" cm="1">
        <f t="array" aca="1" ref="P75" ca="1">IFERROR(
    IF(N75=0, 0,
        SUMPRODUCT(
            N(
                _xlfn.IFNA(
                    VLOOKUP(
                        TRIM(MID(SUBSTITUTE(M75,",",REPT(" ",100)),
                        (ROW(INDIRECT("1:" &amp; LEN(M75)-LEN(SUBSTITUTE(M75,",","")) + 1))-1)*100 + 1, 100)),
                        $R$2:$T$101, 3, FALSE
                    ), 0)
            )
        ) / N75
    ),
0)</f>
        <v>0</v>
      </c>
      <c r="R75" t="s">
        <v>1052</v>
      </c>
      <c r="S75" t="s">
        <v>1046</v>
      </c>
      <c r="T75">
        <v>1</v>
      </c>
    </row>
    <row r="76" spans="1:20">
      <c r="A76">
        <v>75</v>
      </c>
      <c r="B76" s="4" t="s">
        <v>136</v>
      </c>
      <c r="C76" s="1">
        <v>0</v>
      </c>
      <c r="D76" s="1">
        <v>0</v>
      </c>
      <c r="E76" s="1">
        <v>0</v>
      </c>
      <c r="F76" s="1">
        <v>0</v>
      </c>
      <c r="G76" s="1">
        <v>0</v>
      </c>
      <c r="H76" s="1">
        <v>0</v>
      </c>
      <c r="I76" s="1">
        <v>0</v>
      </c>
      <c r="J76" s="1">
        <v>0</v>
      </c>
      <c r="K76" s="1">
        <v>0</v>
      </c>
      <c r="L76" s="1">
        <v>0</v>
      </c>
      <c r="M76" s="6" t="str" cm="1">
        <f t="array" ref="M76">_xlfn.TEXTJOIN(", ",TRUE,
_xlfn._xlws.FILTER($R$2:$R$101,
ISNUMBER(SEARCH(LOWER($R$2:$R$101),LOWER(B76)))
))</f>
        <v>schapelle corby, australia, corby</v>
      </c>
      <c r="N76">
        <f t="shared" si="1"/>
        <v>3</v>
      </c>
      <c r="O76" s="6" t="str" cm="1">
        <f t="array" ref="O76">_xlfn.TEXTJOIN(", ",TRUE,
_xlfn.UNIQUE(
_xlfn._xlws.FILTER($S$2:$S$200,
ISNUMBER(SEARCH(LOWER($R$2:$R$200),LOWER(B76)))
)
))</f>
        <v>Case Related, Familial based</v>
      </c>
      <c r="P76" cm="1">
        <f t="array" aca="1" ref="P76" ca="1">IFERROR(
    IF(N76=0, 0,
        SUMPRODUCT(
            N(
                _xlfn.IFNA(
                    VLOOKUP(
                        TRIM(MID(SUBSTITUTE(M76,",",REPT(" ",100)),
                        (ROW(INDIRECT("1:" &amp; LEN(M76)-LEN(SUBSTITUTE(M76,",","")) + 1))-1)*100 + 1, 100)),
                        $R$2:$T$101, 3, FALSE
                    ), 0)
            )
        ) / N76
    ),
0)</f>
        <v>0</v>
      </c>
      <c r="R76" t="s">
        <v>1053</v>
      </c>
      <c r="S76" t="s">
        <v>1046</v>
      </c>
      <c r="T76">
        <v>2</v>
      </c>
    </row>
    <row r="77" spans="1:20">
      <c r="A77">
        <v>76</v>
      </c>
      <c r="B77" s="4" t="s">
        <v>138</v>
      </c>
      <c r="C77" s="1">
        <v>0</v>
      </c>
      <c r="D77" s="1">
        <v>0</v>
      </c>
      <c r="E77" s="1">
        <v>0</v>
      </c>
      <c r="F77" s="1">
        <v>0</v>
      </c>
      <c r="G77" s="1">
        <v>0</v>
      </c>
      <c r="H77" s="1">
        <v>0</v>
      </c>
      <c r="I77" s="1">
        <v>0</v>
      </c>
      <c r="J77" s="1">
        <v>0</v>
      </c>
      <c r="K77" s="1">
        <v>0</v>
      </c>
      <c r="L77" s="1">
        <v>0</v>
      </c>
      <c r="M77" s="6" t="str" cm="1">
        <f t="array" ref="M77">_xlfn.TEXTJOIN(", ",TRUE,
_xlfn._xlws.FILTER($R$2:$R$101,
ISNUMBER(SEARCH(LOWER($R$2:$R$101),LOWER(B77)))
))</f>
        <v>schapelle corby, corby</v>
      </c>
      <c r="N77">
        <f t="shared" si="1"/>
        <v>2</v>
      </c>
      <c r="O77" s="6" t="str" cm="1">
        <f t="array" ref="O77">_xlfn.TEXTJOIN(", ",TRUE,
_xlfn.UNIQUE(
_xlfn._xlws.FILTER($S$2:$S$200,
ISNUMBER(SEARCH(LOWER($R$2:$R$200),LOWER(B77)))
)
))</f>
        <v>Case Related, Familial based</v>
      </c>
      <c r="P77" cm="1">
        <f t="array" aca="1" ref="P77" ca="1">IFERROR(
    IF(N77=0, 0,
        SUMPRODUCT(
            N(
                _xlfn.IFNA(
                    VLOOKUP(
                        TRIM(MID(SUBSTITUTE(M77,",",REPT(" ",100)),
                        (ROW(INDIRECT("1:" &amp; LEN(M77)-LEN(SUBSTITUTE(M77,",","")) + 1))-1)*100 + 1, 100)),
                        $R$2:$T$101, 3, FALSE
                    ), 0)
            )
        ) / N77
    ),
0)</f>
        <v>0</v>
      </c>
      <c r="R77" t="s">
        <v>1054</v>
      </c>
      <c r="S77" t="s">
        <v>1046</v>
      </c>
      <c r="T77">
        <v>4</v>
      </c>
    </row>
    <row r="78" spans="1:20">
      <c r="A78">
        <v>77</v>
      </c>
      <c r="B78" s="4" t="s">
        <v>140</v>
      </c>
      <c r="C78" s="1">
        <v>0</v>
      </c>
      <c r="D78" s="1">
        <v>0</v>
      </c>
      <c r="E78" s="1">
        <v>0</v>
      </c>
      <c r="F78" s="1">
        <v>0</v>
      </c>
      <c r="G78" s="1">
        <v>0</v>
      </c>
      <c r="H78" s="1">
        <v>0</v>
      </c>
      <c r="I78" s="1">
        <v>0</v>
      </c>
      <c r="J78" s="1">
        <v>0</v>
      </c>
      <c r="K78" s="1">
        <v>0</v>
      </c>
      <c r="L78" s="1">
        <v>0</v>
      </c>
      <c r="M78" s="6" t="str" cm="1">
        <f t="array" ref="M78">_xlfn.TEXTJOIN(", ",TRUE,
_xlfn._xlws.FILTER($R$2:$R$101,
ISNUMBER(SEARCH(LOWER($R$2:$R$101),LOWER(B78)))
))</f>
        <v>schapelle corby, corby</v>
      </c>
      <c r="N78">
        <f t="shared" si="1"/>
        <v>2</v>
      </c>
      <c r="O78" s="6" t="str" cm="1">
        <f t="array" ref="O78">_xlfn.TEXTJOIN(", ",TRUE,
_xlfn.UNIQUE(
_xlfn._xlws.FILTER($S$2:$S$200,
ISNUMBER(SEARCH(LOWER($R$2:$R$200),LOWER(B78)))
)
))</f>
        <v>Case Related, Familial based</v>
      </c>
      <c r="P78" cm="1">
        <f t="array" aca="1" ref="P78" ca="1">IFERROR(
    IF(N78=0, 0,
        SUMPRODUCT(
            N(
                _xlfn.IFNA(
                    VLOOKUP(
                        TRIM(MID(SUBSTITUTE(M78,",",REPT(" ",100)),
                        (ROW(INDIRECT("1:" &amp; LEN(M78)-LEN(SUBSTITUTE(M78,",","")) + 1))-1)*100 + 1, 100)),
                        $R$2:$T$101, 3, FALSE
                    ), 0)
            )
        ) / N78
    ),
0)</f>
        <v>0</v>
      </c>
      <c r="R78" t="s">
        <v>1055</v>
      </c>
      <c r="S78" t="s">
        <v>1046</v>
      </c>
      <c r="T78">
        <v>4</v>
      </c>
    </row>
    <row r="79" spans="1:20">
      <c r="A79">
        <v>78</v>
      </c>
      <c r="B79" s="4" t="s">
        <v>142</v>
      </c>
      <c r="C79" s="1">
        <v>0</v>
      </c>
      <c r="D79" s="1">
        <v>0</v>
      </c>
      <c r="E79" s="1">
        <v>0</v>
      </c>
      <c r="F79" s="1">
        <v>0</v>
      </c>
      <c r="G79" s="1">
        <v>0</v>
      </c>
      <c r="H79" s="1">
        <v>0</v>
      </c>
      <c r="I79" s="1">
        <v>0</v>
      </c>
      <c r="J79" s="1">
        <v>0</v>
      </c>
      <c r="K79" s="1">
        <v>0</v>
      </c>
      <c r="L79" s="1">
        <v>0</v>
      </c>
      <c r="M79" s="6" t="str" cm="1">
        <f t="array" ref="M79">_xlfn.TEXTJOIN(", ",TRUE,
_xlfn._xlws.FILTER($R$2:$R$101,
ISNUMBER(SEARCH(LOWER($R$2:$R$101),LOWER(B79)))
))</f>
        <v>schapelle corby, corby</v>
      </c>
      <c r="N79">
        <f t="shared" si="1"/>
        <v>2</v>
      </c>
      <c r="O79" s="6" t="str" cm="1">
        <f t="array" ref="O79">_xlfn.TEXTJOIN(", ",TRUE,
_xlfn.UNIQUE(
_xlfn._xlws.FILTER($S$2:$S$200,
ISNUMBER(SEARCH(LOWER($R$2:$R$200),LOWER(B79)))
)
))</f>
        <v>Case Related, Familial based</v>
      </c>
      <c r="P79" cm="1">
        <f t="array" aca="1" ref="P79" ca="1">IFERROR(
    IF(N79=0, 0,
        SUMPRODUCT(
            N(
                _xlfn.IFNA(
                    VLOOKUP(
                        TRIM(MID(SUBSTITUTE(M79,",",REPT(" ",100)),
                        (ROW(INDIRECT("1:" &amp; LEN(M79)-LEN(SUBSTITUTE(M79,",","")) + 1))-1)*100 + 1, 100)),
                        $R$2:$T$101, 3, FALSE
                    ), 0)
            )
        ) / N79
    ),
0)</f>
        <v>0</v>
      </c>
      <c r="R79" s="5" t="s">
        <v>1056</v>
      </c>
      <c r="S79" t="s">
        <v>1046</v>
      </c>
      <c r="T79">
        <v>2</v>
      </c>
    </row>
    <row r="80" spans="1:20">
      <c r="A80">
        <v>79</v>
      </c>
      <c r="B80" s="4" t="s">
        <v>144</v>
      </c>
      <c r="C80" s="1">
        <v>0</v>
      </c>
      <c r="D80" s="1">
        <v>0</v>
      </c>
      <c r="E80" s="1">
        <v>0</v>
      </c>
      <c r="F80" s="1">
        <v>0</v>
      </c>
      <c r="G80" s="1">
        <v>0</v>
      </c>
      <c r="H80" s="1">
        <v>0</v>
      </c>
      <c r="I80" s="1">
        <v>0</v>
      </c>
      <c r="J80" s="1">
        <v>0</v>
      </c>
      <c r="K80" s="1">
        <v>0</v>
      </c>
      <c r="L80" s="1">
        <v>0</v>
      </c>
      <c r="M80" s="6" t="str" cm="1">
        <f t="array" ref="M80">_xlfn.TEXTJOIN(", ",TRUE,
_xlfn._xlws.FILTER($R$2:$R$101,
ISNUMBER(SEARCH(LOWER($R$2:$R$101),LOWER(B80)))
))</f>
        <v>schapelle corby, australia, corby</v>
      </c>
      <c r="N80">
        <f t="shared" si="1"/>
        <v>3</v>
      </c>
      <c r="O80" s="6" t="str" cm="1">
        <f t="array" ref="O80">_xlfn.TEXTJOIN(", ",TRUE,
_xlfn.UNIQUE(
_xlfn._xlws.FILTER($S$2:$S$200,
ISNUMBER(SEARCH(LOWER($R$2:$R$200),LOWER(B80)))
)
))</f>
        <v>Case Related, Familial based</v>
      </c>
      <c r="P80" cm="1">
        <f t="array" aca="1" ref="P80" ca="1">IFERROR(
    IF(N80=0, 0,
        SUMPRODUCT(
            N(
                _xlfn.IFNA(
                    VLOOKUP(
                        TRIM(MID(SUBSTITUTE(M80,",",REPT(" ",100)),
                        (ROW(INDIRECT("1:" &amp; LEN(M80)-LEN(SUBSTITUTE(M80,",","")) + 1))-1)*100 + 1, 100)),
                        $R$2:$T$101, 3, FALSE
                    ), 0)
            )
        ) / N80
    ),
0)</f>
        <v>0</v>
      </c>
      <c r="R80" t="s">
        <v>1057</v>
      </c>
      <c r="S80" t="s">
        <v>1058</v>
      </c>
      <c r="T80">
        <v>0</v>
      </c>
    </row>
    <row r="81" spans="1:20" ht="30.75">
      <c r="A81">
        <v>80</v>
      </c>
      <c r="B81" s="4" t="s">
        <v>146</v>
      </c>
      <c r="C81" s="1">
        <v>0</v>
      </c>
      <c r="D81" s="1">
        <v>0</v>
      </c>
      <c r="E81" s="1">
        <v>0</v>
      </c>
      <c r="F81" s="1">
        <v>0</v>
      </c>
      <c r="G81" s="1">
        <v>0</v>
      </c>
      <c r="H81" s="1">
        <v>0</v>
      </c>
      <c r="I81" s="1">
        <v>0</v>
      </c>
      <c r="J81" s="1">
        <v>0</v>
      </c>
      <c r="K81" s="1">
        <v>0</v>
      </c>
      <c r="L81" s="1">
        <v>0</v>
      </c>
      <c r="M81" s="6" t="str" cm="1">
        <f t="array" ref="M81">_xlfn.TEXTJOIN(", ",TRUE,
_xlfn._xlws.FILTER($R$2:$R$101,
ISNUMBER(SEARCH(LOWER($R$2:$R$101),LOWER(B81)))
))</f>
        <v>schapelle corby, conviction, corby, conviction</v>
      </c>
      <c r="N81">
        <f t="shared" si="1"/>
        <v>4</v>
      </c>
      <c r="O81" s="6" t="str" cm="1">
        <f t="array" ref="O81">_xlfn.TEXTJOIN(", ",TRUE,
_xlfn.UNIQUE(
_xlfn._xlws.FILTER($S$2:$S$200,
ISNUMBER(SEARCH(LOWER($R$2:$R$200),LOWER(B81)))
)
))</f>
        <v>Case Related, Familial based, Legality based</v>
      </c>
      <c r="P81" cm="1">
        <f t="array" aca="1" ref="P81" ca="1">IFERROR(
    IF(N81=0, 0,
        SUMPRODUCT(
            N(
                _xlfn.IFNA(
                    VLOOKUP(
                        TRIM(MID(SUBSTITUTE(M81,",",REPT(" ",100)),
                        (ROW(INDIRECT("1:" &amp; LEN(M81)-LEN(SUBSTITUTE(M81,",","")) + 1))-1)*100 + 1, 100)),
                        $R$2:$T$101, 3, FALSE
                    ), 0)
            )
        ) / N81
    ),
0)</f>
        <v>0</v>
      </c>
      <c r="R81" t="s">
        <v>1059</v>
      </c>
      <c r="S81" t="s">
        <v>1058</v>
      </c>
      <c r="T81">
        <v>1</v>
      </c>
    </row>
    <row r="82" spans="1:20">
      <c r="A82">
        <v>81</v>
      </c>
      <c r="B82" s="4" t="s">
        <v>148</v>
      </c>
      <c r="C82" s="1">
        <v>0</v>
      </c>
      <c r="D82" s="1">
        <v>0</v>
      </c>
      <c r="E82" s="1">
        <v>0</v>
      </c>
      <c r="F82" s="1">
        <v>0</v>
      </c>
      <c r="G82" s="1">
        <v>0</v>
      </c>
      <c r="H82" s="1">
        <v>0</v>
      </c>
      <c r="I82" s="1">
        <v>0</v>
      </c>
      <c r="J82" s="1">
        <v>0</v>
      </c>
      <c r="K82" s="1">
        <v>0</v>
      </c>
      <c r="L82" s="1">
        <v>0</v>
      </c>
      <c r="M82" s="6" t="str" cm="1">
        <f t="array" ref="M82">_xlfn.TEXTJOIN(", ",TRUE,
_xlfn._xlws.FILTER($R$2:$R$101,
ISNUMBER(SEARCH(LOWER($R$2:$R$101),LOWER(B82)))
))</f>
        <v>schapelle corby, corby</v>
      </c>
      <c r="N82">
        <f t="shared" si="1"/>
        <v>2</v>
      </c>
      <c r="O82" s="6" t="str" cm="1">
        <f t="array" ref="O82">_xlfn.TEXTJOIN(", ",TRUE,
_xlfn.UNIQUE(
_xlfn._xlws.FILTER($S$2:$S$200,
ISNUMBER(SEARCH(LOWER($R$2:$R$200),LOWER(B82)))
)
))</f>
        <v>Case Related, Familial based</v>
      </c>
      <c r="P82" cm="1">
        <f t="array" aca="1" ref="P82" ca="1">IFERROR(
    IF(N82=0, 0,
        SUMPRODUCT(
            N(
                _xlfn.IFNA(
                    VLOOKUP(
                        TRIM(MID(SUBSTITUTE(M82,",",REPT(" ",100)),
                        (ROW(INDIRECT("1:" &amp; LEN(M82)-LEN(SUBSTITUTE(M82,",","")) + 1))-1)*100 + 1, 100)),
                        $R$2:$T$101, 3, FALSE
                    ), 0)
            )
        ) / N82
    ),
0)</f>
        <v>0</v>
      </c>
      <c r="R82" t="s">
        <v>1060</v>
      </c>
      <c r="S82" t="s">
        <v>1058</v>
      </c>
      <c r="T82">
        <v>0</v>
      </c>
    </row>
    <row r="83" spans="1:20">
      <c r="A83">
        <v>82</v>
      </c>
      <c r="B83" s="4" t="s">
        <v>150</v>
      </c>
      <c r="C83" s="1">
        <v>0</v>
      </c>
      <c r="D83" s="1">
        <v>0</v>
      </c>
      <c r="E83" s="1">
        <v>0</v>
      </c>
      <c r="F83" s="1">
        <v>0</v>
      </c>
      <c r="G83" s="1">
        <v>0</v>
      </c>
      <c r="H83" s="1">
        <v>0</v>
      </c>
      <c r="I83" s="1">
        <v>0</v>
      </c>
      <c r="J83" s="1">
        <v>0</v>
      </c>
      <c r="K83" s="1">
        <v>0</v>
      </c>
      <c r="L83" s="1">
        <v>0</v>
      </c>
      <c r="M83" s="6" t="str" cm="1">
        <f t="array" ref="M83">_xlfn.TEXTJOIN(", ",TRUE,
_xlfn._xlws.FILTER($R$2:$R$101,
ISNUMBER(SEARCH(LOWER($R$2:$R$101),LOWER(B83)))
))</f>
        <v>schapelle corby, corby</v>
      </c>
      <c r="N83">
        <f t="shared" si="1"/>
        <v>2</v>
      </c>
      <c r="O83" s="6" t="str" cm="1">
        <f t="array" ref="O83">_xlfn.TEXTJOIN(", ",TRUE,
_xlfn.UNIQUE(
_xlfn._xlws.FILTER($S$2:$S$200,
ISNUMBER(SEARCH(LOWER($R$2:$R$200),LOWER(B83)))
)
))</f>
        <v>Case Related, Familial based</v>
      </c>
      <c r="P83" cm="1">
        <f t="array" aca="1" ref="P83" ca="1">IFERROR(
    IF(N83=0, 0,
        SUMPRODUCT(
            N(
                _xlfn.IFNA(
                    VLOOKUP(
                        TRIM(MID(SUBSTITUTE(M83,",",REPT(" ",100)),
                        (ROW(INDIRECT("1:" &amp; LEN(M83)-LEN(SUBSTITUTE(M83,",","")) + 1))-1)*100 + 1, 100)),
                        $R$2:$T$101, 3, FALSE
                    ), 0)
            )
        ) / N83
    ),
0)</f>
        <v>0</v>
      </c>
      <c r="R83" t="s">
        <v>1061</v>
      </c>
      <c r="S83" t="s">
        <v>1058</v>
      </c>
      <c r="T83">
        <v>0</v>
      </c>
    </row>
    <row r="84" spans="1:20">
      <c r="A84">
        <v>83</v>
      </c>
      <c r="B84" s="4" t="s">
        <v>152</v>
      </c>
      <c r="C84" s="1">
        <v>0</v>
      </c>
      <c r="D84" s="1">
        <v>0</v>
      </c>
      <c r="E84" s="1">
        <v>0</v>
      </c>
      <c r="F84" s="1">
        <v>0</v>
      </c>
      <c r="G84" s="1">
        <v>0</v>
      </c>
      <c r="H84" s="1">
        <v>0</v>
      </c>
      <c r="I84" s="1">
        <v>0</v>
      </c>
      <c r="J84" s="1">
        <v>0</v>
      </c>
      <c r="K84" s="1">
        <v>0</v>
      </c>
      <c r="L84" s="1">
        <v>0</v>
      </c>
      <c r="M84" s="6" t="str" cm="1">
        <f t="array" ref="M84">_xlfn.TEXTJOIN(", ",TRUE,
_xlfn._xlws.FILTER($R$2:$R$101,
ISNUMBER(SEARCH(LOWER($R$2:$R$101),LOWER(B84)))
))</f>
        <v>Mercedes Corby, mercedes, corby</v>
      </c>
      <c r="N84">
        <f t="shared" si="1"/>
        <v>3</v>
      </c>
      <c r="O84" s="6" t="str" cm="1">
        <f t="array" ref="O84">_xlfn.TEXTJOIN(", ",TRUE,
_xlfn.UNIQUE(
_xlfn._xlws.FILTER($S$2:$S$200,
ISNUMBER(SEARCH(LOWER($R$2:$R$200),LOWER(B84)))
)
))</f>
        <v>Familial based</v>
      </c>
      <c r="P84" cm="1">
        <f t="array" aca="1" ref="P84" ca="1">IFERROR(
    IF(N84=0, 0,
        SUMPRODUCT(
            N(
                _xlfn.IFNA(
                    VLOOKUP(
                        TRIM(MID(SUBSTITUTE(M84,",",REPT(" ",100)),
                        (ROW(INDIRECT("1:" &amp; LEN(M84)-LEN(SUBSTITUTE(M84,",","")) + 1))-1)*100 + 1, 100)),
                        $R$2:$T$101, 3, FALSE
                    ), 0)
            )
        ) / N84
    ),
0)</f>
        <v>0</v>
      </c>
      <c r="R84" t="s">
        <v>1062</v>
      </c>
      <c r="S84" t="s">
        <v>1058</v>
      </c>
      <c r="T84">
        <v>0</v>
      </c>
    </row>
    <row r="85" spans="1:20" ht="30.75">
      <c r="A85">
        <v>84</v>
      </c>
      <c r="B85" s="4" t="s">
        <v>154</v>
      </c>
      <c r="C85" s="1">
        <v>0</v>
      </c>
      <c r="D85" s="1">
        <v>0</v>
      </c>
      <c r="E85" s="1">
        <v>0</v>
      </c>
      <c r="F85" s="1">
        <v>0</v>
      </c>
      <c r="G85" s="1">
        <v>0</v>
      </c>
      <c r="H85" s="1">
        <v>0</v>
      </c>
      <c r="I85" s="1">
        <v>0</v>
      </c>
      <c r="J85" s="1">
        <v>0</v>
      </c>
      <c r="K85" s="1">
        <v>0</v>
      </c>
      <c r="L85" s="1">
        <v>0</v>
      </c>
      <c r="M85" s="6" t="str" cm="1">
        <f t="array" ref="M85">_xlfn.TEXTJOIN(", ",TRUE,
_xlfn._xlws.FILTER($R$2:$R$101,
ISNUMBER(SEARCH(LOWER($R$2:$R$101),LOWER(B85)))
))</f>
        <v>schapelle corby, corby</v>
      </c>
      <c r="N85">
        <f t="shared" si="1"/>
        <v>2</v>
      </c>
      <c r="O85" s="6" t="str" cm="1">
        <f t="array" ref="O85">_xlfn.TEXTJOIN(", ",TRUE,
_xlfn.UNIQUE(
_xlfn._xlws.FILTER($S$2:$S$200,
ISNUMBER(SEARCH(LOWER($R$2:$R$200),LOWER(B85)))
)
))</f>
        <v>Case Related, Familial based</v>
      </c>
      <c r="P85" cm="1">
        <f t="array" aca="1" ref="P85" ca="1">IFERROR(
    IF(N85=0, 0,
        SUMPRODUCT(
            N(
                _xlfn.IFNA(
                    VLOOKUP(
                        TRIM(MID(SUBSTITUTE(M85,",",REPT(" ",100)),
                        (ROW(INDIRECT("1:" &amp; LEN(M85)-LEN(SUBSTITUTE(M85,",","")) + 1))-1)*100 + 1, 100)),
                        $R$2:$T$101, 3, FALSE
                    ), 0)
            )
        ) / N85
    ),
0)</f>
        <v>0</v>
      </c>
      <c r="R85" t="s">
        <v>1063</v>
      </c>
      <c r="S85" t="s">
        <v>1058</v>
      </c>
      <c r="T85">
        <v>0</v>
      </c>
    </row>
    <row r="86" spans="1:20">
      <c r="A86">
        <v>85</v>
      </c>
      <c r="B86" s="4" t="s">
        <v>156</v>
      </c>
      <c r="C86" s="1">
        <v>0</v>
      </c>
      <c r="D86" s="1">
        <v>0</v>
      </c>
      <c r="E86" s="1">
        <v>0</v>
      </c>
      <c r="F86" s="1">
        <v>0</v>
      </c>
      <c r="G86" s="1">
        <v>0</v>
      </c>
      <c r="H86" s="1">
        <v>0</v>
      </c>
      <c r="I86" s="1">
        <v>0</v>
      </c>
      <c r="J86" s="1">
        <v>0</v>
      </c>
      <c r="K86" s="1">
        <v>0</v>
      </c>
      <c r="L86" s="1">
        <v>0</v>
      </c>
      <c r="M86" s="6" t="str" cm="1">
        <f t="array" ref="M86">_xlfn.TEXTJOIN(", ",TRUE,
_xlfn._xlws.FILTER($R$2:$R$101,
ISNUMBER(SEARCH(LOWER($R$2:$R$101),LOWER(B86)))
))</f>
        <v>schapelle corby, corby</v>
      </c>
      <c r="N86">
        <f t="shared" si="1"/>
        <v>2</v>
      </c>
      <c r="O86" s="6" t="str" cm="1">
        <f t="array" ref="O86">_xlfn.TEXTJOIN(", ",TRUE,
_xlfn.UNIQUE(
_xlfn._xlws.FILTER($S$2:$S$200,
ISNUMBER(SEARCH(LOWER($R$2:$R$200),LOWER(B86)))
)
))</f>
        <v>Case Related, Familial based</v>
      </c>
      <c r="P86" cm="1">
        <f t="array" aca="1" ref="P86" ca="1">IFERROR(
    IF(N86=0, 0,
        SUMPRODUCT(
            N(
                _xlfn.IFNA(
                    VLOOKUP(
                        TRIM(MID(SUBSTITUTE(M86,",",REPT(" ",100)),
                        (ROW(INDIRECT("1:" &amp; LEN(M86)-LEN(SUBSTITUTE(M86,",","")) + 1))-1)*100 + 1, 100)),
                        $R$2:$T$101, 3, FALSE
                    ), 0)
            )
        ) / N86
    ),
0)</f>
        <v>0</v>
      </c>
      <c r="R86" t="s">
        <v>1064</v>
      </c>
      <c r="S86" t="s">
        <v>1058</v>
      </c>
      <c r="T86">
        <v>0</v>
      </c>
    </row>
    <row r="87" spans="1:20" ht="30.75">
      <c r="A87">
        <v>86</v>
      </c>
      <c r="B87" s="4" t="s">
        <v>158</v>
      </c>
      <c r="C87" s="1">
        <v>0</v>
      </c>
      <c r="D87" s="1">
        <v>0</v>
      </c>
      <c r="E87" s="1">
        <v>0</v>
      </c>
      <c r="F87" s="1">
        <v>0</v>
      </c>
      <c r="G87" s="1">
        <v>0</v>
      </c>
      <c r="H87" s="1">
        <v>0</v>
      </c>
      <c r="I87" s="1">
        <v>0</v>
      </c>
      <c r="J87" s="1">
        <v>0</v>
      </c>
      <c r="K87" s="1">
        <v>0</v>
      </c>
      <c r="L87" s="1">
        <v>0</v>
      </c>
      <c r="M87" s="6" t="str" cm="1">
        <f t="array" ref="M87">_xlfn.TEXTJOIN(", ",TRUE,
_xlfn._xlws.FILTER($R$2:$R$101,
ISNUMBER(SEARCH(LOWER($R$2:$R$101),LOWER(B87)))
))</f>
        <v>schapelle corby, corby</v>
      </c>
      <c r="N87">
        <f t="shared" si="1"/>
        <v>2</v>
      </c>
      <c r="O87" s="6" t="str" cm="1">
        <f t="array" ref="O87">_xlfn.TEXTJOIN(", ",TRUE,
_xlfn.UNIQUE(
_xlfn._xlws.FILTER($S$2:$S$200,
ISNUMBER(SEARCH(LOWER($R$2:$R$200),LOWER(B87)))
)
))</f>
        <v>Case Related, Familial based</v>
      </c>
      <c r="P87" cm="1">
        <f t="array" aca="1" ref="P87" ca="1">IFERROR(
    IF(N87=0, 0,
        SUMPRODUCT(
            N(
                _xlfn.IFNA(
                    VLOOKUP(
                        TRIM(MID(SUBSTITUTE(M87,",",REPT(" ",100)),
                        (ROW(INDIRECT("1:" &amp; LEN(M87)-LEN(SUBSTITUTE(M87,",","")) + 1))-1)*100 + 1, 100)),
                        $R$2:$T$101, 3, FALSE
                    ), 0)
            )
        ) / N87
    ),
0)</f>
        <v>0</v>
      </c>
      <c r="R87" t="s">
        <v>1065</v>
      </c>
      <c r="S87" t="s">
        <v>1058</v>
      </c>
      <c r="T87">
        <v>0</v>
      </c>
    </row>
    <row r="88" spans="1:20" ht="45.75">
      <c r="A88">
        <v>87</v>
      </c>
      <c r="B88" s="4" t="s">
        <v>160</v>
      </c>
      <c r="C88" s="1">
        <v>0.33333333300000001</v>
      </c>
      <c r="D88" s="1">
        <v>0.5</v>
      </c>
      <c r="E88" s="1">
        <v>0</v>
      </c>
      <c r="F88" s="1">
        <v>1</v>
      </c>
      <c r="G88" s="1">
        <v>1</v>
      </c>
      <c r="H88" s="1">
        <v>0</v>
      </c>
      <c r="I88" s="1">
        <v>0</v>
      </c>
      <c r="J88" s="1">
        <v>0</v>
      </c>
      <c r="K88" s="1">
        <v>0</v>
      </c>
      <c r="L88" s="1">
        <v>0</v>
      </c>
      <c r="M88" s="6" t="str" cm="1">
        <f t="array" ref="M88">_xlfn.TEXTJOIN(", ",TRUE,
_xlfn._xlws.FILTER($R$2:$R$101,
ISNUMBER(SEARCH(LOWER($R$2:$R$101),LOWER(B88)))
))</f>
        <v>schapelle corby, indonesia , australia, drug trafficking, af, corby</v>
      </c>
      <c r="N88">
        <f t="shared" si="1"/>
        <v>6</v>
      </c>
      <c r="O88" s="6" t="str" cm="1">
        <f t="array" ref="O88">_xlfn.TEXTJOIN(", ",TRUE,
_xlfn.UNIQUE(
_xlfn._xlws.FILTER($S$2:$S$200,
ISNUMBER(SEARCH(LOWER($R$2:$R$200),LOWER(B88)))
)
))</f>
        <v>Case Related, Crime based, Intelligence based, Familial based</v>
      </c>
      <c r="P88" cm="1">
        <f t="array" aca="1" ref="P88" ca="1">IFERROR(
    IF(N88=0, 0,
        SUMPRODUCT(
            N(
                _xlfn.IFNA(
                    VLOOKUP(
                        TRIM(MID(SUBSTITUTE(M88,",",REPT(" ",100)),
                        (ROW(INDIRECT("1:" &amp; LEN(M88)-LEN(SUBSTITUTE(M88,",","")) + 1))-1)*100 + 1, 100)),
                        $R$2:$T$101, 3, FALSE
                    ), 0)
            )
        ) / N88
    ),
0)</f>
        <v>0.33333333333333331</v>
      </c>
      <c r="R88" t="s">
        <v>978</v>
      </c>
      <c r="S88" t="s">
        <v>1058</v>
      </c>
      <c r="T88">
        <v>0</v>
      </c>
    </row>
    <row r="89" spans="1:20" ht="30.75">
      <c r="A89">
        <v>88</v>
      </c>
      <c r="B89" s="4" t="s">
        <v>162</v>
      </c>
      <c r="C89" s="1">
        <v>0</v>
      </c>
      <c r="D89" s="1">
        <v>0</v>
      </c>
      <c r="E89" s="1">
        <v>0</v>
      </c>
      <c r="F89" s="1">
        <v>0</v>
      </c>
      <c r="G89" s="1">
        <v>0</v>
      </c>
      <c r="H89" s="1">
        <v>0</v>
      </c>
      <c r="I89" s="1">
        <v>0</v>
      </c>
      <c r="J89" s="1">
        <v>0</v>
      </c>
      <c r="K89" s="1">
        <v>0</v>
      </c>
      <c r="L89" s="1">
        <v>0</v>
      </c>
      <c r="M89" s="6" t="str" cm="1">
        <f t="array" ref="M89">_xlfn.TEXTJOIN(", ",TRUE,
_xlfn._xlws.FILTER($R$2:$R$101,
ISNUMBER(SEARCH(LOWER($R$2:$R$101),LOWER(B89)))
))</f>
        <v>schapelle corby, corby, brother</v>
      </c>
      <c r="N89">
        <f t="shared" si="1"/>
        <v>3</v>
      </c>
      <c r="O89" s="6" t="str" cm="1">
        <f t="array" ref="O89">_xlfn.TEXTJOIN(", ",TRUE,
_xlfn.UNIQUE(
_xlfn._xlws.FILTER($S$2:$S$200,
ISNUMBER(SEARCH(LOWER($R$2:$R$200),LOWER(B89)))
)
))</f>
        <v>Case Related, Familial based</v>
      </c>
      <c r="P89" cm="1">
        <f t="array" aca="1" ref="P89" ca="1">IFERROR(
    IF(N89=0, 0,
        SUMPRODUCT(
            N(
                _xlfn.IFNA(
                    VLOOKUP(
                        TRIM(MID(SUBSTITUTE(M89,",",REPT(" ",100)),
                        (ROW(INDIRECT("1:" &amp; LEN(M89)-LEN(SUBSTITUTE(M89,",","")) + 1))-1)*100 + 1, 100)),
                        $R$2:$T$101, 3, FALSE
                    ), 0)
            )
        ) / N89
    ),
0)</f>
        <v>0</v>
      </c>
      <c r="R89" t="s">
        <v>1066</v>
      </c>
      <c r="S89" t="s">
        <v>1058</v>
      </c>
      <c r="T89">
        <v>1</v>
      </c>
    </row>
    <row r="90" spans="1:20" ht="30.75">
      <c r="A90">
        <v>89</v>
      </c>
      <c r="B90" s="4" t="s">
        <v>164</v>
      </c>
      <c r="C90" s="1">
        <v>0.2</v>
      </c>
      <c r="D90" s="1">
        <v>0.6</v>
      </c>
      <c r="E90" s="1">
        <v>0</v>
      </c>
      <c r="F90" s="1">
        <v>0</v>
      </c>
      <c r="G90" s="1">
        <v>1</v>
      </c>
      <c r="H90" s="1">
        <v>0</v>
      </c>
      <c r="I90" s="1">
        <v>0</v>
      </c>
      <c r="J90" s="1">
        <v>0</v>
      </c>
      <c r="K90" s="1">
        <v>0</v>
      </c>
      <c r="L90" s="1">
        <v>0</v>
      </c>
      <c r="M90" s="6" t="str" cm="1">
        <f t="array" ref="M90">_xlfn.TEXTJOIN(", ",TRUE,
_xlfn._xlws.FILTER($R$2:$R$101,
ISNUMBER(SEARCH(LOWER($R$2:$R$101),LOWER(B90)))
))</f>
        <v>schapelle corby, indonesia , af, corby, parole</v>
      </c>
      <c r="N90">
        <f t="shared" si="1"/>
        <v>5</v>
      </c>
      <c r="O90" s="6" t="str" cm="1">
        <f t="array" ref="O90">_xlfn.TEXTJOIN(", ",TRUE,
_xlfn.UNIQUE(
_xlfn._xlws.FILTER($S$2:$S$200,
ISNUMBER(SEARCH(LOWER($R$2:$R$200),LOWER(B90)))
)
))</f>
        <v>Case Related, Intelligence based, Familial based, Legality based</v>
      </c>
      <c r="P90" cm="1">
        <f t="array" aca="1" ref="P90" ca="1">IFERROR(
    IF(N90=0, 0,
        SUMPRODUCT(
            N(
                _xlfn.IFNA(
                    VLOOKUP(
                        TRIM(MID(SUBSTITUTE(M90,",",REPT(" ",100)),
                        (ROW(INDIRECT("1:" &amp; LEN(M90)-LEN(SUBSTITUTE(M90,",","")) + 1))-1)*100 + 1, 100)),
                        $R$2:$T$101, 3, FALSE
                    ), 0)
            )
        ) / N90
    ),
0)</f>
        <v>0.2</v>
      </c>
      <c r="R90" t="s">
        <v>1067</v>
      </c>
      <c r="S90" t="s">
        <v>1058</v>
      </c>
      <c r="T90">
        <v>0</v>
      </c>
    </row>
    <row r="91" spans="1:20" ht="30.75">
      <c r="A91">
        <v>90</v>
      </c>
      <c r="B91" s="4" t="s">
        <v>166</v>
      </c>
      <c r="C91" s="1">
        <v>0</v>
      </c>
      <c r="D91" s="1">
        <v>0</v>
      </c>
      <c r="E91" s="1">
        <v>0</v>
      </c>
      <c r="F91" s="1">
        <v>0</v>
      </c>
      <c r="G91" s="1">
        <v>0</v>
      </c>
      <c r="H91" s="1">
        <v>0</v>
      </c>
      <c r="I91" s="1">
        <v>0</v>
      </c>
      <c r="J91" s="1">
        <v>0</v>
      </c>
      <c r="K91" s="1">
        <v>0</v>
      </c>
      <c r="L91" s="1">
        <v>0</v>
      </c>
      <c r="M91" s="6" t="str" cm="1">
        <f t="array" ref="M91">_xlfn.TEXTJOIN(", ",TRUE,
_xlfn._xlws.FILTER($R$2:$R$101,
ISNUMBER(SEARCH(LOWER($R$2:$R$101),LOWER(B91)))
))</f>
        <v>schapelle corby, corby</v>
      </c>
      <c r="N91">
        <f t="shared" si="1"/>
        <v>2</v>
      </c>
      <c r="O91" s="6" t="str" cm="1">
        <f t="array" ref="O91">_xlfn.TEXTJOIN(", ",TRUE,
_xlfn.UNIQUE(
_xlfn._xlws.FILTER($S$2:$S$200,
ISNUMBER(SEARCH(LOWER($R$2:$R$200),LOWER(B91)))
)
))</f>
        <v>Case Related, Familial based</v>
      </c>
      <c r="P91" cm="1">
        <f t="array" aca="1" ref="P91" ca="1">IFERROR(
    IF(N91=0, 0,
        SUMPRODUCT(
            N(
                _xlfn.IFNA(
                    VLOOKUP(
                        TRIM(MID(SUBSTITUTE(M91,",",REPT(" ",100)),
                        (ROW(INDIRECT("1:" &amp; LEN(M91)-LEN(SUBSTITUTE(M91,",","")) + 1))-1)*100 + 1, 100)),
                        $R$2:$T$101, 3, FALSE
                    ), 0)
            )
        ) / N91
    ),
0)</f>
        <v>0</v>
      </c>
      <c r="R91" t="s">
        <v>1068</v>
      </c>
      <c r="S91" t="s">
        <v>1058</v>
      </c>
      <c r="T91">
        <v>0</v>
      </c>
    </row>
    <row r="92" spans="1:20">
      <c r="A92">
        <v>91</v>
      </c>
      <c r="B92" s="4" t="s">
        <v>168</v>
      </c>
      <c r="C92" s="1">
        <v>0</v>
      </c>
      <c r="D92" s="1">
        <v>0</v>
      </c>
      <c r="E92" s="1">
        <v>0</v>
      </c>
      <c r="F92" s="1">
        <v>0</v>
      </c>
      <c r="G92" s="1">
        <v>0</v>
      </c>
      <c r="H92" s="1">
        <v>0</v>
      </c>
      <c r="I92" s="1">
        <v>0</v>
      </c>
      <c r="J92" s="1">
        <v>0</v>
      </c>
      <c r="K92" s="1">
        <v>0</v>
      </c>
      <c r="L92" s="1">
        <v>0</v>
      </c>
      <c r="M92" s="6" t="str" cm="1">
        <f t="array" ref="M92">_xlfn.TEXTJOIN(", ",TRUE,
_xlfn._xlws.FILTER($R$2:$R$101,
ISNUMBER(SEARCH(LOWER($R$2:$R$101),LOWER(B92)))
))</f>
        <v>schapelle corby, corby</v>
      </c>
      <c r="N92">
        <f t="shared" si="1"/>
        <v>2</v>
      </c>
      <c r="O92" s="6" t="str" cm="1">
        <f t="array" ref="O92">_xlfn.TEXTJOIN(", ",TRUE,
_xlfn.UNIQUE(
_xlfn._xlws.FILTER($S$2:$S$200,
ISNUMBER(SEARCH(LOWER($R$2:$R$200),LOWER(B92)))
)
))</f>
        <v>Case Related, Familial based</v>
      </c>
      <c r="P92" cm="1">
        <f t="array" aca="1" ref="P92" ca="1">IFERROR(
    IF(N92=0, 0,
        SUMPRODUCT(
            N(
                _xlfn.IFNA(
                    VLOOKUP(
                        TRIM(MID(SUBSTITUTE(M92,",",REPT(" ",100)),
                        (ROW(INDIRECT("1:" &amp; LEN(M92)-LEN(SUBSTITUTE(M92,",","")) + 1))-1)*100 + 1, 100)),
                        $R$2:$T$101, 3, FALSE
                    ), 0)
            )
        ) / N92
    ),
0)</f>
        <v>0</v>
      </c>
      <c r="R92" t="s">
        <v>1069</v>
      </c>
      <c r="S92" t="s">
        <v>1058</v>
      </c>
      <c r="T92">
        <v>0</v>
      </c>
    </row>
    <row r="93" spans="1:20" ht="30.75">
      <c r="A93">
        <v>92</v>
      </c>
      <c r="B93" s="4" t="s">
        <v>170</v>
      </c>
      <c r="C93" s="1">
        <v>0.33333333300000001</v>
      </c>
      <c r="D93" s="1">
        <v>1</v>
      </c>
      <c r="E93" s="1">
        <v>0</v>
      </c>
      <c r="F93" s="1">
        <v>0</v>
      </c>
      <c r="G93" s="1">
        <v>1</v>
      </c>
      <c r="H93" s="1">
        <v>0</v>
      </c>
      <c r="I93" s="1">
        <v>0</v>
      </c>
      <c r="J93" s="1">
        <v>0</v>
      </c>
      <c r="K93" s="1">
        <v>0</v>
      </c>
      <c r="L93" s="1">
        <v>0</v>
      </c>
      <c r="M93" s="6" t="str" cm="1">
        <f t="array" ref="M93">_xlfn.TEXTJOIN(", ",TRUE,
_xlfn._xlws.FILTER($R$2:$R$101,
ISNUMBER(SEARCH(LOWER($R$2:$R$101),LOWER(B93)))
))</f>
        <v>schapelle corby, af, corby</v>
      </c>
      <c r="N93">
        <f t="shared" si="1"/>
        <v>3</v>
      </c>
      <c r="O93" s="6" t="str" cm="1">
        <f t="array" ref="O93">_xlfn.TEXTJOIN(", ",TRUE,
_xlfn.UNIQUE(
_xlfn._xlws.FILTER($S$2:$S$200,
ISNUMBER(SEARCH(LOWER($R$2:$R$200),LOWER(B93)))
)
))</f>
        <v>Case Related, Intelligence based, Familial based</v>
      </c>
      <c r="P93" cm="1">
        <f t="array" aca="1" ref="P93" ca="1">IFERROR(
    IF(N93=0, 0,
        SUMPRODUCT(
            N(
                _xlfn.IFNA(
                    VLOOKUP(
                        TRIM(MID(SUBSTITUTE(M93,",",REPT(" ",100)),
                        (ROW(INDIRECT("1:" &amp; LEN(M93)-LEN(SUBSTITUTE(M93,",","")) + 1))-1)*100 + 1, 100)),
                        $R$2:$T$101, 3, FALSE
                    ), 0)
            )
        ) / N93
    ),
0)</f>
        <v>0.33333333333333331</v>
      </c>
      <c r="R93" t="s">
        <v>1070</v>
      </c>
      <c r="S93" t="s">
        <v>1058</v>
      </c>
      <c r="T93">
        <v>0</v>
      </c>
    </row>
    <row r="94" spans="1:20">
      <c r="A94">
        <v>93</v>
      </c>
      <c r="B94" s="4" t="s">
        <v>172</v>
      </c>
      <c r="C94" s="1">
        <v>0</v>
      </c>
      <c r="D94" s="1">
        <v>0</v>
      </c>
      <c r="E94" s="1">
        <v>0</v>
      </c>
      <c r="F94" s="1">
        <v>0</v>
      </c>
      <c r="G94" s="1">
        <v>0</v>
      </c>
      <c r="H94" s="1">
        <v>0</v>
      </c>
      <c r="I94" s="1">
        <v>0</v>
      </c>
      <c r="J94" s="1">
        <v>0</v>
      </c>
      <c r="K94" s="1">
        <v>0</v>
      </c>
      <c r="L94" s="1">
        <v>0</v>
      </c>
      <c r="M94" s="6" t="str" cm="1">
        <f t="array" ref="M94">_xlfn.TEXTJOIN(", ",TRUE,
_xlfn._xlws.FILTER($R$2:$R$101,
ISNUMBER(SEARCH(LOWER($R$2:$R$101),LOWER(B94)))
))</f>
        <v>schapelle corby, corby</v>
      </c>
      <c r="N94">
        <f t="shared" si="1"/>
        <v>2</v>
      </c>
      <c r="O94" s="6" t="str" cm="1">
        <f t="array" ref="O94">_xlfn.TEXTJOIN(", ",TRUE,
_xlfn.UNIQUE(
_xlfn._xlws.FILTER($S$2:$S$200,
ISNUMBER(SEARCH(LOWER($R$2:$R$200),LOWER(B94)))
)
))</f>
        <v>Case Related, Familial based</v>
      </c>
      <c r="P94" cm="1">
        <f t="array" aca="1" ref="P94" ca="1">IFERROR(
    IF(N94=0, 0,
        SUMPRODUCT(
            N(
                _xlfn.IFNA(
                    VLOOKUP(
                        TRIM(MID(SUBSTITUTE(M94,",",REPT(" ",100)),
                        (ROW(INDIRECT("1:" &amp; LEN(M94)-LEN(SUBSTITUTE(M94,",","")) + 1))-1)*100 + 1, 100)),
                        $R$2:$T$101, 3, FALSE
                    ), 0)
            )
        ) / N94
    ),
0)</f>
        <v>0</v>
      </c>
      <c r="R94" t="s">
        <v>1071</v>
      </c>
      <c r="S94" t="s">
        <v>1058</v>
      </c>
      <c r="T94">
        <v>0</v>
      </c>
    </row>
    <row r="95" spans="1:20">
      <c r="A95">
        <v>94</v>
      </c>
      <c r="B95" s="4" t="s">
        <v>174</v>
      </c>
      <c r="C95" s="1">
        <v>0</v>
      </c>
      <c r="D95" s="1">
        <v>0</v>
      </c>
      <c r="E95" s="1">
        <v>0</v>
      </c>
      <c r="F95" s="1">
        <v>0</v>
      </c>
      <c r="G95" s="1">
        <v>0</v>
      </c>
      <c r="H95" s="1">
        <v>0</v>
      </c>
      <c r="I95" s="1">
        <v>0</v>
      </c>
      <c r="J95" s="1">
        <v>0</v>
      </c>
      <c r="K95" s="1">
        <v>0</v>
      </c>
      <c r="L95" s="1">
        <v>0</v>
      </c>
      <c r="M95" s="6" t="str" cm="1">
        <f t="array" ref="M95">_xlfn.TEXTJOIN(", ",TRUE,
_xlfn._xlws.FILTER($R$2:$R$101,
ISNUMBER(SEARCH(LOWER($R$2:$R$101),LOWER(B95)))
))</f>
        <v>schapelle corby, corby</v>
      </c>
      <c r="N95">
        <f t="shared" si="1"/>
        <v>2</v>
      </c>
      <c r="O95" s="6" t="str" cm="1">
        <f t="array" ref="O95">_xlfn.TEXTJOIN(", ",TRUE,
_xlfn.UNIQUE(
_xlfn._xlws.FILTER($S$2:$S$200,
ISNUMBER(SEARCH(LOWER($R$2:$R$200),LOWER(B95)))
)
))</f>
        <v>Case Related, Familial based</v>
      </c>
      <c r="P95" cm="1">
        <f t="array" aca="1" ref="P95" ca="1">IFERROR(
    IF(N95=0, 0,
        SUMPRODUCT(
            N(
                _xlfn.IFNA(
                    VLOOKUP(
                        TRIM(MID(SUBSTITUTE(M95,",",REPT(" ",100)),
                        (ROW(INDIRECT("1:" &amp; LEN(M95)-LEN(SUBSTITUTE(M95,",","")) + 1))-1)*100 + 1, 100)),
                        $R$2:$T$101, 3, FALSE
                    ), 0)
            )
        ) / N95
    ),
0)</f>
        <v>0</v>
      </c>
      <c r="R95" t="s">
        <v>1072</v>
      </c>
      <c r="S95" t="s">
        <v>1058</v>
      </c>
      <c r="T95">
        <v>0</v>
      </c>
    </row>
    <row r="96" spans="1:20">
      <c r="A96">
        <v>95</v>
      </c>
      <c r="B96" s="4" t="s">
        <v>176</v>
      </c>
      <c r="C96" s="1">
        <v>0</v>
      </c>
      <c r="D96" s="1">
        <v>0</v>
      </c>
      <c r="E96" s="1">
        <v>0</v>
      </c>
      <c r="F96" s="1">
        <v>0</v>
      </c>
      <c r="G96" s="1">
        <v>0</v>
      </c>
      <c r="H96" s="1">
        <v>0</v>
      </c>
      <c r="I96" s="1">
        <v>0</v>
      </c>
      <c r="J96" s="1">
        <v>0</v>
      </c>
      <c r="K96" s="1">
        <v>0</v>
      </c>
      <c r="L96" s="1">
        <v>0</v>
      </c>
      <c r="M96" s="6" t="str" cm="1">
        <f t="array" ref="M96">_xlfn.TEXTJOIN(", ",TRUE,
_xlfn._xlws.FILTER($R$2:$R$101,
ISNUMBER(SEARCH(LOWER($R$2:$R$101),LOWER(B96)))
))</f>
        <v>schapelle corby, corby</v>
      </c>
      <c r="N96">
        <f t="shared" si="1"/>
        <v>2</v>
      </c>
      <c r="O96" s="6" t="str" cm="1">
        <f t="array" ref="O96">_xlfn.TEXTJOIN(", ",TRUE,
_xlfn.UNIQUE(
_xlfn._xlws.FILTER($S$2:$S$200,
ISNUMBER(SEARCH(LOWER($R$2:$R$200),LOWER(B96)))
)
))</f>
        <v>Case Related, Familial based</v>
      </c>
      <c r="P96" cm="1">
        <f t="array" aca="1" ref="P96" ca="1">IFERROR(
    IF(N96=0, 0,
        SUMPRODUCT(
            N(
                _xlfn.IFNA(
                    VLOOKUP(
                        TRIM(MID(SUBSTITUTE(M96,",",REPT(" ",100)),
                        (ROW(INDIRECT("1:" &amp; LEN(M96)-LEN(SUBSTITUTE(M96,",","")) + 1))-1)*100 + 1, 100)),
                        $R$2:$T$101, 3, FALSE
                    ), 0)
            )
        ) / N96
    ),
0)</f>
        <v>0</v>
      </c>
      <c r="R96" t="s">
        <v>1073</v>
      </c>
      <c r="S96" t="s">
        <v>1058</v>
      </c>
      <c r="T96">
        <v>0</v>
      </c>
    </row>
    <row r="97" spans="1:20" ht="30.75">
      <c r="A97">
        <v>96</v>
      </c>
      <c r="B97" s="4" t="s">
        <v>178</v>
      </c>
      <c r="C97" s="1">
        <v>0</v>
      </c>
      <c r="D97" s="1">
        <v>0</v>
      </c>
      <c r="E97" s="1">
        <v>0</v>
      </c>
      <c r="F97" s="1">
        <v>0</v>
      </c>
      <c r="G97" s="1">
        <v>0</v>
      </c>
      <c r="H97" s="1">
        <v>0</v>
      </c>
      <c r="I97" s="1">
        <v>0</v>
      </c>
      <c r="J97" s="1">
        <v>0</v>
      </c>
      <c r="K97" s="1">
        <v>0</v>
      </c>
      <c r="L97" s="1">
        <v>0</v>
      </c>
      <c r="M97" s="6" t="str" cm="1">
        <f t="array" ref="M97">_xlfn.TEXTJOIN(", ",TRUE,
_xlfn._xlws.FILTER($R$2:$R$101,
ISNUMBER(SEARCH(LOWER($R$2:$R$101),LOWER(B97)))
))</f>
        <v>schapelle corby, corby</v>
      </c>
      <c r="N97">
        <f t="shared" si="1"/>
        <v>2</v>
      </c>
      <c r="O97" s="6" t="str" cm="1">
        <f t="array" ref="O97">_xlfn.TEXTJOIN(", ",TRUE,
_xlfn.UNIQUE(
_xlfn._xlws.FILTER($S$2:$S$200,
ISNUMBER(SEARCH(LOWER($R$2:$R$200),LOWER(B97)))
)
))</f>
        <v>Case Related, Familial based</v>
      </c>
      <c r="P97" cm="1">
        <f t="array" aca="1" ref="P97" ca="1">IFERROR(
    IF(N97=0, 0,
        SUMPRODUCT(
            N(
                _xlfn.IFNA(
                    VLOOKUP(
                        TRIM(MID(SUBSTITUTE(M97,",",REPT(" ",100)),
                        (ROW(INDIRECT("1:" &amp; LEN(M97)-LEN(SUBSTITUTE(M97,",","")) + 1))-1)*100 + 1, 100)),
                        $R$2:$T$101, 3, FALSE
                    ), 0)
            )
        ) / N97
    ),
0)</f>
        <v>0</v>
      </c>
      <c r="R97" t="s">
        <v>1074</v>
      </c>
      <c r="S97" t="s">
        <v>1058</v>
      </c>
      <c r="T97">
        <v>0</v>
      </c>
    </row>
    <row r="98" spans="1:20" ht="30.75">
      <c r="A98">
        <v>97</v>
      </c>
      <c r="B98" s="4" t="s">
        <v>180</v>
      </c>
      <c r="C98" s="1">
        <v>0</v>
      </c>
      <c r="D98" s="1">
        <v>0</v>
      </c>
      <c r="E98" s="1">
        <v>0</v>
      </c>
      <c r="F98" s="1">
        <v>0</v>
      </c>
      <c r="G98" s="1">
        <v>0</v>
      </c>
      <c r="H98" s="1">
        <v>0</v>
      </c>
      <c r="I98" s="1">
        <v>0</v>
      </c>
      <c r="J98" s="1">
        <v>0</v>
      </c>
      <c r="K98" s="1">
        <v>0</v>
      </c>
      <c r="L98" s="1">
        <v>0</v>
      </c>
      <c r="M98" s="6" t="str" cm="1">
        <f t="array" ref="M98">_xlfn.TEXTJOIN(", ",TRUE,
_xlfn._xlws.FILTER($R$2:$R$101,
ISNUMBER(SEARCH(LOWER($R$2:$R$101),LOWER(B98)))
))</f>
        <v>schapelle corby, corby</v>
      </c>
      <c r="N98">
        <f t="shared" si="1"/>
        <v>2</v>
      </c>
      <c r="O98" s="6" t="str" cm="1">
        <f t="array" ref="O98">_xlfn.TEXTJOIN(", ",TRUE,
_xlfn.UNIQUE(
_xlfn._xlws.FILTER($S$2:$S$200,
ISNUMBER(SEARCH(LOWER($R$2:$R$200),LOWER(B98)))
)
))</f>
        <v>Case Related, Familial based</v>
      </c>
      <c r="P98" cm="1">
        <f t="array" aca="1" ref="P98" ca="1">IFERROR(
    IF(N98=0, 0,
        SUMPRODUCT(
            N(
                _xlfn.IFNA(
                    VLOOKUP(
                        TRIM(MID(SUBSTITUTE(M98,",",REPT(" ",100)),
                        (ROW(INDIRECT("1:" &amp; LEN(M98)-LEN(SUBSTITUTE(M98,",","")) + 1))-1)*100 + 1, 100)),
                        $R$2:$T$101, 3, FALSE
                    ), 0)
            )
        ) / N98
    ),
0)</f>
        <v>0</v>
      </c>
      <c r="R98" t="s">
        <v>1075</v>
      </c>
      <c r="S98" t="s">
        <v>1058</v>
      </c>
      <c r="T98">
        <v>0</v>
      </c>
    </row>
    <row r="99" spans="1:20">
      <c r="A99">
        <v>98</v>
      </c>
      <c r="B99" s="4" t="s">
        <v>182</v>
      </c>
      <c r="C99" s="1">
        <v>0</v>
      </c>
      <c r="D99" s="1">
        <v>0</v>
      </c>
      <c r="E99" s="1">
        <v>0</v>
      </c>
      <c r="F99" s="1">
        <v>0</v>
      </c>
      <c r="G99" s="1">
        <v>0</v>
      </c>
      <c r="H99" s="1">
        <v>0</v>
      </c>
      <c r="I99" s="1">
        <v>0</v>
      </c>
      <c r="J99" s="1">
        <v>0</v>
      </c>
      <c r="K99" s="1">
        <v>0</v>
      </c>
      <c r="L99" s="1">
        <v>0</v>
      </c>
      <c r="M99" s="6" t="str" cm="1">
        <f t="array" ref="M99">_xlfn.TEXTJOIN(", ",TRUE,
_xlfn._xlws.FILTER($R$2:$R$101,
ISNUMBER(SEARCH(LOWER($R$2:$R$101),LOWER(B99)))
))</f>
        <v>schapelle corby, corby</v>
      </c>
      <c r="N99">
        <f t="shared" si="1"/>
        <v>2</v>
      </c>
      <c r="O99" s="6" t="str" cm="1">
        <f t="array" ref="O99">_xlfn.TEXTJOIN(", ",TRUE,
_xlfn.UNIQUE(
_xlfn._xlws.FILTER($S$2:$S$200,
ISNUMBER(SEARCH(LOWER($R$2:$R$200),LOWER(B99)))
)
))</f>
        <v>Case Related, Familial based</v>
      </c>
      <c r="P99" cm="1">
        <f t="array" aca="1" ref="P99" ca="1">IFERROR(
    IF(N99=0, 0,
        SUMPRODUCT(
            N(
                _xlfn.IFNA(
                    VLOOKUP(
                        TRIM(MID(SUBSTITUTE(M99,",",REPT(" ",100)),
                        (ROW(INDIRECT("1:" &amp; LEN(M99)-LEN(SUBSTITUTE(M99,",","")) + 1))-1)*100 + 1, 100)),
                        $R$2:$T$101, 3, FALSE
                    ), 0)
            )
        ) / N99
    ),
0)</f>
        <v>0</v>
      </c>
      <c r="R99" t="s">
        <v>1076</v>
      </c>
      <c r="S99" t="s">
        <v>1058</v>
      </c>
      <c r="T99">
        <v>0</v>
      </c>
    </row>
    <row r="100" spans="1:20">
      <c r="A100">
        <v>99</v>
      </c>
      <c r="B100" s="4" t="s">
        <v>184</v>
      </c>
      <c r="C100" s="1">
        <v>0</v>
      </c>
      <c r="D100" s="1">
        <v>0</v>
      </c>
      <c r="E100" s="1">
        <v>0</v>
      </c>
      <c r="F100" s="1">
        <v>0</v>
      </c>
      <c r="G100" s="1">
        <v>0</v>
      </c>
      <c r="H100" s="1">
        <v>0</v>
      </c>
      <c r="I100" s="1">
        <v>0</v>
      </c>
      <c r="J100" s="1">
        <v>0</v>
      </c>
      <c r="K100" s="1">
        <v>0</v>
      </c>
      <c r="L100" s="1">
        <v>0</v>
      </c>
      <c r="M100" s="6" t="str" cm="1">
        <f t="array" ref="M100">_xlfn.TEXTJOIN(", ",TRUE,
_xlfn._xlws.FILTER($R$2:$R$101,
ISNUMBER(SEARCH(LOWER($R$2:$R$101),LOWER(B100)))
))</f>
        <v>schapelle corby, corby</v>
      </c>
      <c r="N100">
        <f t="shared" si="1"/>
        <v>2</v>
      </c>
      <c r="O100" s="6" t="str" cm="1">
        <f t="array" ref="O100">_xlfn.TEXTJOIN(", ",TRUE,
_xlfn.UNIQUE(
_xlfn._xlws.FILTER($S$2:$S$200,
ISNUMBER(SEARCH(LOWER($R$2:$R$200),LOWER(B100)))
)
))</f>
        <v>Case Related, Familial based</v>
      </c>
      <c r="P100" cm="1">
        <f t="array" aca="1" ref="P100" ca="1">IFERROR(
    IF(N100=0, 0,
        SUMPRODUCT(
            N(
                _xlfn.IFNA(
                    VLOOKUP(
                        TRIM(MID(SUBSTITUTE(M100,",",REPT(" ",100)),
                        (ROW(INDIRECT("1:" &amp; LEN(M100)-LEN(SUBSTITUTE(M100,",","")) + 1))-1)*100 + 1, 100)),
                        $R$2:$T$101, 3, FALSE
                    ), 0)
            )
        ) / N100
    ),
0)</f>
        <v>0</v>
      </c>
      <c r="R100" t="s">
        <v>1077</v>
      </c>
      <c r="S100" t="s">
        <v>1058</v>
      </c>
      <c r="T100">
        <v>0</v>
      </c>
    </row>
    <row r="101" spans="1:20" ht="30.75">
      <c r="A101">
        <v>100</v>
      </c>
      <c r="B101" s="4" t="s">
        <v>186</v>
      </c>
      <c r="C101" s="1">
        <v>0.2</v>
      </c>
      <c r="D101" s="1">
        <v>0</v>
      </c>
      <c r="E101" s="1">
        <v>0</v>
      </c>
      <c r="F101" s="1">
        <v>0.5</v>
      </c>
      <c r="G101" s="1">
        <v>0</v>
      </c>
      <c r="H101" s="1">
        <v>0</v>
      </c>
      <c r="I101" s="1">
        <v>0</v>
      </c>
      <c r="J101" s="1">
        <v>0</v>
      </c>
      <c r="K101" s="1">
        <v>0</v>
      </c>
      <c r="L101" s="1">
        <v>0</v>
      </c>
      <c r="M101" s="6" t="str" cm="1">
        <f t="array" ref="M101">_xlfn.TEXTJOIN(", ",TRUE,
_xlfn._xlws.FILTER($R$2:$R$101,
ISNUMBER(SEARCH(LOWER($R$2:$R$101),LOWER(B101)))
))</f>
        <v>schapelle corby, convicted drug smuggler, drug smuggler, corby, convicted</v>
      </c>
      <c r="N101">
        <f t="shared" si="1"/>
        <v>5</v>
      </c>
      <c r="O101" s="6" t="str" cm="1">
        <f t="array" ref="O101">_xlfn.TEXTJOIN(", ",TRUE,
_xlfn.UNIQUE(
_xlfn._xlws.FILTER($S$2:$S$200,
ISNUMBER(SEARCH(LOWER($R$2:$R$200),LOWER(B101)))
)
))</f>
        <v>Case Related, Crime based, Familial based, Legality based</v>
      </c>
      <c r="P101" cm="1">
        <f t="array" aca="1" ref="P101" ca="1">IFERROR(
    IF(N101=0, 0,
        SUMPRODUCT(
            N(
                _xlfn.IFNA(
                    VLOOKUP(
                        TRIM(MID(SUBSTITUTE(M101,",",REPT(" ",100)),
                        (ROW(INDIRECT("1:" &amp; LEN(M101)-LEN(SUBSTITUTE(M101,",","")) + 1))-1)*100 + 1, 100)),
                        $R$2:$T$101, 3, FALSE
                    ), 0)
            )
        ) / N101
    ),
0)</f>
        <v>0.2</v>
      </c>
      <c r="R101" t="s">
        <v>1078</v>
      </c>
      <c r="S101" t="s">
        <v>1058</v>
      </c>
      <c r="T101">
        <v>0</v>
      </c>
    </row>
    <row r="102" spans="1:20">
      <c r="A102">
        <v>101</v>
      </c>
      <c r="B102" s="4" t="s">
        <v>188</v>
      </c>
      <c r="C102" s="1">
        <v>0</v>
      </c>
      <c r="D102" s="1">
        <v>0</v>
      </c>
      <c r="E102" s="1">
        <v>0</v>
      </c>
      <c r="F102" s="1">
        <v>0</v>
      </c>
      <c r="G102" s="1">
        <v>0</v>
      </c>
      <c r="H102" s="1">
        <v>0</v>
      </c>
      <c r="I102" s="1">
        <v>0</v>
      </c>
      <c r="J102" s="1">
        <v>0</v>
      </c>
      <c r="K102" s="1">
        <v>0</v>
      </c>
      <c r="L102" s="1">
        <v>0</v>
      </c>
      <c r="M102" s="6" t="str" cm="1">
        <f t="array" ref="M102">_xlfn.TEXTJOIN(", ",TRUE,
_xlfn._xlws.FILTER($R$2:$R$101,
ISNUMBER(SEARCH(LOWER($R$2:$R$101),LOWER(B102)))
))</f>
        <v>schapelle corby, corby</v>
      </c>
      <c r="N102">
        <f t="shared" si="1"/>
        <v>2</v>
      </c>
      <c r="O102" s="6" t="str" cm="1">
        <f t="array" ref="O102">_xlfn.TEXTJOIN(", ",TRUE,
_xlfn.UNIQUE(
_xlfn._xlws.FILTER($S$2:$S$200,
ISNUMBER(SEARCH(LOWER($R$2:$R$200),LOWER(B102)))
)
))</f>
        <v>Case Related, Familial based</v>
      </c>
      <c r="P102" cm="1">
        <f t="array" aca="1" ref="P102" ca="1">IFERROR(
    IF(N102=0, 0,
        SUMPRODUCT(
            N(
                _xlfn.IFNA(
                    VLOOKUP(
                        TRIM(MID(SUBSTITUTE(M102,",",REPT(" ",100)),
                        (ROW(INDIRECT("1:" &amp; LEN(M102)-LEN(SUBSTITUTE(M102,",","")) + 1))-1)*100 + 1, 100)),
                        $R$2:$T$101, 3, FALSE
                    ), 0)
            )
        ) / N102
    ),
0)</f>
        <v>0</v>
      </c>
    </row>
    <row r="103" spans="1:20">
      <c r="A103">
        <v>102</v>
      </c>
      <c r="B103" s="4" t="s">
        <v>190</v>
      </c>
      <c r="C103" s="1">
        <v>0</v>
      </c>
      <c r="D103" s="1">
        <v>0</v>
      </c>
      <c r="E103" s="1">
        <v>0</v>
      </c>
      <c r="F103" s="1">
        <v>0</v>
      </c>
      <c r="G103" s="1">
        <v>0</v>
      </c>
      <c r="H103" s="1">
        <v>0</v>
      </c>
      <c r="I103" s="1">
        <v>0</v>
      </c>
      <c r="J103" s="1">
        <v>0</v>
      </c>
      <c r="K103" s="1">
        <v>0</v>
      </c>
      <c r="L103" s="1">
        <v>0</v>
      </c>
      <c r="M103" s="6" t="str" cm="1">
        <f t="array" ref="M103">_xlfn.TEXTJOIN(", ",TRUE,
_xlfn._xlws.FILTER($R$2:$R$101,
ISNUMBER(SEARCH(LOWER($R$2:$R$101),LOWER(B103)))
))</f>
        <v>schapelle corby, corby</v>
      </c>
      <c r="N103">
        <f t="shared" si="1"/>
        <v>2</v>
      </c>
      <c r="O103" s="6" t="str" cm="1">
        <f t="array" ref="O103">_xlfn.TEXTJOIN(", ",TRUE,
_xlfn.UNIQUE(
_xlfn._xlws.FILTER($S$2:$S$200,
ISNUMBER(SEARCH(LOWER($R$2:$R$200),LOWER(B103)))
)
))</f>
        <v>Case Related, Familial based</v>
      </c>
      <c r="P103" cm="1">
        <f t="array" aca="1" ref="P103" ca="1">IFERROR(
    IF(N103=0, 0,
        SUMPRODUCT(
            N(
                _xlfn.IFNA(
                    VLOOKUP(
                        TRIM(MID(SUBSTITUTE(M103,",",REPT(" ",100)),
                        (ROW(INDIRECT("1:" &amp; LEN(M103)-LEN(SUBSTITUTE(M103,",","")) + 1))-1)*100 + 1, 100)),
                        $R$2:$T$101, 3, FALSE
                    ), 0)
            )
        ) / N103
    ),
0)</f>
        <v>0</v>
      </c>
    </row>
    <row r="104" spans="1:20">
      <c r="A104">
        <v>103</v>
      </c>
      <c r="B104" s="4" t="s">
        <v>192</v>
      </c>
      <c r="C104" s="1">
        <v>0</v>
      </c>
      <c r="D104" s="1">
        <v>0</v>
      </c>
      <c r="E104" s="1">
        <v>0</v>
      </c>
      <c r="F104" s="1">
        <v>0</v>
      </c>
      <c r="G104" s="1">
        <v>0</v>
      </c>
      <c r="H104" s="1">
        <v>0</v>
      </c>
      <c r="I104" s="1">
        <v>0</v>
      </c>
      <c r="J104" s="1">
        <v>0</v>
      </c>
      <c r="K104" s="1">
        <v>0</v>
      </c>
      <c r="L104" s="1">
        <v>0</v>
      </c>
      <c r="M104" s="6" t="str" cm="1">
        <f t="array" ref="M104">_xlfn.TEXTJOIN(", ",TRUE,
_xlfn._xlws.FILTER($R$2:$R$101,
ISNUMBER(SEARCH(LOWER($R$2:$R$101),LOWER(B104)))
))</f>
        <v>schapelle corby, corby</v>
      </c>
      <c r="N104">
        <f t="shared" si="1"/>
        <v>2</v>
      </c>
      <c r="O104" s="6" t="str" cm="1">
        <f t="array" ref="O104">_xlfn.TEXTJOIN(", ",TRUE,
_xlfn.UNIQUE(
_xlfn._xlws.FILTER($S$2:$S$200,
ISNUMBER(SEARCH(LOWER($R$2:$R$200),LOWER(B104)))
)
))</f>
        <v>Case Related, Familial based</v>
      </c>
      <c r="P104" cm="1">
        <f t="array" aca="1" ref="P104" ca="1">IFERROR(
    IF(N104=0, 0,
        SUMPRODUCT(
            N(
                _xlfn.IFNA(
                    VLOOKUP(
                        TRIM(MID(SUBSTITUTE(M104,",",REPT(" ",100)),
                        (ROW(INDIRECT("1:" &amp; LEN(M104)-LEN(SUBSTITUTE(M104,",","")) + 1))-1)*100 + 1, 100)),
                        $R$2:$T$101, 3, FALSE
                    ), 0)
            )
        ) / N104
    ),
0)</f>
        <v>0</v>
      </c>
    </row>
    <row r="105" spans="1:20" ht="45.75">
      <c r="A105">
        <v>104</v>
      </c>
      <c r="B105" s="4" t="s">
        <v>194</v>
      </c>
      <c r="C105" s="1">
        <v>0</v>
      </c>
      <c r="D105" s="1">
        <v>0</v>
      </c>
      <c r="E105" s="1">
        <v>0</v>
      </c>
      <c r="F105" s="1">
        <v>0</v>
      </c>
      <c r="G105" s="1">
        <v>0</v>
      </c>
      <c r="H105" s="1">
        <v>0</v>
      </c>
      <c r="I105" s="1">
        <v>0</v>
      </c>
      <c r="J105" s="1">
        <v>0</v>
      </c>
      <c r="K105" s="1">
        <v>0</v>
      </c>
      <c r="L105" s="1">
        <v>0</v>
      </c>
      <c r="M105" s="6" t="str" cm="1">
        <f t="array" ref="M105">_xlfn.TEXTJOIN(", ",TRUE,
_xlfn._xlws.FILTER($R$2:$R$101,
ISNUMBER(SEARCH(LOWER($R$2:$R$101),LOWER(B105)))
))</f>
        <v>schapelle corby, corby</v>
      </c>
      <c r="N105">
        <f t="shared" si="1"/>
        <v>2</v>
      </c>
      <c r="O105" s="6" t="str" cm="1">
        <f t="array" ref="O105">_xlfn.TEXTJOIN(", ",TRUE,
_xlfn.UNIQUE(
_xlfn._xlws.FILTER($S$2:$S$200,
ISNUMBER(SEARCH(LOWER($R$2:$R$200),LOWER(B105)))
)
))</f>
        <v>Case Related, Familial based</v>
      </c>
      <c r="P105" cm="1">
        <f t="array" aca="1" ref="P105" ca="1">IFERROR(
    IF(N105=0, 0,
        SUMPRODUCT(
            N(
                _xlfn.IFNA(
                    VLOOKUP(
                        TRIM(MID(SUBSTITUTE(M105,",",REPT(" ",100)),
                        (ROW(INDIRECT("1:" &amp; LEN(M105)-LEN(SUBSTITUTE(M105,",","")) + 1))-1)*100 + 1, 100)),
                        $R$2:$T$101, 3, FALSE
                    ), 0)
            )
        ) / N105
    ),
0)</f>
        <v>0</v>
      </c>
    </row>
    <row r="106" spans="1:20">
      <c r="A106">
        <v>105</v>
      </c>
      <c r="B106" s="4" t="s">
        <v>196</v>
      </c>
      <c r="C106" s="1">
        <v>0</v>
      </c>
      <c r="D106" s="1">
        <v>0</v>
      </c>
      <c r="E106" s="1">
        <v>0</v>
      </c>
      <c r="F106" s="1">
        <v>0</v>
      </c>
      <c r="G106" s="1">
        <v>0</v>
      </c>
      <c r="H106" s="1">
        <v>0</v>
      </c>
      <c r="I106" s="1">
        <v>0</v>
      </c>
      <c r="J106" s="1">
        <v>0</v>
      </c>
      <c r="K106" s="1">
        <v>0</v>
      </c>
      <c r="L106" s="1">
        <v>0</v>
      </c>
      <c r="M106" s="6" t="str" cm="1">
        <f t="array" ref="M106">_xlfn.TEXTJOIN(", ",TRUE,
_xlfn._xlws.FILTER($R$2:$R$101,
ISNUMBER(SEARCH(LOWER($R$2:$R$101),LOWER(B106)))
))</f>
        <v>schapelle corby, australia, corby</v>
      </c>
      <c r="N106">
        <f t="shared" si="1"/>
        <v>3</v>
      </c>
      <c r="O106" s="6" t="str" cm="1">
        <f t="array" ref="O106">_xlfn.TEXTJOIN(", ",TRUE,
_xlfn.UNIQUE(
_xlfn._xlws.FILTER($S$2:$S$200,
ISNUMBER(SEARCH(LOWER($R$2:$R$200),LOWER(B106)))
)
))</f>
        <v>Case Related, Familial based</v>
      </c>
      <c r="P106" cm="1">
        <f t="array" aca="1" ref="P106" ca="1">IFERROR(
    IF(N106=0, 0,
        SUMPRODUCT(
            N(
                _xlfn.IFNA(
                    VLOOKUP(
                        TRIM(MID(SUBSTITUTE(M106,",",REPT(" ",100)),
                        (ROW(INDIRECT("1:" &amp; LEN(M106)-LEN(SUBSTITUTE(M106,",","")) + 1))-1)*100 + 1, 100)),
                        $R$2:$T$101, 3, FALSE
                    ), 0)
            )
        ) / N106
    ),
0)</f>
        <v>0</v>
      </c>
    </row>
    <row r="107" spans="1:20">
      <c r="A107">
        <v>106</v>
      </c>
      <c r="B107" s="4" t="s">
        <v>198</v>
      </c>
      <c r="C107" s="1">
        <v>0</v>
      </c>
      <c r="D107" s="1">
        <v>0</v>
      </c>
      <c r="E107" s="1">
        <v>0</v>
      </c>
      <c r="F107" s="1">
        <v>0</v>
      </c>
      <c r="G107" s="1">
        <v>0</v>
      </c>
      <c r="H107" s="1">
        <v>0</v>
      </c>
      <c r="I107" s="1">
        <v>0</v>
      </c>
      <c r="J107" s="1">
        <v>0</v>
      </c>
      <c r="K107" s="1">
        <v>0</v>
      </c>
      <c r="L107" s="1">
        <v>0</v>
      </c>
      <c r="M107" s="6" t="str" cm="1">
        <f t="array" ref="M107">_xlfn.TEXTJOIN(", ",TRUE,
_xlfn._xlws.FILTER($R$2:$R$101,
ISNUMBER(SEARCH(LOWER($R$2:$R$101),LOWER(B107)))
))</f>
        <v>schapelle corby, australian, australia, jail, corby</v>
      </c>
      <c r="N107">
        <f t="shared" si="1"/>
        <v>5</v>
      </c>
      <c r="O107" s="6" t="str" cm="1">
        <f t="array" ref="O107">_xlfn.TEXTJOIN(", ",TRUE,
_xlfn.UNIQUE(
_xlfn._xlws.FILTER($S$2:$S$200,
ISNUMBER(SEARCH(LOWER($R$2:$R$200),LOWER(B107)))
)
))</f>
        <v>Case Related, Crime based, Familial based</v>
      </c>
      <c r="P107" cm="1">
        <f t="array" aca="1" ref="P107" ca="1">IFERROR(
    IF(N107=0, 0,
        SUMPRODUCT(
            N(
                _xlfn.IFNA(
                    VLOOKUP(
                        TRIM(MID(SUBSTITUTE(M107,",",REPT(" ",100)),
                        (ROW(INDIRECT("1:" &amp; LEN(M107)-LEN(SUBSTITUTE(M107,",","")) + 1))-1)*100 + 1, 100)),
                        $R$2:$T$101, 3, FALSE
                    ), 0)
            )
        ) / N107
    ),
0)</f>
        <v>0</v>
      </c>
    </row>
    <row r="108" spans="1:20" ht="30.75">
      <c r="A108">
        <v>107</v>
      </c>
      <c r="B108" s="4" t="s">
        <v>200</v>
      </c>
      <c r="C108" s="1">
        <v>0</v>
      </c>
      <c r="D108" s="1">
        <v>0</v>
      </c>
      <c r="E108" s="1">
        <v>0</v>
      </c>
      <c r="F108" s="1">
        <v>0</v>
      </c>
      <c r="G108" s="1">
        <v>0</v>
      </c>
      <c r="H108" s="1">
        <v>0</v>
      </c>
      <c r="I108" s="1">
        <v>0</v>
      </c>
      <c r="J108" s="1">
        <v>0</v>
      </c>
      <c r="K108" s="1">
        <v>0</v>
      </c>
      <c r="L108" s="1">
        <v>0</v>
      </c>
      <c r="M108" s="6" t="str" cm="1">
        <f t="array" ref="M108">_xlfn.TEXTJOIN(", ",TRUE,
_xlfn._xlws.FILTER($R$2:$R$101,
ISNUMBER(SEARCH(LOWER($R$2:$R$101),LOWER(B108)))
))</f>
        <v>schapelle corby, corby</v>
      </c>
      <c r="N108">
        <f t="shared" si="1"/>
        <v>2</v>
      </c>
      <c r="O108" s="6" t="str" cm="1">
        <f t="array" ref="O108">_xlfn.TEXTJOIN(", ",TRUE,
_xlfn.UNIQUE(
_xlfn._xlws.FILTER($S$2:$S$200,
ISNUMBER(SEARCH(LOWER($R$2:$R$200),LOWER(B108)))
)
))</f>
        <v>Case Related, Familial based</v>
      </c>
      <c r="P108" cm="1">
        <f t="array" aca="1" ref="P108" ca="1">IFERROR(
    IF(N108=0, 0,
        SUMPRODUCT(
            N(
                _xlfn.IFNA(
                    VLOOKUP(
                        TRIM(MID(SUBSTITUTE(M108,",",REPT(" ",100)),
                        (ROW(INDIRECT("1:" &amp; LEN(M108)-LEN(SUBSTITUTE(M108,",","")) + 1))-1)*100 + 1, 100)),
                        $R$2:$T$101, 3, FALSE
                    ), 0)
            )
        ) / N108
    ),
0)</f>
        <v>0</v>
      </c>
    </row>
    <row r="109" spans="1:20">
      <c r="A109">
        <v>108</v>
      </c>
      <c r="B109" s="4" t="s">
        <v>202</v>
      </c>
      <c r="C109" s="1">
        <v>0</v>
      </c>
      <c r="D109" s="1">
        <v>0</v>
      </c>
      <c r="E109" s="1">
        <v>0</v>
      </c>
      <c r="F109" s="1">
        <v>0</v>
      </c>
      <c r="G109" s="1">
        <v>0</v>
      </c>
      <c r="H109" s="1">
        <v>0</v>
      </c>
      <c r="I109" s="1">
        <v>0</v>
      </c>
      <c r="J109" s="1">
        <v>0</v>
      </c>
      <c r="K109" s="1">
        <v>0</v>
      </c>
      <c r="L109" s="1">
        <v>0</v>
      </c>
      <c r="M109" s="6" t="str" cm="1">
        <f t="array" ref="M109">_xlfn.TEXTJOIN(", ",TRUE,
_xlfn._xlws.FILTER($R$2:$R$101,
ISNUMBER(SEARCH(LOWER($R$2:$R$101),LOWER(B109)))
))</f>
        <v>schapelle corby, corby</v>
      </c>
      <c r="N109">
        <f t="shared" si="1"/>
        <v>2</v>
      </c>
      <c r="O109" s="6" t="str" cm="1">
        <f t="array" ref="O109">_xlfn.TEXTJOIN(", ",TRUE,
_xlfn.UNIQUE(
_xlfn._xlws.FILTER($S$2:$S$200,
ISNUMBER(SEARCH(LOWER($R$2:$R$200),LOWER(B109)))
)
))</f>
        <v>Case Related, Familial based</v>
      </c>
      <c r="P109" cm="1">
        <f t="array" aca="1" ref="P109" ca="1">IFERROR(
    IF(N109=0, 0,
        SUMPRODUCT(
            N(
                _xlfn.IFNA(
                    VLOOKUP(
                        TRIM(MID(SUBSTITUTE(M109,",",REPT(" ",100)),
                        (ROW(INDIRECT("1:" &amp; LEN(M109)-LEN(SUBSTITUTE(M109,",","")) + 1))-1)*100 + 1, 100)),
                        $R$2:$T$101, 3, FALSE
                    ), 0)
            )
        ) / N109
    ),
0)</f>
        <v>0</v>
      </c>
    </row>
    <row r="110" spans="1:20">
      <c r="A110">
        <v>109</v>
      </c>
      <c r="B110" s="4" t="s">
        <v>204</v>
      </c>
      <c r="C110" s="1">
        <v>0</v>
      </c>
      <c r="D110" s="1">
        <v>0</v>
      </c>
      <c r="E110" s="1">
        <v>0</v>
      </c>
      <c r="F110" s="1">
        <v>0</v>
      </c>
      <c r="G110" s="1">
        <v>0</v>
      </c>
      <c r="H110" s="1">
        <v>0</v>
      </c>
      <c r="I110" s="1">
        <v>0</v>
      </c>
      <c r="J110" s="1">
        <v>0</v>
      </c>
      <c r="K110" s="1">
        <v>0</v>
      </c>
      <c r="L110" s="1">
        <v>0</v>
      </c>
      <c r="M110" s="6" t="str" cm="1">
        <f t="array" ref="M110">_xlfn.TEXTJOIN(", ",TRUE,
_xlfn._xlws.FILTER($R$2:$R$101,
ISNUMBER(SEARCH(LOWER($R$2:$R$101),LOWER(B110)))
))</f>
        <v>schapelle corby, corby</v>
      </c>
      <c r="N110">
        <f t="shared" si="1"/>
        <v>2</v>
      </c>
      <c r="O110" s="6" t="str" cm="1">
        <f t="array" ref="O110">_xlfn.TEXTJOIN(", ",TRUE,
_xlfn.UNIQUE(
_xlfn._xlws.FILTER($S$2:$S$200,
ISNUMBER(SEARCH(LOWER($R$2:$R$200),LOWER(B110)))
)
))</f>
        <v>Case Related, Familial based</v>
      </c>
      <c r="P110" cm="1">
        <f t="array" aca="1" ref="P110" ca="1">IFERROR(
    IF(N110=0, 0,
        SUMPRODUCT(
            N(
                _xlfn.IFNA(
                    VLOOKUP(
                        TRIM(MID(SUBSTITUTE(M110,",",REPT(" ",100)),
                        (ROW(INDIRECT("1:" &amp; LEN(M110)-LEN(SUBSTITUTE(M110,",","")) + 1))-1)*100 + 1, 100)),
                        $R$2:$T$101, 3, FALSE
                    ), 0)
            )
        ) / N110
    ),
0)</f>
        <v>0</v>
      </c>
    </row>
    <row r="111" spans="1:20" ht="30.75">
      <c r="A111">
        <v>110</v>
      </c>
      <c r="B111" s="4" t="s">
        <v>206</v>
      </c>
      <c r="C111" s="1">
        <v>0</v>
      </c>
      <c r="D111" s="1">
        <v>0</v>
      </c>
      <c r="E111" s="1">
        <v>0</v>
      </c>
      <c r="F111" s="1">
        <v>0</v>
      </c>
      <c r="G111" s="1">
        <v>0</v>
      </c>
      <c r="H111" s="1">
        <v>0</v>
      </c>
      <c r="I111" s="1">
        <v>0</v>
      </c>
      <c r="J111" s="1">
        <v>0</v>
      </c>
      <c r="K111" s="1">
        <v>0</v>
      </c>
      <c r="L111" s="1">
        <v>0</v>
      </c>
      <c r="M111" s="6" t="str" cm="1">
        <f t="array" ref="M111">_xlfn.TEXTJOIN(", ",TRUE,
_xlfn._xlws.FILTER($R$2:$R$101,
ISNUMBER(SEARCH(LOWER($R$2:$R$101),LOWER(B111)))
))</f>
        <v>schapelle corby, australia, corby</v>
      </c>
      <c r="N111">
        <f t="shared" si="1"/>
        <v>3</v>
      </c>
      <c r="O111" s="6" t="str" cm="1">
        <f t="array" ref="O111">_xlfn.TEXTJOIN(", ",TRUE,
_xlfn.UNIQUE(
_xlfn._xlws.FILTER($S$2:$S$200,
ISNUMBER(SEARCH(LOWER($R$2:$R$200),LOWER(B111)))
)
))</f>
        <v>Case Related, Familial based</v>
      </c>
      <c r="P111" cm="1">
        <f t="array" aca="1" ref="P111" ca="1">IFERROR(
    IF(N111=0, 0,
        SUMPRODUCT(
            N(
                _xlfn.IFNA(
                    VLOOKUP(
                        TRIM(MID(SUBSTITUTE(M111,",",REPT(" ",100)),
                        (ROW(INDIRECT("1:" &amp; LEN(M111)-LEN(SUBSTITUTE(M111,",","")) + 1))-1)*100 + 1, 100)),
                        $R$2:$T$101, 3, FALSE
                    ), 0)
            )
        ) / N111
    ),
0)</f>
        <v>0</v>
      </c>
    </row>
    <row r="112" spans="1:20">
      <c r="A112">
        <v>111</v>
      </c>
      <c r="B112" s="4" t="s">
        <v>208</v>
      </c>
      <c r="C112" s="1">
        <v>0</v>
      </c>
      <c r="D112" s="1">
        <v>0</v>
      </c>
      <c r="E112" s="1">
        <v>0</v>
      </c>
      <c r="F112" s="1">
        <v>0</v>
      </c>
      <c r="G112" s="1">
        <v>0</v>
      </c>
      <c r="H112" s="1">
        <v>0</v>
      </c>
      <c r="I112" s="1">
        <v>0</v>
      </c>
      <c r="J112" s="1">
        <v>0</v>
      </c>
      <c r="K112" s="1">
        <v>0</v>
      </c>
      <c r="L112" s="1">
        <v>0</v>
      </c>
      <c r="M112" s="6" t="str" cm="1">
        <f t="array" ref="M112">_xlfn.TEXTJOIN(", ",TRUE,
_xlfn._xlws.FILTER($R$2:$R$101,
ISNUMBER(SEARCH(LOWER($R$2:$R$101),LOWER(B112)))
))</f>
        <v>schapelle corby, corby</v>
      </c>
      <c r="N112">
        <f t="shared" si="1"/>
        <v>2</v>
      </c>
      <c r="O112" s="6" t="str" cm="1">
        <f t="array" ref="O112">_xlfn.TEXTJOIN(", ",TRUE,
_xlfn.UNIQUE(
_xlfn._xlws.FILTER($S$2:$S$200,
ISNUMBER(SEARCH(LOWER($R$2:$R$200),LOWER(B112)))
)
))</f>
        <v>Case Related, Familial based</v>
      </c>
      <c r="P112" cm="1">
        <f t="array" aca="1" ref="P112" ca="1">IFERROR(
    IF(N112=0, 0,
        SUMPRODUCT(
            N(
                _xlfn.IFNA(
                    VLOOKUP(
                        TRIM(MID(SUBSTITUTE(M112,",",REPT(" ",100)),
                        (ROW(INDIRECT("1:" &amp; LEN(M112)-LEN(SUBSTITUTE(M112,",","")) + 1))-1)*100 + 1, 100)),
                        $R$2:$T$101, 3, FALSE
                    ), 0)
            )
        ) / N112
    ),
0)</f>
        <v>0</v>
      </c>
    </row>
    <row r="113" spans="1:16">
      <c r="A113">
        <v>112</v>
      </c>
      <c r="B113" s="4" t="s">
        <v>210</v>
      </c>
      <c r="C113" s="1">
        <v>0</v>
      </c>
      <c r="D113" s="1">
        <v>0</v>
      </c>
      <c r="E113" s="1">
        <v>0</v>
      </c>
      <c r="F113" s="1">
        <v>0</v>
      </c>
      <c r="G113" s="1">
        <v>0</v>
      </c>
      <c r="H113" s="1">
        <v>0</v>
      </c>
      <c r="I113" s="1">
        <v>0</v>
      </c>
      <c r="J113" s="1">
        <v>0</v>
      </c>
      <c r="K113" s="1">
        <v>0</v>
      </c>
      <c r="L113" s="1">
        <v>0</v>
      </c>
      <c r="M113" s="6" t="str" cm="1">
        <f t="array" ref="M113">_xlfn.TEXTJOIN(", ",TRUE,
_xlfn._xlws.FILTER($R$2:$R$101,
ISNUMBER(SEARCH(LOWER($R$2:$R$101),LOWER(B113)))
))</f>
        <v xml:space="preserve">schapelle corby, australia, corby, law </v>
      </c>
      <c r="N113">
        <f t="shared" si="1"/>
        <v>4</v>
      </c>
      <c r="O113" s="6" t="str" cm="1">
        <f t="array" ref="O113">_xlfn.TEXTJOIN(", ",TRUE,
_xlfn.UNIQUE(
_xlfn._xlws.FILTER($S$2:$S$200,
ISNUMBER(SEARCH(LOWER($R$2:$R$200),LOWER(B113)))
)
))</f>
        <v>Case Related, Familial based, Legality based</v>
      </c>
      <c r="P113" cm="1">
        <f t="array" aca="1" ref="P113" ca="1">IFERROR(
    IF(N113=0, 0,
        SUMPRODUCT(
            N(
                _xlfn.IFNA(
                    VLOOKUP(
                        TRIM(MID(SUBSTITUTE(M113,",",REPT(" ",100)),
                        (ROW(INDIRECT("1:" &amp; LEN(M113)-LEN(SUBSTITUTE(M113,",","")) + 1))-1)*100 + 1, 100)),
                        $R$2:$T$101, 3, FALSE
                    ), 0)
            )
        ) / N113
    ),
0)</f>
        <v>0</v>
      </c>
    </row>
    <row r="114" spans="1:16">
      <c r="A114">
        <v>113</v>
      </c>
      <c r="B114" s="4" t="s">
        <v>212</v>
      </c>
      <c r="C114" s="1">
        <v>0</v>
      </c>
      <c r="D114" s="1">
        <v>0</v>
      </c>
      <c r="E114" s="1">
        <v>0</v>
      </c>
      <c r="F114" s="1">
        <v>0</v>
      </c>
      <c r="G114" s="1">
        <v>0</v>
      </c>
      <c r="H114" s="1">
        <v>0</v>
      </c>
      <c r="I114" s="1">
        <v>0</v>
      </c>
      <c r="J114" s="1">
        <v>0</v>
      </c>
      <c r="K114" s="1">
        <v>0</v>
      </c>
      <c r="L114" s="1">
        <v>0</v>
      </c>
      <c r="M114" s="6" t="str" cm="1">
        <f t="array" ref="M114">_xlfn.TEXTJOIN(", ",TRUE,
_xlfn._xlws.FILTER($R$2:$R$101,
ISNUMBER(SEARCH(LOWER($R$2:$R$101),LOWER(B114)))
))</f>
        <v>schapelle corby, corby</v>
      </c>
      <c r="N114">
        <f t="shared" si="1"/>
        <v>2</v>
      </c>
      <c r="O114" s="6" t="str" cm="1">
        <f t="array" ref="O114">_xlfn.TEXTJOIN(", ",TRUE,
_xlfn.UNIQUE(
_xlfn._xlws.FILTER($S$2:$S$200,
ISNUMBER(SEARCH(LOWER($R$2:$R$200),LOWER(B114)))
)
))</f>
        <v>Case Related, Familial based</v>
      </c>
      <c r="P114" cm="1">
        <f t="array" aca="1" ref="P114" ca="1">IFERROR(
    IF(N114=0, 0,
        SUMPRODUCT(
            N(
                _xlfn.IFNA(
                    VLOOKUP(
                        TRIM(MID(SUBSTITUTE(M114,",",REPT(" ",100)),
                        (ROW(INDIRECT("1:" &amp; LEN(M114)-LEN(SUBSTITUTE(M114,",","")) + 1))-1)*100 + 1, 100)),
                        $R$2:$T$101, 3, FALSE
                    ), 0)
            )
        ) / N114
    ),
0)</f>
        <v>0</v>
      </c>
    </row>
    <row r="115" spans="1:16">
      <c r="A115">
        <v>114</v>
      </c>
      <c r="B115" s="4" t="s">
        <v>214</v>
      </c>
      <c r="C115" s="1">
        <v>0</v>
      </c>
      <c r="D115" s="1">
        <v>0</v>
      </c>
      <c r="E115" s="1">
        <v>0</v>
      </c>
      <c r="F115" s="1">
        <v>0</v>
      </c>
      <c r="G115" s="1">
        <v>0</v>
      </c>
      <c r="H115" s="1">
        <v>0</v>
      </c>
      <c r="I115" s="1">
        <v>0</v>
      </c>
      <c r="J115" s="1">
        <v>0</v>
      </c>
      <c r="K115" s="1">
        <v>0</v>
      </c>
      <c r="L115" s="1">
        <v>0</v>
      </c>
      <c r="M115" s="6" t="str" cm="1">
        <f t="array" ref="M115">_xlfn.TEXTJOIN(", ",TRUE,
_xlfn._xlws.FILTER($R$2:$R$101,
ISNUMBER(SEARCH(LOWER($R$2:$R$101),LOWER(B115)))
))</f>
        <v>schapelle corby, australia, corby</v>
      </c>
      <c r="N115">
        <f t="shared" si="1"/>
        <v>3</v>
      </c>
      <c r="O115" s="6" t="str" cm="1">
        <f t="array" ref="O115">_xlfn.TEXTJOIN(", ",TRUE,
_xlfn.UNIQUE(
_xlfn._xlws.FILTER($S$2:$S$200,
ISNUMBER(SEARCH(LOWER($R$2:$R$200),LOWER(B115)))
)
))</f>
        <v>Case Related, Familial based</v>
      </c>
      <c r="P115" cm="1">
        <f t="array" aca="1" ref="P115" ca="1">IFERROR(
    IF(N115=0, 0,
        SUMPRODUCT(
            N(
                _xlfn.IFNA(
                    VLOOKUP(
                        TRIM(MID(SUBSTITUTE(M115,",",REPT(" ",100)),
                        (ROW(INDIRECT("1:" &amp; LEN(M115)-LEN(SUBSTITUTE(M115,",","")) + 1))-1)*100 + 1, 100)),
                        $R$2:$T$101, 3, FALSE
                    ), 0)
            )
        ) / N115
    ),
0)</f>
        <v>0</v>
      </c>
    </row>
    <row r="116" spans="1:16">
      <c r="A116">
        <v>115</v>
      </c>
      <c r="B116" s="4" t="s">
        <v>216</v>
      </c>
      <c r="C116" s="1">
        <v>0.16666666699999999</v>
      </c>
      <c r="D116" s="1">
        <v>0</v>
      </c>
      <c r="E116" s="1">
        <v>0</v>
      </c>
      <c r="F116" s="1">
        <v>0.5</v>
      </c>
      <c r="G116" s="1">
        <v>0</v>
      </c>
      <c r="H116" s="1">
        <v>0</v>
      </c>
      <c r="I116" s="1">
        <v>0</v>
      </c>
      <c r="J116" s="1">
        <v>0</v>
      </c>
      <c r="K116" s="1">
        <v>0</v>
      </c>
      <c r="L116" s="1">
        <v>0</v>
      </c>
      <c r="M116" s="6" t="str" cm="1">
        <f t="array" ref="M116">_xlfn.TEXTJOIN(", ",TRUE,
_xlfn._xlws.FILTER($R$2:$R$101,
ISNUMBER(SEARCH(LOWER($R$2:$R$101),LOWER(B116)))
))</f>
        <v>schapelle corby, australia, convicted drug smuggler, drug smuggler, corby, convicted</v>
      </c>
      <c r="N116">
        <f t="shared" si="1"/>
        <v>6</v>
      </c>
      <c r="O116" s="6" t="str" cm="1">
        <f t="array" ref="O116">_xlfn.TEXTJOIN(", ",TRUE,
_xlfn.UNIQUE(
_xlfn._xlws.FILTER($S$2:$S$200,
ISNUMBER(SEARCH(LOWER($R$2:$R$200),LOWER(B116)))
)
))</f>
        <v>Case Related, Crime based, Familial based, Legality based</v>
      </c>
      <c r="P116" cm="1">
        <f t="array" aca="1" ref="P116" ca="1">IFERROR(
    IF(N116=0, 0,
        SUMPRODUCT(
            N(
                _xlfn.IFNA(
                    VLOOKUP(
                        TRIM(MID(SUBSTITUTE(M116,",",REPT(" ",100)),
                        (ROW(INDIRECT("1:" &amp; LEN(M116)-LEN(SUBSTITUTE(M116,",","")) + 1))-1)*100 + 1, 100)),
                        $R$2:$T$101, 3, FALSE
                    ), 0)
            )
        ) / N116
    ),
0)</f>
        <v>0.16666666666666666</v>
      </c>
    </row>
    <row r="117" spans="1:16">
      <c r="A117">
        <v>116</v>
      </c>
      <c r="B117" s="4" t="s">
        <v>218</v>
      </c>
      <c r="C117" s="1">
        <v>0</v>
      </c>
      <c r="D117" s="1">
        <v>0</v>
      </c>
      <c r="E117" s="1">
        <v>0</v>
      </c>
      <c r="F117" s="1">
        <v>0</v>
      </c>
      <c r="G117" s="1">
        <v>0</v>
      </c>
      <c r="H117" s="1">
        <v>0</v>
      </c>
      <c r="I117" s="1">
        <v>0</v>
      </c>
      <c r="J117" s="1">
        <v>0</v>
      </c>
      <c r="K117" s="1">
        <v>0</v>
      </c>
      <c r="L117" s="1">
        <v>0</v>
      </c>
      <c r="M117" s="6" t="str" cm="1">
        <f t="array" ref="M117">_xlfn.TEXTJOIN(", ",TRUE,
_xlfn._xlws.FILTER($R$2:$R$101,
ISNUMBER(SEARCH(LOWER($R$2:$R$101),LOWER(B117)))
))</f>
        <v>schapelle corby, australia, corby</v>
      </c>
      <c r="N117">
        <f t="shared" si="1"/>
        <v>3</v>
      </c>
      <c r="O117" s="6" t="str" cm="1">
        <f t="array" ref="O117">_xlfn.TEXTJOIN(", ",TRUE,
_xlfn.UNIQUE(
_xlfn._xlws.FILTER($S$2:$S$200,
ISNUMBER(SEARCH(LOWER($R$2:$R$200),LOWER(B117)))
)
))</f>
        <v>Case Related, Familial based</v>
      </c>
      <c r="P117" cm="1">
        <f t="array" aca="1" ref="P117" ca="1">IFERROR(
    IF(N117=0, 0,
        SUMPRODUCT(
            N(
                _xlfn.IFNA(
                    VLOOKUP(
                        TRIM(MID(SUBSTITUTE(M117,",",REPT(" ",100)),
                        (ROW(INDIRECT("1:" &amp; LEN(M117)-LEN(SUBSTITUTE(M117,",","")) + 1))-1)*100 + 1, 100)),
                        $R$2:$T$101, 3, FALSE
                    ), 0)
            )
        ) / N117
    ),
0)</f>
        <v>0</v>
      </c>
    </row>
    <row r="118" spans="1:16" ht="30.75">
      <c r="A118">
        <v>117</v>
      </c>
      <c r="B118" s="4" t="s">
        <v>220</v>
      </c>
      <c r="C118" s="1">
        <v>0</v>
      </c>
      <c r="D118" s="1">
        <v>0</v>
      </c>
      <c r="E118" s="1">
        <v>0</v>
      </c>
      <c r="F118" s="1">
        <v>0</v>
      </c>
      <c r="G118" s="1">
        <v>0</v>
      </c>
      <c r="H118" s="1">
        <v>0</v>
      </c>
      <c r="I118" s="1">
        <v>0</v>
      </c>
      <c r="J118" s="1">
        <v>0</v>
      </c>
      <c r="K118" s="1">
        <v>0</v>
      </c>
      <c r="L118" s="1">
        <v>0</v>
      </c>
      <c r="M118" s="6" t="str" cm="1">
        <f t="array" ref="M118">_xlfn.TEXTJOIN(", ",TRUE,
_xlfn._xlws.FILTER($R$2:$R$101,
ISNUMBER(SEARCH(LOWER($R$2:$R$101),LOWER(B118)))
))</f>
        <v>schapelle corby, australia, corby</v>
      </c>
      <c r="N118">
        <f t="shared" si="1"/>
        <v>3</v>
      </c>
      <c r="O118" s="6" t="str" cm="1">
        <f t="array" ref="O118">_xlfn.TEXTJOIN(", ",TRUE,
_xlfn.UNIQUE(
_xlfn._xlws.FILTER($S$2:$S$200,
ISNUMBER(SEARCH(LOWER($R$2:$R$200),LOWER(B118)))
)
))</f>
        <v>Case Related, Familial based</v>
      </c>
      <c r="P118" cm="1">
        <f t="array" aca="1" ref="P118" ca="1">IFERROR(
    IF(N118=0, 0,
        SUMPRODUCT(
            N(
                _xlfn.IFNA(
                    VLOOKUP(
                        TRIM(MID(SUBSTITUTE(M118,",",REPT(" ",100)),
                        (ROW(INDIRECT("1:" &amp; LEN(M118)-LEN(SUBSTITUTE(M118,",","")) + 1))-1)*100 + 1, 100)),
                        $R$2:$T$101, 3, FALSE
                    ), 0)
            )
        ) / N118
    ),
0)</f>
        <v>0</v>
      </c>
    </row>
    <row r="119" spans="1:16">
      <c r="A119">
        <v>118</v>
      </c>
      <c r="B119" s="4" t="s">
        <v>222</v>
      </c>
      <c r="C119" s="1">
        <v>0</v>
      </c>
      <c r="D119" s="1">
        <v>0</v>
      </c>
      <c r="E119" s="1">
        <v>0</v>
      </c>
      <c r="F119" s="1">
        <v>0</v>
      </c>
      <c r="G119" s="1">
        <v>0</v>
      </c>
      <c r="H119" s="1">
        <v>0</v>
      </c>
      <c r="I119" s="1">
        <v>0</v>
      </c>
      <c r="J119" s="1">
        <v>0</v>
      </c>
      <c r="K119" s="1">
        <v>0</v>
      </c>
      <c r="L119" s="1">
        <v>0</v>
      </c>
      <c r="M119" s="6" t="str" cm="1">
        <f t="array" ref="M119">_xlfn.TEXTJOIN(", ",TRUE,
_xlfn._xlws.FILTER($R$2:$R$101,
ISNUMBER(SEARCH(LOWER($R$2:$R$101),LOWER(B119)))
))</f>
        <v>schapelle corby, australia, corby</v>
      </c>
      <c r="N119">
        <f t="shared" si="1"/>
        <v>3</v>
      </c>
      <c r="O119" s="6" t="str" cm="1">
        <f t="array" ref="O119">_xlfn.TEXTJOIN(", ",TRUE,
_xlfn.UNIQUE(
_xlfn._xlws.FILTER($S$2:$S$200,
ISNUMBER(SEARCH(LOWER($R$2:$R$200),LOWER(B119)))
)
))</f>
        <v>Case Related, Familial based</v>
      </c>
      <c r="P119" cm="1">
        <f t="array" aca="1" ref="P119" ca="1">IFERROR(
    IF(N119=0, 0,
        SUMPRODUCT(
            N(
                _xlfn.IFNA(
                    VLOOKUP(
                        TRIM(MID(SUBSTITUTE(M119,",",REPT(" ",100)),
                        (ROW(INDIRECT("1:" &amp; LEN(M119)-LEN(SUBSTITUTE(M119,",","")) + 1))-1)*100 + 1, 100)),
                        $R$2:$T$101, 3, FALSE
                    ), 0)
            )
        ) / N119
    ),
0)</f>
        <v>0</v>
      </c>
    </row>
    <row r="120" spans="1:16" ht="30.75">
      <c r="A120">
        <v>119</v>
      </c>
      <c r="B120" s="4" t="s">
        <v>224</v>
      </c>
      <c r="C120" s="1">
        <v>0</v>
      </c>
      <c r="D120" s="1">
        <v>0</v>
      </c>
      <c r="E120" s="1">
        <v>0</v>
      </c>
      <c r="F120" s="1">
        <v>0</v>
      </c>
      <c r="G120" s="1">
        <v>0</v>
      </c>
      <c r="H120" s="1">
        <v>0</v>
      </c>
      <c r="I120" s="1">
        <v>0</v>
      </c>
      <c r="J120" s="1">
        <v>0</v>
      </c>
      <c r="K120" s="1">
        <v>0</v>
      </c>
      <c r="L120" s="1">
        <v>0</v>
      </c>
      <c r="M120" s="6" t="str" cm="1">
        <f t="array" ref="M120">_xlfn.TEXTJOIN(", ",TRUE,
_xlfn._xlws.FILTER($R$2:$R$101,
ISNUMBER(SEARCH(LOWER($R$2:$R$101),LOWER(B120)))
))</f>
        <v>schapelle corby, corby</v>
      </c>
      <c r="N120">
        <f t="shared" si="1"/>
        <v>2</v>
      </c>
      <c r="O120" s="6" t="str" cm="1">
        <f t="array" ref="O120">_xlfn.TEXTJOIN(", ",TRUE,
_xlfn.UNIQUE(
_xlfn._xlws.FILTER($S$2:$S$200,
ISNUMBER(SEARCH(LOWER($R$2:$R$200),LOWER(B120)))
)
))</f>
        <v>Case Related, Familial based</v>
      </c>
      <c r="P120" cm="1">
        <f t="array" aca="1" ref="P120" ca="1">IFERROR(
    IF(N120=0, 0,
        SUMPRODUCT(
            N(
                _xlfn.IFNA(
                    VLOOKUP(
                        TRIM(MID(SUBSTITUTE(M120,",",REPT(" ",100)),
                        (ROW(INDIRECT("1:" &amp; LEN(M120)-LEN(SUBSTITUTE(M120,",","")) + 1))-1)*100 + 1, 100)),
                        $R$2:$T$101, 3, FALSE
                    ), 0)
            )
        ) / N120
    ),
0)</f>
        <v>0</v>
      </c>
    </row>
    <row r="121" spans="1:16" ht="30.75">
      <c r="A121">
        <v>120</v>
      </c>
      <c r="B121" s="4" t="s">
        <v>226</v>
      </c>
      <c r="C121" s="1">
        <v>0</v>
      </c>
      <c r="D121" s="1">
        <v>0</v>
      </c>
      <c r="E121" s="1">
        <v>0</v>
      </c>
      <c r="F121" s="1">
        <v>0</v>
      </c>
      <c r="G121" s="1">
        <v>0</v>
      </c>
      <c r="H121" s="1">
        <v>0</v>
      </c>
      <c r="I121" s="1">
        <v>0</v>
      </c>
      <c r="J121" s="1">
        <v>0</v>
      </c>
      <c r="K121" s="1">
        <v>0</v>
      </c>
      <c r="L121" s="1">
        <v>0</v>
      </c>
      <c r="M121" s="6" t="str" cm="1">
        <f t="array" ref="M121">_xlfn.TEXTJOIN(", ",TRUE,
_xlfn._xlws.FILTER($R$2:$R$101,
ISNUMBER(SEARCH(LOWER($R$2:$R$101),LOWER(B121)))
))</f>
        <v>schapelle corby, corby</v>
      </c>
      <c r="N121">
        <f t="shared" si="1"/>
        <v>2</v>
      </c>
      <c r="O121" s="6" t="str" cm="1">
        <f t="array" ref="O121">_xlfn.TEXTJOIN(", ",TRUE,
_xlfn.UNIQUE(
_xlfn._xlws.FILTER($S$2:$S$200,
ISNUMBER(SEARCH(LOWER($R$2:$R$200),LOWER(B121)))
)
))</f>
        <v>Case Related, Familial based</v>
      </c>
      <c r="P121" cm="1">
        <f t="array" aca="1" ref="P121" ca="1">IFERROR(
    IF(N121=0, 0,
        SUMPRODUCT(
            N(
                _xlfn.IFNA(
                    VLOOKUP(
                        TRIM(MID(SUBSTITUTE(M121,",",REPT(" ",100)),
                        (ROW(INDIRECT("1:" &amp; LEN(M121)-LEN(SUBSTITUTE(M121,",","")) + 1))-1)*100 + 1, 100)),
                        $R$2:$T$101, 3, FALSE
                    ), 0)
            )
        ) / N121
    ),
0)</f>
        <v>0</v>
      </c>
    </row>
    <row r="122" spans="1:16" ht="30.75">
      <c r="A122">
        <v>121</v>
      </c>
      <c r="B122" s="4" t="s">
        <v>228</v>
      </c>
      <c r="C122" s="1">
        <v>0</v>
      </c>
      <c r="D122" s="1">
        <v>0</v>
      </c>
      <c r="E122" s="1">
        <v>0</v>
      </c>
      <c r="F122" s="1">
        <v>0</v>
      </c>
      <c r="G122" s="1">
        <v>0</v>
      </c>
      <c r="H122" s="1">
        <v>0</v>
      </c>
      <c r="I122" s="1">
        <v>0</v>
      </c>
      <c r="J122" s="1">
        <v>0</v>
      </c>
      <c r="K122" s="1">
        <v>0</v>
      </c>
      <c r="L122" s="1">
        <v>0</v>
      </c>
      <c r="M122" s="6" t="str" cm="1">
        <f t="array" ref="M122">_xlfn.TEXTJOIN(", ",TRUE,
_xlfn._xlws.FILTER($R$2:$R$101,
ISNUMBER(SEARCH(LOWER($R$2:$R$101),LOWER(B122)))
))</f>
        <v>schapelle corby, corby</v>
      </c>
      <c r="N122">
        <f t="shared" si="1"/>
        <v>2</v>
      </c>
      <c r="O122" s="6" t="str" cm="1">
        <f t="array" ref="O122">_xlfn.TEXTJOIN(", ",TRUE,
_xlfn.UNIQUE(
_xlfn._xlws.FILTER($S$2:$S$200,
ISNUMBER(SEARCH(LOWER($R$2:$R$200),LOWER(B122)))
)
))</f>
        <v>Case Related, Familial based</v>
      </c>
      <c r="P122" cm="1">
        <f t="array" aca="1" ref="P122" ca="1">IFERROR(
    IF(N122=0, 0,
        SUMPRODUCT(
            N(
                _xlfn.IFNA(
                    VLOOKUP(
                        TRIM(MID(SUBSTITUTE(M122,",",REPT(" ",100)),
                        (ROW(INDIRECT("1:" &amp; LEN(M122)-LEN(SUBSTITUTE(M122,",","")) + 1))-1)*100 + 1, 100)),
                        $R$2:$T$101, 3, FALSE
                    ), 0)
            )
        ) / N122
    ),
0)</f>
        <v>0</v>
      </c>
    </row>
    <row r="123" spans="1:16">
      <c r="A123">
        <v>122</v>
      </c>
      <c r="B123" s="4" t="s">
        <v>230</v>
      </c>
      <c r="C123" s="1">
        <v>0</v>
      </c>
      <c r="D123" s="1">
        <v>0</v>
      </c>
      <c r="E123" s="1">
        <v>0</v>
      </c>
      <c r="F123" s="1">
        <v>0</v>
      </c>
      <c r="G123" s="1">
        <v>0</v>
      </c>
      <c r="H123" s="1">
        <v>0</v>
      </c>
      <c r="I123" s="1">
        <v>0</v>
      </c>
      <c r="J123" s="1">
        <v>0</v>
      </c>
      <c r="K123" s="1">
        <v>0</v>
      </c>
      <c r="L123" s="1">
        <v>0</v>
      </c>
      <c r="M123" s="6" t="str" cm="1">
        <f t="array" ref="M123">_xlfn.TEXTJOIN(", ",TRUE,
_xlfn._xlws.FILTER($R$2:$R$101,
ISNUMBER(SEARCH(LOWER($R$2:$R$101),LOWER(B123)))
))</f>
        <v>schapelle corby, corby</v>
      </c>
      <c r="N123">
        <f t="shared" si="1"/>
        <v>2</v>
      </c>
      <c r="O123" s="6" t="str" cm="1">
        <f t="array" ref="O123">_xlfn.TEXTJOIN(", ",TRUE,
_xlfn.UNIQUE(
_xlfn._xlws.FILTER($S$2:$S$200,
ISNUMBER(SEARCH(LOWER($R$2:$R$200),LOWER(B123)))
)
))</f>
        <v>Case Related, Familial based</v>
      </c>
      <c r="P123" cm="1">
        <f t="array" aca="1" ref="P123" ca="1">IFERROR(
    IF(N123=0, 0,
        SUMPRODUCT(
            N(
                _xlfn.IFNA(
                    VLOOKUP(
                        TRIM(MID(SUBSTITUTE(M123,",",REPT(" ",100)),
                        (ROW(INDIRECT("1:" &amp; LEN(M123)-LEN(SUBSTITUTE(M123,",","")) + 1))-1)*100 + 1, 100)),
                        $R$2:$T$101, 3, FALSE
                    ), 0)
            )
        ) / N123
    ),
0)</f>
        <v>0</v>
      </c>
    </row>
    <row r="124" spans="1:16">
      <c r="A124">
        <v>123</v>
      </c>
      <c r="B124" s="4" t="s">
        <v>232</v>
      </c>
      <c r="C124" s="1">
        <v>0</v>
      </c>
      <c r="D124" s="1">
        <v>0</v>
      </c>
      <c r="E124" s="1">
        <v>0</v>
      </c>
      <c r="F124" s="1">
        <v>0</v>
      </c>
      <c r="G124" s="1">
        <v>0</v>
      </c>
      <c r="H124" s="1">
        <v>0</v>
      </c>
      <c r="I124" s="1">
        <v>0</v>
      </c>
      <c r="J124" s="1">
        <v>0</v>
      </c>
      <c r="K124" s="1">
        <v>0</v>
      </c>
      <c r="L124" s="1">
        <v>0</v>
      </c>
      <c r="M124" s="6" t="str" cm="1">
        <f t="array" ref="M124">_xlfn.TEXTJOIN(", ",TRUE,
_xlfn._xlws.FILTER($R$2:$R$101,
ISNUMBER(SEARCH(LOWER($R$2:$R$101),LOWER(B124)))
))</f>
        <v>schapelle corby, corby</v>
      </c>
      <c r="N124">
        <f t="shared" si="1"/>
        <v>2</v>
      </c>
      <c r="O124" s="6" t="str" cm="1">
        <f t="array" ref="O124">_xlfn.TEXTJOIN(", ",TRUE,
_xlfn.UNIQUE(
_xlfn._xlws.FILTER($S$2:$S$200,
ISNUMBER(SEARCH(LOWER($R$2:$R$200),LOWER(B124)))
)
))</f>
        <v>Case Related, Familial based</v>
      </c>
      <c r="P124" cm="1">
        <f t="array" aca="1" ref="P124" ca="1">IFERROR(
    IF(N124=0, 0,
        SUMPRODUCT(
            N(
                _xlfn.IFNA(
                    VLOOKUP(
                        TRIM(MID(SUBSTITUTE(M124,",",REPT(" ",100)),
                        (ROW(INDIRECT("1:" &amp; LEN(M124)-LEN(SUBSTITUTE(M124,",","")) + 1))-1)*100 + 1, 100)),
                        $R$2:$T$101, 3, FALSE
                    ), 0)
            )
        ) / N124
    ),
0)</f>
        <v>0</v>
      </c>
    </row>
    <row r="125" spans="1:16">
      <c r="A125">
        <v>124</v>
      </c>
      <c r="B125" s="4" t="s">
        <v>234</v>
      </c>
      <c r="C125" s="1">
        <v>0.16666666699999999</v>
      </c>
      <c r="D125" s="1">
        <v>0</v>
      </c>
      <c r="E125" s="1">
        <v>0</v>
      </c>
      <c r="F125" s="1">
        <v>0.5</v>
      </c>
      <c r="G125" s="1">
        <v>0</v>
      </c>
      <c r="H125" s="1">
        <v>0</v>
      </c>
      <c r="I125" s="1">
        <v>0</v>
      </c>
      <c r="J125" s="1">
        <v>0</v>
      </c>
      <c r="K125" s="1">
        <v>0</v>
      </c>
      <c r="L125" s="1">
        <v>0</v>
      </c>
      <c r="M125" s="6" t="str" cm="1">
        <f t="array" ref="M125">_xlfn.TEXTJOIN(", ",TRUE,
_xlfn._xlws.FILTER($R$2:$R$101,
ISNUMBER(SEARCH(LOWER($R$2:$R$101),LOWER(B125)))
))</f>
        <v>schapelle corby, australia, convicted drug smuggler, drug smuggler, corby, convicted</v>
      </c>
      <c r="N125">
        <f t="shared" si="1"/>
        <v>6</v>
      </c>
      <c r="O125" s="6" t="str" cm="1">
        <f t="array" ref="O125">_xlfn.TEXTJOIN(", ",TRUE,
_xlfn.UNIQUE(
_xlfn._xlws.FILTER($S$2:$S$200,
ISNUMBER(SEARCH(LOWER($R$2:$R$200),LOWER(B125)))
)
))</f>
        <v>Case Related, Crime based, Familial based, Legality based</v>
      </c>
      <c r="P125" cm="1">
        <f t="array" aca="1" ref="P125" ca="1">IFERROR(
    IF(N125=0, 0,
        SUMPRODUCT(
            N(
                _xlfn.IFNA(
                    VLOOKUP(
                        TRIM(MID(SUBSTITUTE(M125,",",REPT(" ",100)),
                        (ROW(INDIRECT("1:" &amp; LEN(M125)-LEN(SUBSTITUTE(M125,",","")) + 1))-1)*100 + 1, 100)),
                        $R$2:$T$101, 3, FALSE
                    ), 0)
            )
        ) / N125
    ),
0)</f>
        <v>0.16666666666666666</v>
      </c>
    </row>
    <row r="126" spans="1:16">
      <c r="A126">
        <v>125</v>
      </c>
      <c r="B126" s="4" t="s">
        <v>235</v>
      </c>
      <c r="C126" s="1">
        <v>0</v>
      </c>
      <c r="D126" s="1">
        <v>0</v>
      </c>
      <c r="E126" s="1">
        <v>0</v>
      </c>
      <c r="F126" s="1">
        <v>0</v>
      </c>
      <c r="G126" s="1">
        <v>0</v>
      </c>
      <c r="H126" s="1">
        <v>0</v>
      </c>
      <c r="I126" s="1">
        <v>0</v>
      </c>
      <c r="J126" s="1">
        <v>0</v>
      </c>
      <c r="K126" s="1">
        <v>0</v>
      </c>
      <c r="L126" s="1">
        <v>0</v>
      </c>
      <c r="M126" s="6" t="str" cm="1">
        <f t="array" ref="M126">_xlfn.TEXTJOIN(", ",TRUE,
_xlfn._xlws.FILTER($R$2:$R$101,
ISNUMBER(SEARCH(LOWER($R$2:$R$101),LOWER(B126)))
))</f>
        <v>schapelle corby, corby</v>
      </c>
      <c r="N126">
        <f t="shared" si="1"/>
        <v>2</v>
      </c>
      <c r="O126" s="6" t="str" cm="1">
        <f t="array" ref="O126">_xlfn.TEXTJOIN(", ",TRUE,
_xlfn.UNIQUE(
_xlfn._xlws.FILTER($S$2:$S$200,
ISNUMBER(SEARCH(LOWER($R$2:$R$200),LOWER(B126)))
)
))</f>
        <v>Case Related, Familial based</v>
      </c>
      <c r="P126" cm="1">
        <f t="array" aca="1" ref="P126" ca="1">IFERROR(
    IF(N126=0, 0,
        SUMPRODUCT(
            N(
                _xlfn.IFNA(
                    VLOOKUP(
                        TRIM(MID(SUBSTITUTE(M126,",",REPT(" ",100)),
                        (ROW(INDIRECT("1:" &amp; LEN(M126)-LEN(SUBSTITUTE(M126,",","")) + 1))-1)*100 + 1, 100)),
                        $R$2:$T$101, 3, FALSE
                    ), 0)
            )
        ) / N126
    ),
0)</f>
        <v>0</v>
      </c>
    </row>
    <row r="127" spans="1:16">
      <c r="A127">
        <v>126</v>
      </c>
      <c r="B127" s="4" t="s">
        <v>237</v>
      </c>
      <c r="C127" s="1">
        <v>0</v>
      </c>
      <c r="D127" s="1">
        <v>0</v>
      </c>
      <c r="E127" s="1">
        <v>0</v>
      </c>
      <c r="F127" s="1">
        <v>0</v>
      </c>
      <c r="G127" s="1">
        <v>0</v>
      </c>
      <c r="H127" s="1">
        <v>0</v>
      </c>
      <c r="I127" s="1">
        <v>0</v>
      </c>
      <c r="J127" s="1">
        <v>0</v>
      </c>
      <c r="K127" s="1">
        <v>0</v>
      </c>
      <c r="L127" s="1">
        <v>0</v>
      </c>
      <c r="M127" s="6" t="str" cm="1">
        <f t="array" ref="M127">_xlfn.TEXTJOIN(", ",TRUE,
_xlfn._xlws.FILTER($R$2:$R$101,
ISNUMBER(SEARCH(LOWER($R$2:$R$101),LOWER(B127)))
))</f>
        <v>schapelle corby, australia, corby</v>
      </c>
      <c r="N127">
        <f t="shared" si="1"/>
        <v>3</v>
      </c>
      <c r="O127" s="6" t="str" cm="1">
        <f t="array" ref="O127">_xlfn.TEXTJOIN(", ",TRUE,
_xlfn.UNIQUE(
_xlfn._xlws.FILTER($S$2:$S$200,
ISNUMBER(SEARCH(LOWER($R$2:$R$200),LOWER(B127)))
)
))</f>
        <v>Case Related, Familial based</v>
      </c>
      <c r="P127" cm="1">
        <f t="array" aca="1" ref="P127" ca="1">IFERROR(
    IF(N127=0, 0,
        SUMPRODUCT(
            N(
                _xlfn.IFNA(
                    VLOOKUP(
                        TRIM(MID(SUBSTITUTE(M127,",",REPT(" ",100)),
                        (ROW(INDIRECT("1:" &amp; LEN(M127)-LEN(SUBSTITUTE(M127,",","")) + 1))-1)*100 + 1, 100)),
                        $R$2:$T$101, 3, FALSE
                    ), 0)
            )
        ) / N127
    ),
0)</f>
        <v>0</v>
      </c>
    </row>
    <row r="128" spans="1:16">
      <c r="A128">
        <v>127</v>
      </c>
      <c r="B128" s="4" t="s">
        <v>239</v>
      </c>
      <c r="C128" s="1">
        <v>0</v>
      </c>
      <c r="D128" s="1">
        <v>0</v>
      </c>
      <c r="E128" s="1">
        <v>0</v>
      </c>
      <c r="F128" s="1">
        <v>0</v>
      </c>
      <c r="G128" s="1">
        <v>0</v>
      </c>
      <c r="H128" s="1">
        <v>0</v>
      </c>
      <c r="I128" s="1">
        <v>0</v>
      </c>
      <c r="J128" s="1">
        <v>0</v>
      </c>
      <c r="K128" s="1">
        <v>0</v>
      </c>
      <c r="L128" s="1">
        <v>0</v>
      </c>
      <c r="M128" s="6" t="str" cm="1">
        <f t="array" ref="M128">_xlfn.TEXTJOIN(", ",TRUE,
_xlfn._xlws.FILTER($R$2:$R$101,
ISNUMBER(SEARCH(LOWER($R$2:$R$101),LOWER(B128)))
))</f>
        <v>schapelle corby, corby</v>
      </c>
      <c r="N128">
        <f t="shared" si="1"/>
        <v>2</v>
      </c>
      <c r="O128" s="6" t="str" cm="1">
        <f t="array" ref="O128">_xlfn.TEXTJOIN(", ",TRUE,
_xlfn.UNIQUE(
_xlfn._xlws.FILTER($S$2:$S$200,
ISNUMBER(SEARCH(LOWER($R$2:$R$200),LOWER(B128)))
)
))</f>
        <v>Case Related, Familial based</v>
      </c>
      <c r="P128" cm="1">
        <f t="array" aca="1" ref="P128" ca="1">IFERROR(
    IF(N128=0, 0,
        SUMPRODUCT(
            N(
                _xlfn.IFNA(
                    VLOOKUP(
                        TRIM(MID(SUBSTITUTE(M128,",",REPT(" ",100)),
                        (ROW(INDIRECT("1:" &amp; LEN(M128)-LEN(SUBSTITUTE(M128,",","")) + 1))-1)*100 + 1, 100)),
                        $R$2:$T$101, 3, FALSE
                    ), 0)
            )
        ) / N128
    ),
0)</f>
        <v>0</v>
      </c>
    </row>
    <row r="129" spans="1:16" ht="30.75">
      <c r="A129">
        <v>128</v>
      </c>
      <c r="B129" s="4" t="s">
        <v>241</v>
      </c>
      <c r="C129" s="1">
        <v>0</v>
      </c>
      <c r="D129" s="1">
        <v>0</v>
      </c>
      <c r="E129" s="1">
        <v>0</v>
      </c>
      <c r="F129" s="1">
        <v>0</v>
      </c>
      <c r="G129" s="1">
        <v>0</v>
      </c>
      <c r="H129" s="1">
        <v>0</v>
      </c>
      <c r="I129" s="1">
        <v>0</v>
      </c>
      <c r="J129" s="1">
        <v>0</v>
      </c>
      <c r="K129" s="1">
        <v>0</v>
      </c>
      <c r="L129" s="1">
        <v>0</v>
      </c>
      <c r="M129" s="6" t="str" cm="1">
        <f t="array" ref="M129">_xlfn.TEXTJOIN(", ",TRUE,
_xlfn._xlws.FILTER($R$2:$R$101,
ISNUMBER(SEARCH(LOWER($R$2:$R$101),LOWER(B129)))
))</f>
        <v>schapelle corby, smuggling, australia, corby</v>
      </c>
      <c r="N129">
        <f t="shared" si="1"/>
        <v>4</v>
      </c>
      <c r="O129" s="6" t="str" cm="1">
        <f t="array" ref="O129">_xlfn.TEXTJOIN(", ",TRUE,
_xlfn.UNIQUE(
_xlfn._xlws.FILTER($S$2:$S$200,
ISNUMBER(SEARCH(LOWER($R$2:$R$200),LOWER(B129)))
)
))</f>
        <v>Case Related, Familial based</v>
      </c>
      <c r="P129" cm="1">
        <f t="array" aca="1" ref="P129" ca="1">IFERROR(
    IF(N129=0, 0,
        SUMPRODUCT(
            N(
                _xlfn.IFNA(
                    VLOOKUP(
                        TRIM(MID(SUBSTITUTE(M129,",",REPT(" ",100)),
                        (ROW(INDIRECT("1:" &amp; LEN(M129)-LEN(SUBSTITUTE(M129,",","")) + 1))-1)*100 + 1, 100)),
                        $R$2:$T$101, 3, FALSE
                    ), 0)
            )
        ) / N129
    ),
0)</f>
        <v>0</v>
      </c>
    </row>
    <row r="130" spans="1:16">
      <c r="A130">
        <v>129</v>
      </c>
      <c r="B130" s="4" t="s">
        <v>243</v>
      </c>
      <c r="C130" s="1">
        <v>0</v>
      </c>
      <c r="D130" s="1">
        <v>0</v>
      </c>
      <c r="E130" s="1">
        <v>0</v>
      </c>
      <c r="F130" s="1">
        <v>0</v>
      </c>
      <c r="G130" s="1">
        <v>0</v>
      </c>
      <c r="H130" s="1">
        <v>0</v>
      </c>
      <c r="I130" s="1">
        <v>0</v>
      </c>
      <c r="J130" s="1">
        <v>0</v>
      </c>
      <c r="K130" s="1">
        <v>0</v>
      </c>
      <c r="L130" s="1">
        <v>0</v>
      </c>
      <c r="M130" s="6" t="str" cm="1">
        <f t="array" ref="M130">_xlfn.TEXTJOIN(", ",TRUE,
_xlfn._xlws.FILTER($R$2:$R$101,
ISNUMBER(SEARCH(LOWER($R$2:$R$101),LOWER(B130)))
))</f>
        <v>schapelle corby, corby</v>
      </c>
      <c r="N130">
        <f t="shared" si="1"/>
        <v>2</v>
      </c>
      <c r="O130" s="6" t="str" cm="1">
        <f t="array" ref="O130">_xlfn.TEXTJOIN(", ",TRUE,
_xlfn.UNIQUE(
_xlfn._xlws.FILTER($S$2:$S$200,
ISNUMBER(SEARCH(LOWER($R$2:$R$200),LOWER(B130)))
)
))</f>
        <v>Case Related, Familial based</v>
      </c>
      <c r="P130" cm="1">
        <f t="array" aca="1" ref="P130" ca="1">IFERROR(
    IF(N130=0, 0,
        SUMPRODUCT(
            N(
                _xlfn.IFNA(
                    VLOOKUP(
                        TRIM(MID(SUBSTITUTE(M130,",",REPT(" ",100)),
                        (ROW(INDIRECT("1:" &amp; LEN(M130)-LEN(SUBSTITUTE(M130,",","")) + 1))-1)*100 + 1, 100)),
                        $R$2:$T$101, 3, FALSE
                    ), 0)
            )
        ) / N130
    ),
0)</f>
        <v>0</v>
      </c>
    </row>
    <row r="131" spans="1:16" ht="30.75">
      <c r="A131">
        <v>130</v>
      </c>
      <c r="B131" s="4" t="s">
        <v>245</v>
      </c>
      <c r="C131" s="1">
        <v>0.5</v>
      </c>
      <c r="D131" s="1">
        <v>0.75</v>
      </c>
      <c r="E131" s="1">
        <v>0</v>
      </c>
      <c r="F131" s="1">
        <v>1</v>
      </c>
      <c r="G131" s="1">
        <v>1</v>
      </c>
      <c r="H131" s="1">
        <v>0</v>
      </c>
      <c r="I131" s="1">
        <v>0</v>
      </c>
      <c r="J131" s="1">
        <v>0</v>
      </c>
      <c r="K131" s="1">
        <v>0</v>
      </c>
      <c r="L131" s="1">
        <v>0</v>
      </c>
      <c r="M131" s="6" t="str" cm="1">
        <f t="array" ref="M131">_xlfn.TEXTJOIN(", ",TRUE,
_xlfn._xlws.FILTER($R$2:$R$101,
ISNUMBER(SEARCH(LOWER($R$2:$R$101),LOWER(B131)))
))</f>
        <v>schapelle corby, drug smuggler, af, corby</v>
      </c>
      <c r="N131">
        <f t="shared" ref="N131:N194" si="2">IF(M131="","0",LEN(M131)-LEN(SUBSTITUTE(M131,",",""))+1)</f>
        <v>4</v>
      </c>
      <c r="O131" s="6" t="str" cm="1">
        <f t="array" ref="O131">_xlfn.TEXTJOIN(", ",TRUE,
_xlfn.UNIQUE(
_xlfn._xlws.FILTER($S$2:$S$200,
ISNUMBER(SEARCH(LOWER($R$2:$R$200),LOWER(B131)))
)
))</f>
        <v>Case Related, Crime based, Intelligence based, Familial based</v>
      </c>
      <c r="P131" cm="1">
        <f t="array" aca="1" ref="P131" ca="1">IFERROR(
    IF(N131=0, 0,
        SUMPRODUCT(
            N(
                _xlfn.IFNA(
                    VLOOKUP(
                        TRIM(MID(SUBSTITUTE(M131,",",REPT(" ",100)),
                        (ROW(INDIRECT("1:" &amp; LEN(M131)-LEN(SUBSTITUTE(M131,",","")) + 1))-1)*100 + 1, 100)),
                        $R$2:$T$101, 3, FALSE
                    ), 0)
            )
        ) / N131
    ),
0)</f>
        <v>0.5</v>
      </c>
    </row>
    <row r="132" spans="1:16">
      <c r="A132">
        <v>131</v>
      </c>
      <c r="B132" s="4" t="s">
        <v>247</v>
      </c>
      <c r="C132" s="1">
        <v>0</v>
      </c>
      <c r="D132" s="1">
        <v>0</v>
      </c>
      <c r="E132" s="1">
        <v>0</v>
      </c>
      <c r="F132" s="1">
        <v>0</v>
      </c>
      <c r="G132" s="1">
        <v>0</v>
      </c>
      <c r="H132" s="1">
        <v>0</v>
      </c>
      <c r="I132" s="1">
        <v>0</v>
      </c>
      <c r="J132" s="1">
        <v>0</v>
      </c>
      <c r="K132" s="1">
        <v>0</v>
      </c>
      <c r="L132" s="1">
        <v>0</v>
      </c>
      <c r="M132" s="6" t="str" cm="1">
        <f t="array" ref="M132">_xlfn.TEXTJOIN(", ",TRUE,
_xlfn._xlws.FILTER($R$2:$R$101,
ISNUMBER(SEARCH(LOWER($R$2:$R$101),LOWER(B132)))
))</f>
        <v>schapelle corby, australia, corby</v>
      </c>
      <c r="N132">
        <f t="shared" si="2"/>
        <v>3</v>
      </c>
      <c r="O132" s="6" t="str" cm="1">
        <f t="array" ref="O132">_xlfn.TEXTJOIN(", ",TRUE,
_xlfn.UNIQUE(
_xlfn._xlws.FILTER($S$2:$S$200,
ISNUMBER(SEARCH(LOWER($R$2:$R$200),LOWER(B132)))
)
))</f>
        <v>Case Related, Familial based</v>
      </c>
      <c r="P132" cm="1">
        <f t="array" aca="1" ref="P132" ca="1">IFERROR(
    IF(N132=0, 0,
        SUMPRODUCT(
            N(
                _xlfn.IFNA(
                    VLOOKUP(
                        TRIM(MID(SUBSTITUTE(M132,",",REPT(" ",100)),
                        (ROW(INDIRECT("1:" &amp; LEN(M132)-LEN(SUBSTITUTE(M132,",","")) + 1))-1)*100 + 1, 100)),
                        $R$2:$T$101, 3, FALSE
                    ), 0)
            )
        ) / N132
    ),
0)</f>
        <v>0</v>
      </c>
    </row>
    <row r="133" spans="1:16" ht="30.75">
      <c r="A133">
        <v>132</v>
      </c>
      <c r="B133" s="4" t="s">
        <v>249</v>
      </c>
      <c r="C133" s="1">
        <v>0.16666666699999999</v>
      </c>
      <c r="D133" s="1">
        <v>0</v>
      </c>
      <c r="E133" s="1">
        <v>0</v>
      </c>
      <c r="F133" s="1">
        <v>0.5</v>
      </c>
      <c r="G133" s="1">
        <v>0</v>
      </c>
      <c r="H133" s="1">
        <v>0</v>
      </c>
      <c r="I133" s="1">
        <v>0</v>
      </c>
      <c r="J133" s="1">
        <v>0</v>
      </c>
      <c r="K133" s="1">
        <v>0</v>
      </c>
      <c r="L133" s="1">
        <v>0</v>
      </c>
      <c r="M133" s="6" t="str" cm="1">
        <f t="array" ref="M133">_xlfn.TEXTJOIN(", ",TRUE,
_xlfn._xlws.FILTER($R$2:$R$101,
ISNUMBER(SEARCH(LOWER($R$2:$R$101),LOWER(B133)))
))</f>
        <v>schapelle corby, australia, convicted drug smuggler, drug smuggler, corby, convicted</v>
      </c>
      <c r="N133">
        <f t="shared" si="2"/>
        <v>6</v>
      </c>
      <c r="O133" s="6" t="str" cm="1">
        <f t="array" ref="O133">_xlfn.TEXTJOIN(", ",TRUE,
_xlfn.UNIQUE(
_xlfn._xlws.FILTER($S$2:$S$200,
ISNUMBER(SEARCH(LOWER($R$2:$R$200),LOWER(B133)))
)
))</f>
        <v>Case Related, Crime based, Familial based, Legality based</v>
      </c>
      <c r="P133" cm="1">
        <f t="array" aca="1" ref="P133" ca="1">IFERROR(
    IF(N133=0, 0,
        SUMPRODUCT(
            N(
                _xlfn.IFNA(
                    VLOOKUP(
                        TRIM(MID(SUBSTITUTE(M133,",",REPT(" ",100)),
                        (ROW(INDIRECT("1:" &amp; LEN(M133)-LEN(SUBSTITUTE(M133,",","")) + 1))-1)*100 + 1, 100)),
                        $R$2:$T$101, 3, FALSE
                    ), 0)
            )
        ) / N133
    ),
0)</f>
        <v>0.16666666666666666</v>
      </c>
    </row>
    <row r="134" spans="1:16">
      <c r="A134">
        <v>133</v>
      </c>
      <c r="B134" s="4" t="s">
        <v>251</v>
      </c>
      <c r="C134" s="1">
        <v>0</v>
      </c>
      <c r="D134" s="1">
        <v>0</v>
      </c>
      <c r="E134" s="1">
        <v>0</v>
      </c>
      <c r="F134" s="1">
        <v>0</v>
      </c>
      <c r="G134" s="1">
        <v>0</v>
      </c>
      <c r="H134" s="1">
        <v>0</v>
      </c>
      <c r="I134" s="1">
        <v>0</v>
      </c>
      <c r="J134" s="1">
        <v>0</v>
      </c>
      <c r="K134" s="1">
        <v>0</v>
      </c>
      <c r="L134" s="1">
        <v>0</v>
      </c>
      <c r="M134" s="6" t="str" cm="1">
        <f t="array" ref="M134">_xlfn.TEXTJOIN(", ",TRUE,
_xlfn._xlws.FILTER($R$2:$R$101,
ISNUMBER(SEARCH(LOWER($R$2:$R$101),LOWER(B134)))
))</f>
        <v>schapelle corby, australia, corby</v>
      </c>
      <c r="N134">
        <f t="shared" si="2"/>
        <v>3</v>
      </c>
      <c r="O134" s="6" t="str" cm="1">
        <f t="array" ref="O134">_xlfn.TEXTJOIN(", ",TRUE,
_xlfn.UNIQUE(
_xlfn._xlws.FILTER($S$2:$S$200,
ISNUMBER(SEARCH(LOWER($R$2:$R$200),LOWER(B134)))
)
))</f>
        <v>Case Related, Familial based</v>
      </c>
      <c r="P134" cm="1">
        <f t="array" aca="1" ref="P134" ca="1">IFERROR(
    IF(N134=0, 0,
        SUMPRODUCT(
            N(
                _xlfn.IFNA(
                    VLOOKUP(
                        TRIM(MID(SUBSTITUTE(M134,",",REPT(" ",100)),
                        (ROW(INDIRECT("1:" &amp; LEN(M134)-LEN(SUBSTITUTE(M134,",","")) + 1))-1)*100 + 1, 100)),
                        $R$2:$T$101, 3, FALSE
                    ), 0)
            )
        ) / N134
    ),
0)</f>
        <v>0</v>
      </c>
    </row>
    <row r="135" spans="1:16">
      <c r="A135">
        <v>134</v>
      </c>
      <c r="B135" s="4" t="s">
        <v>253</v>
      </c>
      <c r="C135" s="1">
        <v>0</v>
      </c>
      <c r="D135" s="1">
        <v>0</v>
      </c>
      <c r="E135" s="1">
        <v>0</v>
      </c>
      <c r="F135" s="1">
        <v>0</v>
      </c>
      <c r="G135" s="1">
        <v>0</v>
      </c>
      <c r="H135" s="1">
        <v>0</v>
      </c>
      <c r="I135" s="1">
        <v>0</v>
      </c>
      <c r="J135" s="1">
        <v>0</v>
      </c>
      <c r="K135" s="1">
        <v>0</v>
      </c>
      <c r="L135" s="1">
        <v>0</v>
      </c>
      <c r="M135" s="6" t="str" cm="1">
        <f t="array" ref="M135">_xlfn.TEXTJOIN(", ",TRUE,
_xlfn._xlws.FILTER($R$2:$R$101,
ISNUMBER(SEARCH(LOWER($R$2:$R$101),LOWER(B135)))
))</f>
        <v>schapelle corby, corby</v>
      </c>
      <c r="N135">
        <f t="shared" si="2"/>
        <v>2</v>
      </c>
      <c r="O135" s="6" t="str" cm="1">
        <f t="array" ref="O135">_xlfn.TEXTJOIN(", ",TRUE,
_xlfn.UNIQUE(
_xlfn._xlws.FILTER($S$2:$S$200,
ISNUMBER(SEARCH(LOWER($R$2:$R$200),LOWER(B135)))
)
))</f>
        <v>Case Related, Familial based</v>
      </c>
      <c r="P135" cm="1">
        <f t="array" aca="1" ref="P135" ca="1">IFERROR(
    IF(N135=0, 0,
        SUMPRODUCT(
            N(
                _xlfn.IFNA(
                    VLOOKUP(
                        TRIM(MID(SUBSTITUTE(M135,",",REPT(" ",100)),
                        (ROW(INDIRECT("1:" &amp; LEN(M135)-LEN(SUBSTITUTE(M135,",","")) + 1))-1)*100 + 1, 100)),
                        $R$2:$T$101, 3, FALSE
                    ), 0)
            )
        ) / N135
    ),
0)</f>
        <v>0</v>
      </c>
    </row>
    <row r="136" spans="1:16">
      <c r="A136">
        <v>135</v>
      </c>
      <c r="B136" s="4" t="s">
        <v>255</v>
      </c>
      <c r="C136" s="1">
        <v>0</v>
      </c>
      <c r="D136" s="1">
        <v>0</v>
      </c>
      <c r="E136" s="1">
        <v>0</v>
      </c>
      <c r="F136" s="1">
        <v>0</v>
      </c>
      <c r="G136" s="1">
        <v>0</v>
      </c>
      <c r="H136" s="1">
        <v>0</v>
      </c>
      <c r="I136" s="1">
        <v>0</v>
      </c>
      <c r="J136" s="1">
        <v>0</v>
      </c>
      <c r="K136" s="1">
        <v>0</v>
      </c>
      <c r="L136" s="1">
        <v>0</v>
      </c>
      <c r="M136" s="6" t="str" cm="1">
        <f t="array" ref="M136">_xlfn.TEXTJOIN(", ",TRUE,
_xlfn._xlws.FILTER($R$2:$R$101,
ISNUMBER(SEARCH(LOWER($R$2:$R$101),LOWER(B136)))
))</f>
        <v>schapelle corby, australia, corby</v>
      </c>
      <c r="N136">
        <f t="shared" si="2"/>
        <v>3</v>
      </c>
      <c r="O136" s="6" t="str" cm="1">
        <f t="array" ref="O136">_xlfn.TEXTJOIN(", ",TRUE,
_xlfn.UNIQUE(
_xlfn._xlws.FILTER($S$2:$S$200,
ISNUMBER(SEARCH(LOWER($R$2:$R$200),LOWER(B136)))
)
))</f>
        <v>Case Related, Familial based</v>
      </c>
      <c r="P136" cm="1">
        <f t="array" aca="1" ref="P136" ca="1">IFERROR(
    IF(N136=0, 0,
        SUMPRODUCT(
            N(
                _xlfn.IFNA(
                    VLOOKUP(
                        TRIM(MID(SUBSTITUTE(M136,",",REPT(" ",100)),
                        (ROW(INDIRECT("1:" &amp; LEN(M136)-LEN(SUBSTITUTE(M136,",","")) + 1))-1)*100 + 1, 100)),
                        $R$2:$T$101, 3, FALSE
                    ), 0)
            )
        ) / N136
    ),
0)</f>
        <v>0</v>
      </c>
    </row>
    <row r="137" spans="1:16" ht="30.75">
      <c r="A137">
        <v>136</v>
      </c>
      <c r="B137" s="4" t="s">
        <v>257</v>
      </c>
      <c r="C137" s="1">
        <v>0</v>
      </c>
      <c r="D137" s="1">
        <v>0</v>
      </c>
      <c r="E137" s="1">
        <v>0</v>
      </c>
      <c r="F137" s="1">
        <v>0</v>
      </c>
      <c r="G137" s="1">
        <v>0</v>
      </c>
      <c r="H137" s="1">
        <v>0</v>
      </c>
      <c r="I137" s="1">
        <v>0</v>
      </c>
      <c r="J137" s="1">
        <v>0</v>
      </c>
      <c r="K137" s="1">
        <v>0</v>
      </c>
      <c r="L137" s="1">
        <v>0</v>
      </c>
      <c r="M137" s="6" t="str" cm="1">
        <f t="array" ref="M137">_xlfn.TEXTJOIN(", ",TRUE,
_xlfn._xlws.FILTER($R$2:$R$101,
ISNUMBER(SEARCH(LOWER($R$2:$R$101),LOWER(B137)))
))</f>
        <v>schapelle corby, corby</v>
      </c>
      <c r="N137">
        <f t="shared" si="2"/>
        <v>2</v>
      </c>
      <c r="O137" s="6" t="str" cm="1">
        <f t="array" ref="O137">_xlfn.TEXTJOIN(", ",TRUE,
_xlfn.UNIQUE(
_xlfn._xlws.FILTER($S$2:$S$200,
ISNUMBER(SEARCH(LOWER($R$2:$R$200),LOWER(B137)))
)
))</f>
        <v>Case Related, Familial based</v>
      </c>
      <c r="P137" cm="1">
        <f t="array" aca="1" ref="P137" ca="1">IFERROR(
    IF(N137=0, 0,
        SUMPRODUCT(
            N(
                _xlfn.IFNA(
                    VLOOKUP(
                        TRIM(MID(SUBSTITUTE(M137,",",REPT(" ",100)),
                        (ROW(INDIRECT("1:" &amp; LEN(M137)-LEN(SUBSTITUTE(M137,",","")) + 1))-1)*100 + 1, 100)),
                        $R$2:$T$101, 3, FALSE
                    ), 0)
            )
        ) / N137
    ),
0)</f>
        <v>0</v>
      </c>
    </row>
    <row r="138" spans="1:16" ht="30.75">
      <c r="A138">
        <v>137</v>
      </c>
      <c r="B138" s="4" t="s">
        <v>259</v>
      </c>
      <c r="C138" s="1">
        <v>0</v>
      </c>
      <c r="D138" s="1">
        <v>0</v>
      </c>
      <c r="E138" s="1">
        <v>0</v>
      </c>
      <c r="F138" s="1">
        <v>0</v>
      </c>
      <c r="G138" s="1">
        <v>0</v>
      </c>
      <c r="H138" s="1">
        <v>0</v>
      </c>
      <c r="I138" s="1">
        <v>0</v>
      </c>
      <c r="J138" s="1">
        <v>0</v>
      </c>
      <c r="K138" s="1">
        <v>0</v>
      </c>
      <c r="L138" s="1">
        <v>0</v>
      </c>
      <c r="M138" s="6" t="str" cm="1">
        <f t="array" ref="M138">_xlfn.TEXTJOIN(", ",TRUE,
_xlfn._xlws.FILTER($R$2:$R$101,
ISNUMBER(SEARCH(LOWER($R$2:$R$101),LOWER(B138)))
))</f>
        <v>schapelle corby, corby, innocent</v>
      </c>
      <c r="N138">
        <f t="shared" si="2"/>
        <v>3</v>
      </c>
      <c r="O138" s="6" t="str" cm="1">
        <f t="array" ref="O138">_xlfn.TEXTJOIN(", ",TRUE,
_xlfn.UNIQUE(
_xlfn._xlws.FILTER($S$2:$S$200,
ISNUMBER(SEARCH(LOWER($R$2:$R$200),LOWER(B138)))
)
))</f>
        <v>Case Related, Familial based, Legality based</v>
      </c>
      <c r="P138" cm="1">
        <f t="array" aca="1" ref="P138" ca="1">IFERROR(
    IF(N138=0, 0,
        SUMPRODUCT(
            N(
                _xlfn.IFNA(
                    VLOOKUP(
                        TRIM(MID(SUBSTITUTE(M138,",",REPT(" ",100)),
                        (ROW(INDIRECT("1:" &amp; LEN(M138)-LEN(SUBSTITUTE(M138,",","")) + 1))-1)*100 + 1, 100)),
                        $R$2:$T$101, 3, FALSE
                    ), 0)
            )
        ) / N138
    ),
0)</f>
        <v>0</v>
      </c>
    </row>
    <row r="139" spans="1:16" ht="45.75">
      <c r="A139">
        <v>138</v>
      </c>
      <c r="B139" s="4" t="s">
        <v>261</v>
      </c>
      <c r="C139" s="1">
        <v>0.2</v>
      </c>
      <c r="D139" s="1">
        <v>0</v>
      </c>
      <c r="E139" s="1">
        <v>0</v>
      </c>
      <c r="F139" s="1">
        <v>0.5</v>
      </c>
      <c r="G139" s="1">
        <v>0</v>
      </c>
      <c r="H139" s="1">
        <v>0</v>
      </c>
      <c r="I139" s="1">
        <v>0</v>
      </c>
      <c r="J139" s="1">
        <v>0</v>
      </c>
      <c r="K139" s="1">
        <v>0</v>
      </c>
      <c r="L139" s="1">
        <v>0</v>
      </c>
      <c r="M139" s="6" t="str" cm="1">
        <f t="array" ref="M139">_xlfn.TEXTJOIN(", ",TRUE,
_xlfn._xlws.FILTER($R$2:$R$101,
ISNUMBER(SEARCH(LOWER($R$2:$R$101),LOWER(B139)))
))</f>
        <v>schapelle corby, australia, drugs, drug smuggler, corby</v>
      </c>
      <c r="N139">
        <f t="shared" si="2"/>
        <v>5</v>
      </c>
      <c r="O139" s="6" t="str" cm="1">
        <f t="array" ref="O139">_xlfn.TEXTJOIN(", ",TRUE,
_xlfn.UNIQUE(
_xlfn._xlws.FILTER($S$2:$S$200,
ISNUMBER(SEARCH(LOWER($R$2:$R$200),LOWER(B139)))
)
))</f>
        <v>Case Related, Crime based, Familial based</v>
      </c>
      <c r="P139" cm="1">
        <f t="array" aca="1" ref="P139" ca="1">IFERROR(
    IF(N139=0, 0,
        SUMPRODUCT(
            N(
                _xlfn.IFNA(
                    VLOOKUP(
                        TRIM(MID(SUBSTITUTE(M139,",",REPT(" ",100)),
                        (ROW(INDIRECT("1:" &amp; LEN(M139)-LEN(SUBSTITUTE(M139,",","")) + 1))-1)*100 + 1, 100)),
                        $R$2:$T$101, 3, FALSE
                    ), 0)
            )
        ) / N139
    ),
0)</f>
        <v>0.2</v>
      </c>
    </row>
    <row r="140" spans="1:16">
      <c r="A140">
        <v>139</v>
      </c>
      <c r="B140" s="4" t="s">
        <v>263</v>
      </c>
      <c r="C140" s="1">
        <v>0</v>
      </c>
      <c r="D140" s="1">
        <v>0</v>
      </c>
      <c r="E140" s="1">
        <v>0</v>
      </c>
      <c r="F140" s="1">
        <v>0</v>
      </c>
      <c r="G140" s="1">
        <v>0</v>
      </c>
      <c r="H140" s="1">
        <v>0</v>
      </c>
      <c r="I140" s="1">
        <v>0</v>
      </c>
      <c r="J140" s="1">
        <v>0</v>
      </c>
      <c r="K140" s="1">
        <v>0</v>
      </c>
      <c r="L140" s="1">
        <v>0</v>
      </c>
      <c r="M140" s="6" t="str" cm="1">
        <f t="array" ref="M140">_xlfn.TEXTJOIN(", ",TRUE,
_xlfn._xlws.FILTER($R$2:$R$101,
ISNUMBER(SEARCH(LOWER($R$2:$R$101),LOWER(B140)))
))</f>
        <v>schapelle corby, australia, corby</v>
      </c>
      <c r="N140">
        <f t="shared" si="2"/>
        <v>3</v>
      </c>
      <c r="O140" s="6" t="str" cm="1">
        <f t="array" ref="O140">_xlfn.TEXTJOIN(", ",TRUE,
_xlfn.UNIQUE(
_xlfn._xlws.FILTER($S$2:$S$200,
ISNUMBER(SEARCH(LOWER($R$2:$R$200),LOWER(B140)))
)
))</f>
        <v>Case Related, Familial based</v>
      </c>
      <c r="P140" cm="1">
        <f t="array" aca="1" ref="P140" ca="1">IFERROR(
    IF(N140=0, 0,
        SUMPRODUCT(
            N(
                _xlfn.IFNA(
                    VLOOKUP(
                        TRIM(MID(SUBSTITUTE(M140,",",REPT(" ",100)),
                        (ROW(INDIRECT("1:" &amp; LEN(M140)-LEN(SUBSTITUTE(M140,",","")) + 1))-1)*100 + 1, 100)),
                        $R$2:$T$101, 3, FALSE
                    ), 0)
            )
        ) / N140
    ),
0)</f>
        <v>0</v>
      </c>
    </row>
    <row r="141" spans="1:16">
      <c r="A141">
        <v>140</v>
      </c>
      <c r="B141" s="4" t="s">
        <v>265</v>
      </c>
      <c r="C141" s="1">
        <v>0.33333333300000001</v>
      </c>
      <c r="D141" s="1">
        <v>1</v>
      </c>
      <c r="E141" s="1">
        <v>0</v>
      </c>
      <c r="F141" s="1">
        <v>0</v>
      </c>
      <c r="G141" s="1">
        <v>1</v>
      </c>
      <c r="H141" s="1">
        <v>0</v>
      </c>
      <c r="I141" s="1">
        <v>0</v>
      </c>
      <c r="J141" s="1">
        <v>0</v>
      </c>
      <c r="K141" s="1">
        <v>0</v>
      </c>
      <c r="L141" s="1">
        <v>0</v>
      </c>
      <c r="M141" s="6" t="str" cm="1">
        <f t="array" ref="M141">_xlfn.TEXTJOIN(", ",TRUE,
_xlfn._xlws.FILTER($R$2:$R$101,
ISNUMBER(SEARCH(LOWER($R$2:$R$101),LOWER(B141)))
))</f>
        <v>af, corby, AFP</v>
      </c>
      <c r="N141">
        <f t="shared" si="2"/>
        <v>3</v>
      </c>
      <c r="O141" s="6" t="str" cm="1">
        <f t="array" ref="O141">_xlfn.TEXTJOIN(", ",TRUE,
_xlfn.UNIQUE(
_xlfn._xlws.FILTER($S$2:$S$200,
ISNUMBER(SEARCH(LOWER($R$2:$R$200),LOWER(B141)))
)
))</f>
        <v>Intelligence based, Familial based, Authority based</v>
      </c>
      <c r="P141" cm="1">
        <f t="array" aca="1" ref="P141" ca="1">IFERROR(
    IF(N141=0, 0,
        SUMPRODUCT(
            N(
                _xlfn.IFNA(
                    VLOOKUP(
                        TRIM(MID(SUBSTITUTE(M141,",",REPT(" ",100)),
                        (ROW(INDIRECT("1:" &amp; LEN(M141)-LEN(SUBSTITUTE(M141,",","")) + 1))-1)*100 + 1, 100)),
                        $R$2:$T$101, 3, FALSE
                    ), 0)
            )
        ) / N141
    ),
0)</f>
        <v>0.33333333333333331</v>
      </c>
    </row>
    <row r="142" spans="1:16">
      <c r="A142">
        <v>141</v>
      </c>
      <c r="B142" s="4" t="s">
        <v>267</v>
      </c>
      <c r="C142" s="1">
        <v>0</v>
      </c>
      <c r="D142" s="1">
        <v>0</v>
      </c>
      <c r="E142" s="1">
        <v>0</v>
      </c>
      <c r="F142" s="1">
        <v>0</v>
      </c>
      <c r="G142" s="1">
        <v>0</v>
      </c>
      <c r="H142" s="1">
        <v>0</v>
      </c>
      <c r="I142" s="1">
        <v>0</v>
      </c>
      <c r="J142" s="1">
        <v>0</v>
      </c>
      <c r="K142" s="1">
        <v>0</v>
      </c>
      <c r="L142" s="1">
        <v>0</v>
      </c>
      <c r="M142" s="6" t="str" cm="1">
        <f t="array" ref="M142">_xlfn.TEXTJOIN(", ",TRUE,
_xlfn._xlws.FILTER($R$2:$R$101,
ISNUMBER(SEARCH(LOWER($R$2:$R$101),LOWER(B142)))
))</f>
        <v>schapelle corby, australia, corby</v>
      </c>
      <c r="N142">
        <f t="shared" si="2"/>
        <v>3</v>
      </c>
      <c r="O142" s="6" t="str" cm="1">
        <f t="array" ref="O142">_xlfn.TEXTJOIN(", ",TRUE,
_xlfn.UNIQUE(
_xlfn._xlws.FILTER($S$2:$S$200,
ISNUMBER(SEARCH(LOWER($R$2:$R$200),LOWER(B142)))
)
))</f>
        <v>Case Related, Familial based</v>
      </c>
      <c r="P142" cm="1">
        <f t="array" aca="1" ref="P142" ca="1">IFERROR(
    IF(N142=0, 0,
        SUMPRODUCT(
            N(
                _xlfn.IFNA(
                    VLOOKUP(
                        TRIM(MID(SUBSTITUTE(M142,",",REPT(" ",100)),
                        (ROW(INDIRECT("1:" &amp; LEN(M142)-LEN(SUBSTITUTE(M142,",","")) + 1))-1)*100 + 1, 100)),
                        $R$2:$T$101, 3, FALSE
                    ), 0)
            )
        ) / N142
    ),
0)</f>
        <v>0</v>
      </c>
    </row>
    <row r="143" spans="1:16" ht="30.75">
      <c r="A143">
        <v>142</v>
      </c>
      <c r="B143" s="4" t="s">
        <v>269</v>
      </c>
      <c r="C143" s="1">
        <v>0.2</v>
      </c>
      <c r="D143" s="1">
        <v>0</v>
      </c>
      <c r="E143" s="1">
        <v>0</v>
      </c>
      <c r="F143" s="1">
        <v>0.5</v>
      </c>
      <c r="G143" s="1">
        <v>0</v>
      </c>
      <c r="H143" s="1">
        <v>0</v>
      </c>
      <c r="I143" s="1">
        <v>0</v>
      </c>
      <c r="J143" s="1">
        <v>0</v>
      </c>
      <c r="K143" s="1">
        <v>0</v>
      </c>
      <c r="L143" s="1">
        <v>0</v>
      </c>
      <c r="M143" s="6" t="str" cm="1">
        <f t="array" ref="M143">_xlfn.TEXTJOIN(", ",TRUE,
_xlfn._xlws.FILTER($R$2:$R$101,
ISNUMBER(SEARCH(LOWER($R$2:$R$101),LOWER(B143)))
))</f>
        <v>schapelle corby, convicted drug smuggler, drug smuggler, corby, convicted</v>
      </c>
      <c r="N143">
        <f t="shared" si="2"/>
        <v>5</v>
      </c>
      <c r="O143" s="6" t="str" cm="1">
        <f t="array" ref="O143">_xlfn.TEXTJOIN(", ",TRUE,
_xlfn.UNIQUE(
_xlfn._xlws.FILTER($S$2:$S$200,
ISNUMBER(SEARCH(LOWER($R$2:$R$200),LOWER(B143)))
)
))</f>
        <v>Case Related, Crime based, Familial based, Legality based</v>
      </c>
      <c r="P143" cm="1">
        <f t="array" aca="1" ref="P143" ca="1">IFERROR(
    IF(N143=0, 0,
        SUMPRODUCT(
            N(
                _xlfn.IFNA(
                    VLOOKUP(
                        TRIM(MID(SUBSTITUTE(M143,",",REPT(" ",100)),
                        (ROW(INDIRECT("1:" &amp; LEN(M143)-LEN(SUBSTITUTE(M143,",","")) + 1))-1)*100 + 1, 100)),
                        $R$2:$T$101, 3, FALSE
                    ), 0)
            )
        ) / N143
    ),
0)</f>
        <v>0.2</v>
      </c>
    </row>
    <row r="144" spans="1:16" ht="30.75">
      <c r="A144">
        <v>143</v>
      </c>
      <c r="B144" s="4" t="s">
        <v>271</v>
      </c>
      <c r="C144" s="1">
        <v>0.2</v>
      </c>
      <c r="D144" s="1">
        <v>0</v>
      </c>
      <c r="E144" s="1">
        <v>0</v>
      </c>
      <c r="F144" s="1">
        <v>0.5</v>
      </c>
      <c r="G144" s="1">
        <v>0</v>
      </c>
      <c r="H144" s="1">
        <v>0</v>
      </c>
      <c r="I144" s="1">
        <v>0</v>
      </c>
      <c r="J144" s="1">
        <v>0</v>
      </c>
      <c r="K144" s="1">
        <v>0</v>
      </c>
      <c r="L144" s="1">
        <v>0</v>
      </c>
      <c r="M144" s="6" t="str" cm="1">
        <f t="array" ref="M144">_xlfn.TEXTJOIN(", ",TRUE,
_xlfn._xlws.FILTER($R$2:$R$101,
ISNUMBER(SEARCH(LOWER($R$2:$R$101),LOWER(B144)))
))</f>
        <v>schapelle corby, convicted drug smuggler, drug smuggler, corby, convicted</v>
      </c>
      <c r="N144">
        <f t="shared" si="2"/>
        <v>5</v>
      </c>
      <c r="O144" s="6" t="str" cm="1">
        <f t="array" ref="O144">_xlfn.TEXTJOIN(", ",TRUE,
_xlfn.UNIQUE(
_xlfn._xlws.FILTER($S$2:$S$200,
ISNUMBER(SEARCH(LOWER($R$2:$R$200),LOWER(B144)))
)
))</f>
        <v>Case Related, Crime based, Familial based, Legality based</v>
      </c>
      <c r="P144" cm="1">
        <f t="array" aca="1" ref="P144" ca="1">IFERROR(
    IF(N144=0, 0,
        SUMPRODUCT(
            N(
                _xlfn.IFNA(
                    VLOOKUP(
                        TRIM(MID(SUBSTITUTE(M144,",",REPT(" ",100)),
                        (ROW(INDIRECT("1:" &amp; LEN(M144)-LEN(SUBSTITUTE(M144,",","")) + 1))-1)*100 + 1, 100)),
                        $R$2:$T$101, 3, FALSE
                    ), 0)
            )
        ) / N144
    ),
0)</f>
        <v>0.2</v>
      </c>
    </row>
    <row r="145" spans="1:16">
      <c r="A145">
        <v>144</v>
      </c>
      <c r="B145" s="4" t="s">
        <v>273</v>
      </c>
      <c r="C145" s="1">
        <v>0</v>
      </c>
      <c r="D145" s="1">
        <v>0</v>
      </c>
      <c r="E145" s="1">
        <v>0</v>
      </c>
      <c r="F145" s="1">
        <v>0</v>
      </c>
      <c r="G145" s="1">
        <v>0</v>
      </c>
      <c r="H145" s="1">
        <v>0</v>
      </c>
      <c r="I145" s="1">
        <v>0</v>
      </c>
      <c r="J145" s="1">
        <v>0</v>
      </c>
      <c r="K145" s="1">
        <v>0</v>
      </c>
      <c r="L145" s="1">
        <v>0</v>
      </c>
      <c r="M145" s="6" t="str" cm="1">
        <f t="array" ref="M145">_xlfn.TEXTJOIN(", ",TRUE,
_xlfn._xlws.FILTER($R$2:$R$101,
ISNUMBER(SEARCH(LOWER($R$2:$R$101),LOWER(B145)))
))</f>
        <v>schapelle corby, corby</v>
      </c>
      <c r="N145">
        <f t="shared" si="2"/>
        <v>2</v>
      </c>
      <c r="O145" s="6" t="str" cm="1">
        <f t="array" ref="O145">_xlfn.TEXTJOIN(", ",TRUE,
_xlfn.UNIQUE(
_xlfn._xlws.FILTER($S$2:$S$200,
ISNUMBER(SEARCH(LOWER($R$2:$R$200),LOWER(B145)))
)
))</f>
        <v>Case Related, Familial based</v>
      </c>
      <c r="P145" cm="1">
        <f t="array" aca="1" ref="P145" ca="1">IFERROR(
    IF(N145=0, 0,
        SUMPRODUCT(
            N(
                _xlfn.IFNA(
                    VLOOKUP(
                        TRIM(MID(SUBSTITUTE(M145,",",REPT(" ",100)),
                        (ROW(INDIRECT("1:" &amp; LEN(M145)-LEN(SUBSTITUTE(M145,",","")) + 1))-1)*100 + 1, 100)),
                        $R$2:$T$101, 3, FALSE
                    ), 0)
            )
        ) / N145
    ),
0)</f>
        <v>0</v>
      </c>
    </row>
    <row r="146" spans="1:16" ht="45.75">
      <c r="A146">
        <v>145</v>
      </c>
      <c r="B146" s="4" t="s">
        <v>275</v>
      </c>
      <c r="C146" s="10">
        <v>0.14285714299999999</v>
      </c>
      <c r="D146" s="1">
        <v>0.428571429</v>
      </c>
      <c r="E146" s="1">
        <v>0</v>
      </c>
      <c r="F146" s="1">
        <v>0</v>
      </c>
      <c r="G146" s="1">
        <v>1</v>
      </c>
      <c r="H146" s="1">
        <v>0</v>
      </c>
      <c r="I146" s="1">
        <v>0</v>
      </c>
      <c r="J146" s="1">
        <v>0</v>
      </c>
      <c r="K146" s="1">
        <v>0</v>
      </c>
      <c r="L146" s="1">
        <v>0</v>
      </c>
      <c r="M146" s="6" t="str" cm="1">
        <f t="array" ref="M146">_xlfn.TEXTJOIN(", ",TRUE,
_xlfn._xlws.FILTER($R$2:$R$101,
ISNUMBER(SEARCH(LOWER($R$2:$R$101),LOWER(B146)))
))</f>
        <v xml:space="preserve">schapelle corby, australia, jail, af, corby, sentence </v>
      </c>
      <c r="N146">
        <f t="shared" si="2"/>
        <v>6</v>
      </c>
      <c r="O146" s="6" t="str" cm="1">
        <f t="array" ref="O146">_xlfn.TEXTJOIN(", ",TRUE,
_xlfn.UNIQUE(
_xlfn._xlws.FILTER($S$2:$S$200,
ISNUMBER(SEARCH(LOWER($R$2:$R$200),LOWER(B146)))
)
))</f>
        <v>Case Related, Crime based, Intelligence based, Familial based, Legality based</v>
      </c>
      <c r="P146" cm="1">
        <f t="array" aca="1" ref="P146" ca="1">IFERROR(
    IF(N146=0, 0,
        SUMPRODUCT(
            N(
                _xlfn.IFNA(
                    VLOOKUP(
                        TRIM(MID(SUBSTITUTE(M146,",",REPT(" ",100)),
                        (ROW(INDIRECT("1:" &amp; LEN(M146)-LEN(SUBSTITUTE(M146,",","")) + 1))-1)*100 + 1, 100)),
                        $R$2:$T$101, 3, FALSE
                    ), 0)
            )
        ) / N146
    ),
0)</f>
        <v>0.16666666666666666</v>
      </c>
    </row>
    <row r="147" spans="1:16" ht="30.75">
      <c r="A147">
        <v>146</v>
      </c>
      <c r="B147" s="4" t="s">
        <v>277</v>
      </c>
      <c r="C147" s="1">
        <v>0</v>
      </c>
      <c r="D147" s="1">
        <v>0</v>
      </c>
      <c r="E147" s="1">
        <v>0</v>
      </c>
      <c r="F147" s="1">
        <v>0</v>
      </c>
      <c r="G147" s="1">
        <v>0</v>
      </c>
      <c r="H147" s="1">
        <v>0</v>
      </c>
      <c r="I147" s="1">
        <v>0</v>
      </c>
      <c r="J147" s="1">
        <v>0</v>
      </c>
      <c r="K147" s="1">
        <v>0</v>
      </c>
      <c r="L147" s="1">
        <v>0</v>
      </c>
      <c r="M147" s="6" t="str" cm="1">
        <f t="array" ref="M147">_xlfn.TEXTJOIN(", ",TRUE,
_xlfn._xlws.FILTER($R$2:$R$101,
ISNUMBER(SEARCH(LOWER($R$2:$R$101),LOWER(B147)))
))</f>
        <v>schapelle corby, corby</v>
      </c>
      <c r="N147">
        <f t="shared" si="2"/>
        <v>2</v>
      </c>
      <c r="O147" s="6" t="str" cm="1">
        <f t="array" ref="O147">_xlfn.TEXTJOIN(", ",TRUE,
_xlfn.UNIQUE(
_xlfn._xlws.FILTER($S$2:$S$200,
ISNUMBER(SEARCH(LOWER($R$2:$R$200),LOWER(B147)))
)
))</f>
        <v>Case Related, Familial based</v>
      </c>
      <c r="P147" cm="1">
        <f t="array" aca="1" ref="P147" ca="1">IFERROR(
    IF(N147=0, 0,
        SUMPRODUCT(
            N(
                _xlfn.IFNA(
                    VLOOKUP(
                        TRIM(MID(SUBSTITUTE(M147,",",REPT(" ",100)),
                        (ROW(INDIRECT("1:" &amp; LEN(M147)-LEN(SUBSTITUTE(M147,",","")) + 1))-1)*100 + 1, 100)),
                        $R$2:$T$101, 3, FALSE
                    ), 0)
            )
        ) / N147
    ),
0)</f>
        <v>0</v>
      </c>
    </row>
    <row r="148" spans="1:16" ht="30.75">
      <c r="A148">
        <v>147</v>
      </c>
      <c r="B148" s="4" t="s">
        <v>279</v>
      </c>
      <c r="C148" s="1">
        <v>0</v>
      </c>
      <c r="D148" s="1">
        <v>0</v>
      </c>
      <c r="E148" s="1">
        <v>0</v>
      </c>
      <c r="F148" s="1">
        <v>0</v>
      </c>
      <c r="G148" s="1">
        <v>0</v>
      </c>
      <c r="H148" s="1">
        <v>0</v>
      </c>
      <c r="I148" s="1">
        <v>0</v>
      </c>
      <c r="J148" s="1">
        <v>0</v>
      </c>
      <c r="K148" s="1">
        <v>0</v>
      </c>
      <c r="L148" s="1">
        <v>0</v>
      </c>
      <c r="M148" s="6" t="str" cm="1">
        <f t="array" ref="M148">_xlfn.TEXTJOIN(", ",TRUE,
_xlfn._xlws.FILTER($R$2:$R$101,
ISNUMBER(SEARCH(LOWER($R$2:$R$101),LOWER(B148)))
))</f>
        <v>schapelle corby, australia, corby</v>
      </c>
      <c r="N148">
        <f t="shared" si="2"/>
        <v>3</v>
      </c>
      <c r="O148" s="6" t="str" cm="1">
        <f t="array" ref="O148">_xlfn.TEXTJOIN(", ",TRUE,
_xlfn.UNIQUE(
_xlfn._xlws.FILTER($S$2:$S$200,
ISNUMBER(SEARCH(LOWER($R$2:$R$200),LOWER(B148)))
)
))</f>
        <v>Case Related, Familial based</v>
      </c>
      <c r="P148" cm="1">
        <f t="array" aca="1" ref="P148" ca="1">IFERROR(
    IF(N148=0, 0,
        SUMPRODUCT(
            N(
                _xlfn.IFNA(
                    VLOOKUP(
                        TRIM(MID(SUBSTITUTE(M148,",",REPT(" ",100)),
                        (ROW(INDIRECT("1:" &amp; LEN(M148)-LEN(SUBSTITUTE(M148,",","")) + 1))-1)*100 + 1, 100)),
                        $R$2:$T$101, 3, FALSE
                    ), 0)
            )
        ) / N148
    ),
0)</f>
        <v>0</v>
      </c>
    </row>
    <row r="149" spans="1:16">
      <c r="A149">
        <v>148</v>
      </c>
      <c r="B149" s="4" t="s">
        <v>281</v>
      </c>
      <c r="C149" s="1">
        <v>0</v>
      </c>
      <c r="D149" s="1">
        <v>0</v>
      </c>
      <c r="E149" s="1">
        <v>0</v>
      </c>
      <c r="F149" s="1">
        <v>0</v>
      </c>
      <c r="G149" s="1">
        <v>0</v>
      </c>
      <c r="H149" s="1">
        <v>0</v>
      </c>
      <c r="I149" s="1">
        <v>0</v>
      </c>
      <c r="J149" s="1">
        <v>0</v>
      </c>
      <c r="K149" s="1">
        <v>0</v>
      </c>
      <c r="L149" s="1">
        <v>0</v>
      </c>
      <c r="M149" s="6" t="str" cm="1">
        <f t="array" ref="M149">_xlfn.TEXTJOIN(", ",TRUE,
_xlfn._xlws.FILTER($R$2:$R$101,
ISNUMBER(SEARCH(LOWER($R$2:$R$101),LOWER(B149)))
))</f>
        <v>schapelle corby, corby</v>
      </c>
      <c r="N149">
        <f t="shared" si="2"/>
        <v>2</v>
      </c>
      <c r="O149" s="6" t="str" cm="1">
        <f t="array" ref="O149">_xlfn.TEXTJOIN(", ",TRUE,
_xlfn.UNIQUE(
_xlfn._xlws.FILTER($S$2:$S$200,
ISNUMBER(SEARCH(LOWER($R$2:$R$200),LOWER(B149)))
)
))</f>
        <v>Case Related, Familial based</v>
      </c>
      <c r="P149" cm="1">
        <f t="array" aca="1" ref="P149" ca="1">IFERROR(
    IF(N149=0, 0,
        SUMPRODUCT(
            N(
                _xlfn.IFNA(
                    VLOOKUP(
                        TRIM(MID(SUBSTITUTE(M149,",",REPT(" ",100)),
                        (ROW(INDIRECT("1:" &amp; LEN(M149)-LEN(SUBSTITUTE(M149,",","")) + 1))-1)*100 + 1, 100)),
                        $R$2:$T$101, 3, FALSE
                    ), 0)
            )
        ) / N149
    ),
0)</f>
        <v>0</v>
      </c>
    </row>
    <row r="150" spans="1:16">
      <c r="A150">
        <v>149</v>
      </c>
      <c r="B150" s="4" t="s">
        <v>283</v>
      </c>
      <c r="C150" s="1">
        <v>0</v>
      </c>
      <c r="D150" s="1">
        <v>0</v>
      </c>
      <c r="E150" s="1">
        <v>0</v>
      </c>
      <c r="F150" s="1">
        <v>0</v>
      </c>
      <c r="G150" s="1">
        <v>0</v>
      </c>
      <c r="H150" s="1">
        <v>0</v>
      </c>
      <c r="I150" s="1">
        <v>0</v>
      </c>
      <c r="J150" s="1">
        <v>0</v>
      </c>
      <c r="K150" s="1">
        <v>0</v>
      </c>
      <c r="L150" s="1">
        <v>0</v>
      </c>
      <c r="M150" s="6" t="str" cm="1">
        <f t="array" ref="M150">_xlfn.TEXTJOIN(", ",TRUE,
_xlfn._xlws.FILTER($R$2:$R$101,
ISNUMBER(SEARCH(LOWER($R$2:$R$101),LOWER(B150)))
))</f>
        <v>schapelle corby, corby</v>
      </c>
      <c r="N150">
        <f t="shared" si="2"/>
        <v>2</v>
      </c>
      <c r="O150" s="6" t="str" cm="1">
        <f t="array" ref="O150">_xlfn.TEXTJOIN(", ",TRUE,
_xlfn.UNIQUE(
_xlfn._xlws.FILTER($S$2:$S$200,
ISNUMBER(SEARCH(LOWER($R$2:$R$200),LOWER(B150)))
)
))</f>
        <v>Case Related, Familial based</v>
      </c>
      <c r="P150" cm="1">
        <f t="array" aca="1" ref="P150" ca="1">IFERROR(
    IF(N150=0, 0,
        SUMPRODUCT(
            N(
                _xlfn.IFNA(
                    VLOOKUP(
                        TRIM(MID(SUBSTITUTE(M150,",",REPT(" ",100)),
                        (ROW(INDIRECT("1:" &amp; LEN(M150)-LEN(SUBSTITUTE(M150,",","")) + 1))-1)*100 + 1, 100)),
                        $R$2:$T$101, 3, FALSE
                    ), 0)
            )
        ) / N150
    ),
0)</f>
        <v>0</v>
      </c>
    </row>
    <row r="151" spans="1:16">
      <c r="A151">
        <v>150</v>
      </c>
      <c r="B151" s="4" t="s">
        <v>285</v>
      </c>
      <c r="C151" s="1">
        <v>0</v>
      </c>
      <c r="D151" s="1">
        <v>0</v>
      </c>
      <c r="E151" s="1">
        <v>0</v>
      </c>
      <c r="F151" s="1">
        <v>0</v>
      </c>
      <c r="G151" s="1">
        <v>0</v>
      </c>
      <c r="H151" s="1">
        <v>0</v>
      </c>
      <c r="I151" s="1">
        <v>0</v>
      </c>
      <c r="J151" s="1">
        <v>0</v>
      </c>
      <c r="K151" s="1">
        <v>0</v>
      </c>
      <c r="L151" s="1">
        <v>0</v>
      </c>
      <c r="M151" s="6" t="str" cm="1">
        <f t="array" ref="M151">_xlfn.TEXTJOIN(", ",TRUE,
_xlfn._xlws.FILTER($R$2:$R$101,
ISNUMBER(SEARCH(LOWER($R$2:$R$101),LOWER(B151)))
))</f>
        <v>schapelle corby, corby</v>
      </c>
      <c r="N151">
        <f t="shared" si="2"/>
        <v>2</v>
      </c>
      <c r="O151" s="6" t="str" cm="1">
        <f t="array" ref="O151">_xlfn.TEXTJOIN(", ",TRUE,
_xlfn.UNIQUE(
_xlfn._xlws.FILTER($S$2:$S$200,
ISNUMBER(SEARCH(LOWER($R$2:$R$200),LOWER(B151)))
)
))</f>
        <v>Case Related, Familial based</v>
      </c>
      <c r="P151" cm="1">
        <f t="array" aca="1" ref="P151" ca="1">IFERROR(
    IF(N151=0, 0,
        SUMPRODUCT(
            N(
                _xlfn.IFNA(
                    VLOOKUP(
                        TRIM(MID(SUBSTITUTE(M151,",",REPT(" ",100)),
                        (ROW(INDIRECT("1:" &amp; LEN(M151)-LEN(SUBSTITUTE(M151,",","")) + 1))-1)*100 + 1, 100)),
                        $R$2:$T$101, 3, FALSE
                    ), 0)
            )
        ) / N151
    ),
0)</f>
        <v>0</v>
      </c>
    </row>
    <row r="152" spans="1:16">
      <c r="A152">
        <v>151</v>
      </c>
      <c r="B152" s="4" t="s">
        <v>287</v>
      </c>
      <c r="C152" s="1">
        <v>0</v>
      </c>
      <c r="D152" s="1">
        <v>0</v>
      </c>
      <c r="E152" s="1">
        <v>0</v>
      </c>
      <c r="F152" s="1">
        <v>0</v>
      </c>
      <c r="G152" s="1">
        <v>0</v>
      </c>
      <c r="H152" s="1">
        <v>0</v>
      </c>
      <c r="I152" s="1">
        <v>0</v>
      </c>
      <c r="J152" s="1">
        <v>0</v>
      </c>
      <c r="K152" s="1">
        <v>0</v>
      </c>
      <c r="L152" s="1">
        <v>0</v>
      </c>
      <c r="M152" s="6" t="str" cm="1">
        <f t="array" ref="M152">_xlfn.TEXTJOIN(", ",TRUE,
_xlfn._xlws.FILTER($R$2:$R$101,
ISNUMBER(SEARCH(LOWER($R$2:$R$101),LOWER(B152)))
))</f>
        <v>schapelle corby, mercedes, corby</v>
      </c>
      <c r="N152">
        <f t="shared" si="2"/>
        <v>3</v>
      </c>
      <c r="O152" s="6" t="str" cm="1">
        <f t="array" ref="O152">_xlfn.TEXTJOIN(", ",TRUE,
_xlfn.UNIQUE(
_xlfn._xlws.FILTER($S$2:$S$200,
ISNUMBER(SEARCH(LOWER($R$2:$R$200),LOWER(B152)))
)
))</f>
        <v>Case Related, Familial based</v>
      </c>
      <c r="P152" cm="1">
        <f t="array" aca="1" ref="P152" ca="1">IFERROR(
    IF(N152=0, 0,
        SUMPRODUCT(
            N(
                _xlfn.IFNA(
                    VLOOKUP(
                        TRIM(MID(SUBSTITUTE(M152,",",REPT(" ",100)),
                        (ROW(INDIRECT("1:" &amp; LEN(M152)-LEN(SUBSTITUTE(M152,",","")) + 1))-1)*100 + 1, 100)),
                        $R$2:$T$101, 3, FALSE
                    ), 0)
            )
        ) / N152
    ),
0)</f>
        <v>0</v>
      </c>
    </row>
    <row r="153" spans="1:16" ht="30.75">
      <c r="A153">
        <v>152</v>
      </c>
      <c r="B153" s="4" t="s">
        <v>289</v>
      </c>
      <c r="C153" s="1">
        <v>0</v>
      </c>
      <c r="D153" s="1">
        <v>0</v>
      </c>
      <c r="E153" s="1">
        <v>0</v>
      </c>
      <c r="F153" s="1">
        <v>0</v>
      </c>
      <c r="G153" s="1">
        <v>0</v>
      </c>
      <c r="H153" s="1">
        <v>0</v>
      </c>
      <c r="I153" s="1">
        <v>0</v>
      </c>
      <c r="J153" s="1">
        <v>0</v>
      </c>
      <c r="K153" s="1">
        <v>0</v>
      </c>
      <c r="L153" s="1">
        <v>0</v>
      </c>
      <c r="M153" s="6" t="str" cm="1">
        <f t="array" ref="M153">_xlfn.TEXTJOIN(", ",TRUE,
_xlfn._xlws.FILTER($R$2:$R$101,
ISNUMBER(SEARCH(LOWER($R$2:$R$101),LOWER(B153)))
))</f>
        <v>schapelle corby, corby, innocent</v>
      </c>
      <c r="N153">
        <f t="shared" si="2"/>
        <v>3</v>
      </c>
      <c r="O153" s="6" t="str" cm="1">
        <f t="array" ref="O153">_xlfn.TEXTJOIN(", ",TRUE,
_xlfn.UNIQUE(
_xlfn._xlws.FILTER($S$2:$S$200,
ISNUMBER(SEARCH(LOWER($R$2:$R$200),LOWER(B153)))
)
))</f>
        <v>Case Related, Familial based, Legality based</v>
      </c>
      <c r="P153" cm="1">
        <f t="array" aca="1" ref="P153" ca="1">IFERROR(
    IF(N153=0, 0,
        SUMPRODUCT(
            N(
                _xlfn.IFNA(
                    VLOOKUP(
                        TRIM(MID(SUBSTITUTE(M153,",",REPT(" ",100)),
                        (ROW(INDIRECT("1:" &amp; LEN(M153)-LEN(SUBSTITUTE(M153,",","")) + 1))-1)*100 + 1, 100)),
                        $R$2:$T$101, 3, FALSE
                    ), 0)
            )
        ) / N153
    ),
0)</f>
        <v>0</v>
      </c>
    </row>
    <row r="154" spans="1:16">
      <c r="A154">
        <v>153</v>
      </c>
      <c r="B154" s="4" t="s">
        <v>291</v>
      </c>
      <c r="C154" s="1">
        <v>0</v>
      </c>
      <c r="D154" s="1">
        <v>0</v>
      </c>
      <c r="E154" s="1">
        <v>0</v>
      </c>
      <c r="F154" s="1">
        <v>0</v>
      </c>
      <c r="G154" s="1">
        <v>0</v>
      </c>
      <c r="H154" s="1">
        <v>0</v>
      </c>
      <c r="I154" s="1">
        <v>0</v>
      </c>
      <c r="J154" s="1">
        <v>0</v>
      </c>
      <c r="K154" s="1">
        <v>0</v>
      </c>
      <c r="L154" s="1">
        <v>0</v>
      </c>
      <c r="M154" s="6" t="str" cm="1">
        <f t="array" ref="M154">_xlfn.TEXTJOIN(", ",TRUE,
_xlfn._xlws.FILTER($R$2:$R$101,
ISNUMBER(SEARCH(LOWER($R$2:$R$101),LOWER(B154)))
))</f>
        <v xml:space="preserve">schapelle corby, corby, law </v>
      </c>
      <c r="N154">
        <f t="shared" si="2"/>
        <v>3</v>
      </c>
      <c r="O154" s="6" t="str" cm="1">
        <f t="array" ref="O154">_xlfn.TEXTJOIN(", ",TRUE,
_xlfn.UNIQUE(
_xlfn._xlws.FILTER($S$2:$S$200,
ISNUMBER(SEARCH(LOWER($R$2:$R$200),LOWER(B154)))
)
))</f>
        <v>Case Related, Familial based, Legality based</v>
      </c>
      <c r="P154" cm="1">
        <f t="array" aca="1" ref="P154" ca="1">IFERROR(
    IF(N154=0, 0,
        SUMPRODUCT(
            N(
                _xlfn.IFNA(
                    VLOOKUP(
                        TRIM(MID(SUBSTITUTE(M154,",",REPT(" ",100)),
                        (ROW(INDIRECT("1:" &amp; LEN(M154)-LEN(SUBSTITUTE(M154,",","")) + 1))-1)*100 + 1, 100)),
                        $R$2:$T$101, 3, FALSE
                    ), 0)
            )
        ) / N154
    ),
0)</f>
        <v>0</v>
      </c>
    </row>
    <row r="155" spans="1:16">
      <c r="A155">
        <v>154</v>
      </c>
      <c r="B155" s="4" t="s">
        <v>293</v>
      </c>
      <c r="C155" s="1">
        <v>0</v>
      </c>
      <c r="D155" s="1">
        <v>0</v>
      </c>
      <c r="E155" s="1">
        <v>0</v>
      </c>
      <c r="F155" s="1">
        <v>0</v>
      </c>
      <c r="G155" s="1">
        <v>0</v>
      </c>
      <c r="H155" s="1">
        <v>0</v>
      </c>
      <c r="I155" s="1">
        <v>0</v>
      </c>
      <c r="J155" s="1">
        <v>0</v>
      </c>
      <c r="K155" s="1">
        <v>0</v>
      </c>
      <c r="L155" s="1">
        <v>0</v>
      </c>
      <c r="M155" s="6" t="str" cm="1">
        <f t="array" ref="M155">_xlfn.TEXTJOIN(", ",TRUE,
_xlfn._xlws.FILTER($R$2:$R$101,
ISNUMBER(SEARCH(LOWER($R$2:$R$101),LOWER(B155)))
))</f>
        <v>schapelle corby, corby</v>
      </c>
      <c r="N155">
        <f t="shared" si="2"/>
        <v>2</v>
      </c>
      <c r="O155" s="6" t="str" cm="1">
        <f t="array" ref="O155">_xlfn.TEXTJOIN(", ",TRUE,
_xlfn.UNIQUE(
_xlfn._xlws.FILTER($S$2:$S$200,
ISNUMBER(SEARCH(LOWER($R$2:$R$200),LOWER(B155)))
)
))</f>
        <v>Case Related, Familial based</v>
      </c>
      <c r="P155" cm="1">
        <f t="array" aca="1" ref="P155" ca="1">IFERROR(
    IF(N155=0, 0,
        SUMPRODUCT(
            N(
                _xlfn.IFNA(
                    VLOOKUP(
                        TRIM(MID(SUBSTITUTE(M155,",",REPT(" ",100)),
                        (ROW(INDIRECT("1:" &amp; LEN(M155)-LEN(SUBSTITUTE(M155,",","")) + 1))-1)*100 + 1, 100)),
                        $R$2:$T$101, 3, FALSE
                    ), 0)
            )
        ) / N155
    ),
0)</f>
        <v>0</v>
      </c>
    </row>
    <row r="156" spans="1:16" ht="30.75">
      <c r="A156">
        <v>155</v>
      </c>
      <c r="B156" s="4" t="s">
        <v>295</v>
      </c>
      <c r="C156" s="1">
        <v>0</v>
      </c>
      <c r="D156" s="1">
        <v>0</v>
      </c>
      <c r="E156" s="1">
        <v>0</v>
      </c>
      <c r="F156" s="1">
        <v>0</v>
      </c>
      <c r="G156" s="1">
        <v>0</v>
      </c>
      <c r="H156" s="1">
        <v>0</v>
      </c>
      <c r="I156" s="1">
        <v>0</v>
      </c>
      <c r="J156" s="1">
        <v>0</v>
      </c>
      <c r="K156" s="1">
        <v>0</v>
      </c>
      <c r="L156" s="1">
        <v>0</v>
      </c>
      <c r="M156" s="6" t="str" cm="1">
        <f t="array" ref="M156">_xlfn.TEXTJOIN(", ",TRUE,
_xlfn._xlws.FILTER($R$2:$R$101,
ISNUMBER(SEARCH(LOWER($R$2:$R$101),LOWER(B156)))
))</f>
        <v>schapelle corby, corby</v>
      </c>
      <c r="N156">
        <f t="shared" si="2"/>
        <v>2</v>
      </c>
      <c r="O156" s="6" t="str" cm="1">
        <f t="array" ref="O156">_xlfn.TEXTJOIN(", ",TRUE,
_xlfn.UNIQUE(
_xlfn._xlws.FILTER($S$2:$S$200,
ISNUMBER(SEARCH(LOWER($R$2:$R$200),LOWER(B156)))
)
))</f>
        <v>Case Related, Familial based</v>
      </c>
      <c r="P156" cm="1">
        <f t="array" aca="1" ref="P156" ca="1">IFERROR(
    IF(N156=0, 0,
        SUMPRODUCT(
            N(
                _xlfn.IFNA(
                    VLOOKUP(
                        TRIM(MID(SUBSTITUTE(M156,",",REPT(" ",100)),
                        (ROW(INDIRECT("1:" &amp; LEN(M156)-LEN(SUBSTITUTE(M156,",","")) + 1))-1)*100 + 1, 100)),
                        $R$2:$T$101, 3, FALSE
                    ), 0)
            )
        ) / N156
    ),
0)</f>
        <v>0</v>
      </c>
    </row>
    <row r="157" spans="1:16" ht="30.75">
      <c r="A157">
        <v>156</v>
      </c>
      <c r="B157" s="4" t="s">
        <v>297</v>
      </c>
      <c r="C157" s="1">
        <v>0</v>
      </c>
      <c r="D157" s="1">
        <v>0</v>
      </c>
      <c r="E157" s="1">
        <v>0</v>
      </c>
      <c r="F157" s="1">
        <v>0</v>
      </c>
      <c r="G157" s="1">
        <v>0</v>
      </c>
      <c r="H157" s="1">
        <v>0</v>
      </c>
      <c r="I157" s="1">
        <v>0</v>
      </c>
      <c r="J157" s="1">
        <v>0</v>
      </c>
      <c r="K157" s="1">
        <v>0</v>
      </c>
      <c r="L157" s="1">
        <v>0</v>
      </c>
      <c r="M157" s="6" t="str" cm="1">
        <f t="array" ref="M157">_xlfn.TEXTJOIN(", ",TRUE,
_xlfn._xlws.FILTER($R$2:$R$101,
ISNUMBER(SEARCH(LOWER($R$2:$R$101),LOWER(B157)))
))</f>
        <v>schapelle corby, jail, corby, sentenced</v>
      </c>
      <c r="N157">
        <f t="shared" si="2"/>
        <v>4</v>
      </c>
      <c r="O157" s="6" t="str" cm="1">
        <f t="array" ref="O157">_xlfn.TEXTJOIN(", ",TRUE,
_xlfn.UNIQUE(
_xlfn._xlws.FILTER($S$2:$S$200,
ISNUMBER(SEARCH(LOWER($R$2:$R$200),LOWER(B157)))
)
))</f>
        <v>Case Related, Crime based, Familial based, Legality based</v>
      </c>
      <c r="P157" cm="1">
        <f t="array" aca="1" ref="P157" ca="1">IFERROR(
    IF(N157=0, 0,
        SUMPRODUCT(
            N(
                _xlfn.IFNA(
                    VLOOKUP(
                        TRIM(MID(SUBSTITUTE(M157,",",REPT(" ",100)),
                        (ROW(INDIRECT("1:" &amp; LEN(M157)-LEN(SUBSTITUTE(M157,",","")) + 1))-1)*100 + 1, 100)),
                        $R$2:$T$101, 3, FALSE
                    ), 0)
            )
        ) / N157
    ),
0)</f>
        <v>0</v>
      </c>
    </row>
    <row r="158" spans="1:16" ht="60.75">
      <c r="A158">
        <v>157</v>
      </c>
      <c r="B158" s="4" t="s">
        <v>299</v>
      </c>
      <c r="C158" s="1">
        <v>1</v>
      </c>
      <c r="D158" s="1">
        <v>3</v>
      </c>
      <c r="E158" s="1">
        <v>0</v>
      </c>
      <c r="F158" s="1">
        <v>0</v>
      </c>
      <c r="G158" s="1">
        <v>1</v>
      </c>
      <c r="H158" s="1">
        <v>0</v>
      </c>
      <c r="I158" s="1">
        <v>0</v>
      </c>
      <c r="J158" s="1">
        <v>0</v>
      </c>
      <c r="K158" s="1">
        <v>0</v>
      </c>
      <c r="L158" s="1">
        <v>0</v>
      </c>
      <c r="M158" s="6" t="str" cm="1">
        <f t="array" ref="M158">_xlfn.TEXTJOIN(", ",TRUE,
_xlfn._xlws.FILTER($R$2:$R$101,
ISNUMBER(SEARCH(LOWER($R$2:$R$101),LOWER(B158)))
))</f>
        <v>af</v>
      </c>
      <c r="N158">
        <f t="shared" si="2"/>
        <v>1</v>
      </c>
      <c r="O158" s="6" t="str" cm="1">
        <f t="array" ref="O158">_xlfn.TEXTJOIN(", ",TRUE,
_xlfn.UNIQUE(
_xlfn._xlws.FILTER($S$2:$S$200,
ISNUMBER(SEARCH(LOWER($R$2:$R$200),LOWER(B158)))
)
))</f>
        <v>Intelligence based</v>
      </c>
      <c r="P158" cm="1">
        <f t="array" aca="1" ref="P158" ca="1">IFERROR(
    IF(N158=0, 0,
        SUMPRODUCT(
            N(
                _xlfn.IFNA(
                    VLOOKUP(
                        TRIM(MID(SUBSTITUTE(M158,",",REPT(" ",100)),
                        (ROW(INDIRECT("1:" &amp; LEN(M158)-LEN(SUBSTITUTE(M158,",","")) + 1))-1)*100 + 1, 100)),
                        $R$2:$T$101, 3, FALSE
                    ), 0)
            )
        ) / N158
    ),
0)</f>
        <v>1</v>
      </c>
    </row>
    <row r="159" spans="1:16" ht="30.75">
      <c r="A159">
        <v>158</v>
      </c>
      <c r="B159" s="4" t="s">
        <v>300</v>
      </c>
      <c r="C159" s="1">
        <v>0.2</v>
      </c>
      <c r="D159" s="1">
        <v>0.6</v>
      </c>
      <c r="E159" s="1">
        <v>0</v>
      </c>
      <c r="F159" s="1">
        <v>0</v>
      </c>
      <c r="G159" s="1">
        <v>1</v>
      </c>
      <c r="H159" s="1">
        <v>0</v>
      </c>
      <c r="I159" s="1">
        <v>0</v>
      </c>
      <c r="J159" s="1">
        <v>0</v>
      </c>
      <c r="K159" s="1">
        <v>0</v>
      </c>
      <c r="L159" s="1">
        <v>0</v>
      </c>
      <c r="M159" s="6" t="str" cm="1">
        <f t="array" ref="M159">_xlfn.TEXTJOIN(", ",TRUE,
_xlfn._xlws.FILTER($R$2:$R$101,
ISNUMBER(SEARCH(LOWER($R$2:$R$101),LOWER(B159)))
))</f>
        <v>australian, australia, af, AFP, guilty</v>
      </c>
      <c r="N159">
        <f t="shared" si="2"/>
        <v>5</v>
      </c>
      <c r="O159" s="6" t="str" cm="1">
        <f t="array" ref="O159">_xlfn.TEXTJOIN(", ",TRUE,
_xlfn.UNIQUE(
_xlfn._xlws.FILTER($S$2:$S$200,
ISNUMBER(SEARCH(LOWER($R$2:$R$200),LOWER(B159)))
)
))</f>
        <v>Case Related, Intelligence based, Authority based, Legality based</v>
      </c>
      <c r="P159" cm="1">
        <f t="array" aca="1" ref="P159" ca="1">IFERROR(
    IF(N159=0, 0,
        SUMPRODUCT(
            N(
                _xlfn.IFNA(
                    VLOOKUP(
                        TRIM(MID(SUBSTITUTE(M159,",",REPT(" ",100)),
                        (ROW(INDIRECT("1:" &amp; LEN(M159)-LEN(SUBSTITUTE(M159,",","")) + 1))-1)*100 + 1, 100)),
                        $R$2:$T$101, 3, FALSE
                    ), 0)
            )
        ) / N159
    ),
0)</f>
        <v>0.2</v>
      </c>
    </row>
    <row r="160" spans="1:16" ht="30.75">
      <c r="A160">
        <v>159</v>
      </c>
      <c r="B160" s="4" t="s">
        <v>302</v>
      </c>
      <c r="C160" s="10">
        <v>0.2</v>
      </c>
      <c r="D160" s="1">
        <v>0.6</v>
      </c>
      <c r="E160" s="1">
        <v>0</v>
      </c>
      <c r="F160" s="1">
        <v>0</v>
      </c>
      <c r="G160" s="1">
        <v>1</v>
      </c>
      <c r="H160" s="1">
        <v>0</v>
      </c>
      <c r="I160" s="1">
        <v>0</v>
      </c>
      <c r="J160" s="1">
        <v>0</v>
      </c>
      <c r="K160" s="1">
        <v>0</v>
      </c>
      <c r="L160" s="1">
        <v>0</v>
      </c>
      <c r="M160" s="6" t="str" cm="1">
        <f t="array" ref="M160">_xlfn.TEXTJOIN(", ",TRUE,
_xlfn._xlws.FILTER($R$2:$R$101,
ISNUMBER(SEARCH(LOWER($R$2:$R$101),LOWER(B160)))
))</f>
        <v>australia, af, AFP, guilty</v>
      </c>
      <c r="N160">
        <f t="shared" si="2"/>
        <v>4</v>
      </c>
      <c r="O160" s="6" t="str" cm="1">
        <f t="array" ref="O160">_xlfn.TEXTJOIN(", ",TRUE,
_xlfn.UNIQUE(
_xlfn._xlws.FILTER($S$2:$S$200,
ISNUMBER(SEARCH(LOWER($R$2:$R$200),LOWER(B160)))
)
))</f>
        <v>Case Related, Intelligence based, Authority based, Legality based</v>
      </c>
      <c r="P160" cm="1">
        <f t="array" aca="1" ref="P160" ca="1">IFERROR(
    IF(N160=0, 0,
        SUMPRODUCT(
            N(
                _xlfn.IFNA(
                    VLOOKUP(
                        TRIM(MID(SUBSTITUTE(M160,",",REPT(" ",100)),
                        (ROW(INDIRECT("1:" &amp; LEN(M160)-LEN(SUBSTITUTE(M160,",","")) + 1))-1)*100 + 1, 100)),
                        $R$2:$T$101, 3, FALSE
                    ), 0)
            )
        ) / N160
    ),
0)</f>
        <v>0.25</v>
      </c>
    </row>
    <row r="161" spans="1:16" ht="30.75">
      <c r="A161">
        <v>160</v>
      </c>
      <c r="B161" s="4" t="s">
        <v>304</v>
      </c>
      <c r="C161" s="1">
        <v>0.5</v>
      </c>
      <c r="D161" s="1">
        <v>0.75</v>
      </c>
      <c r="E161" s="1">
        <v>0</v>
      </c>
      <c r="F161" s="1">
        <v>1</v>
      </c>
      <c r="G161" s="1">
        <v>1</v>
      </c>
      <c r="H161" s="1">
        <v>0</v>
      </c>
      <c r="I161" s="1">
        <v>0</v>
      </c>
      <c r="J161" s="1">
        <v>0</v>
      </c>
      <c r="K161" s="1">
        <v>0</v>
      </c>
      <c r="L161" s="1">
        <v>0</v>
      </c>
      <c r="M161" s="6" t="str" cm="1">
        <f t="array" ref="M161">_xlfn.TEXTJOIN(", ",TRUE,
_xlfn._xlws.FILTER($R$2:$R$101,
ISNUMBER(SEARCH(LOWER($R$2:$R$101),LOWER(B161)))
))</f>
        <v>criminal, af, AFP, arrested</v>
      </c>
      <c r="N161">
        <f t="shared" si="2"/>
        <v>4</v>
      </c>
      <c r="O161" s="6" t="str" cm="1">
        <f t="array" ref="O161">_xlfn.TEXTJOIN(", ",TRUE,
_xlfn.UNIQUE(
_xlfn._xlws.FILTER($S$2:$S$200,
ISNUMBER(SEARCH(LOWER($R$2:$R$200),LOWER(B161)))
)
))</f>
        <v>Crime based, Intelligence based, Authority based, Legality based</v>
      </c>
      <c r="P161" cm="1">
        <f t="array" aca="1" ref="P161" ca="1">IFERROR(
    IF(N161=0, 0,
        SUMPRODUCT(
            N(
                _xlfn.IFNA(
                    VLOOKUP(
                        TRIM(MID(SUBSTITUTE(M161,",",REPT(" ",100)),
                        (ROW(INDIRECT("1:" &amp; LEN(M161)-LEN(SUBSTITUTE(M161,",","")) + 1))-1)*100 + 1, 100)),
                        $R$2:$T$101, 3, FALSE
                    ), 0)
            )
        ) / N161
    ),
0)</f>
        <v>0.5</v>
      </c>
    </row>
    <row r="162" spans="1:16">
      <c r="A162">
        <v>161</v>
      </c>
      <c r="B162" s="4" t="s">
        <v>306</v>
      </c>
      <c r="C162" s="1">
        <v>0</v>
      </c>
      <c r="D162" s="1">
        <v>0</v>
      </c>
      <c r="E162" s="1">
        <v>0</v>
      </c>
      <c r="F162" s="1">
        <v>0</v>
      </c>
      <c r="G162" s="1">
        <v>0</v>
      </c>
      <c r="H162" s="1">
        <v>0</v>
      </c>
      <c r="I162" s="1">
        <v>0</v>
      </c>
      <c r="J162" s="1">
        <v>0</v>
      </c>
      <c r="K162" s="1">
        <v>0</v>
      </c>
      <c r="L162" s="1">
        <v>0</v>
      </c>
      <c r="N162" t="str">
        <f t="shared" si="2"/>
        <v>0</v>
      </c>
      <c r="O162" s="6" t="str" cm="1">
        <f t="array" ref="O162">_xlfn.TEXTJOIN(", ",TRUE,
_xlfn.UNIQUE(
_xlfn._xlws.FILTER($S$2:$S$200,
ISNUMBER(SEARCH(LOWER($R$2:$R$200),LOWER(B162)))
)
))</f>
        <v/>
      </c>
      <c r="P162" cm="1">
        <f t="array" aca="1" ref="P162" ca="1">IFERROR(
    IF(N162=0, 0,
        SUMPRODUCT(
            N(
                _xlfn.IFNA(
                    VLOOKUP(
                        TRIM(MID(SUBSTITUTE(M162,",",REPT(" ",100)),
                        (ROW(INDIRECT("1:" &amp; LEN(M162)-LEN(SUBSTITUTE(M162,",","")) + 1))-1)*100 + 1, 100)),
                        $R$2:$T$101, 3, FALSE
                    ), 0)
            )
        ) / N162
    ),
0)</f>
        <v>0</v>
      </c>
    </row>
    <row r="163" spans="1:16" ht="91.5">
      <c r="A163">
        <v>162</v>
      </c>
      <c r="B163" s="4" t="s">
        <v>308</v>
      </c>
      <c r="C163" s="10">
        <v>0.25</v>
      </c>
      <c r="D163" s="1">
        <v>0.75</v>
      </c>
      <c r="E163" s="1">
        <v>0</v>
      </c>
      <c r="F163" s="1">
        <v>0</v>
      </c>
      <c r="G163" s="1">
        <v>1</v>
      </c>
      <c r="H163" s="1">
        <v>0</v>
      </c>
      <c r="I163" s="1">
        <v>0</v>
      </c>
      <c r="J163" s="1">
        <v>0</v>
      </c>
      <c r="K163" s="1">
        <v>0</v>
      </c>
      <c r="L163" s="1">
        <v>0</v>
      </c>
      <c r="M163" s="6" t="str" cm="1">
        <f t="array" ref="M163">_xlfn.TEXTJOIN(", ",TRUE,
_xlfn._xlws.FILTER($R$2:$R$101,
ISNUMBER(SEARCH(LOWER($R$2:$R$101),LOWER(B163)))
))</f>
        <v>australia, af, AFP</v>
      </c>
      <c r="N163">
        <f t="shared" si="2"/>
        <v>3</v>
      </c>
      <c r="O163" s="6" t="str" cm="1">
        <f t="array" ref="O163">_xlfn.TEXTJOIN(", ",TRUE,
_xlfn.UNIQUE(
_xlfn._xlws.FILTER($S$2:$S$200,
ISNUMBER(SEARCH(LOWER($R$2:$R$200),LOWER(B163)))
)
))</f>
        <v>Case Related, Intelligence based, Authority based</v>
      </c>
      <c r="P163" cm="1">
        <f t="array" aca="1" ref="P163" ca="1">IFERROR(
    IF(N163=0, 0,
        SUMPRODUCT(
            N(
                _xlfn.IFNA(
                    VLOOKUP(
                        TRIM(MID(SUBSTITUTE(M163,",",REPT(" ",100)),
                        (ROW(INDIRECT("1:" &amp; LEN(M163)-LEN(SUBSTITUTE(M163,",","")) + 1))-1)*100 + 1, 100)),
                        $R$2:$T$101, 3, FALSE
                    ), 0)
            )
        ) / N163
    ),
0)</f>
        <v>0.33333333333333331</v>
      </c>
    </row>
    <row r="164" spans="1:16" ht="30.75">
      <c r="A164">
        <v>163</v>
      </c>
      <c r="B164" s="4" t="s">
        <v>310</v>
      </c>
      <c r="C164" s="1">
        <v>1</v>
      </c>
      <c r="D164" s="1">
        <v>0</v>
      </c>
      <c r="E164" s="1">
        <v>0</v>
      </c>
      <c r="F164" s="1">
        <v>1</v>
      </c>
      <c r="G164" s="1">
        <v>0</v>
      </c>
      <c r="H164" s="1">
        <v>0</v>
      </c>
      <c r="I164" s="1">
        <v>0</v>
      </c>
      <c r="J164" s="1">
        <v>0</v>
      </c>
      <c r="K164" s="1">
        <v>0</v>
      </c>
      <c r="L164" s="1">
        <v>0</v>
      </c>
      <c r="M164" s="6" t="str" cm="1">
        <f t="array" ref="M164">_xlfn.TEXTJOIN(", ",TRUE,
_xlfn._xlws.FILTER($R$2:$R$101,
ISNUMBER(SEARCH(LOWER($R$2:$R$101),LOWER(B164)))
))</f>
        <v>drug smuggler</v>
      </c>
      <c r="N164">
        <f t="shared" si="2"/>
        <v>1</v>
      </c>
      <c r="O164" s="6" t="str" cm="1">
        <f t="array" ref="O164">_xlfn.TEXTJOIN(", ",TRUE,
_xlfn.UNIQUE(
_xlfn._xlws.FILTER($S$2:$S$200,
ISNUMBER(SEARCH(LOWER($R$2:$R$200),LOWER(B164)))
)
))</f>
        <v>Crime based</v>
      </c>
      <c r="P164" cm="1">
        <f t="array" aca="1" ref="P164" ca="1">IFERROR(
    IF(N164=0, 0,
        SUMPRODUCT(
            N(
                _xlfn.IFNA(
                    VLOOKUP(
                        TRIM(MID(SUBSTITUTE(M164,",",REPT(" ",100)),
                        (ROW(INDIRECT("1:" &amp; LEN(M164)-LEN(SUBSTITUTE(M164,",","")) + 1))-1)*100 + 1, 100)),
                        $R$2:$T$101, 3, FALSE
                    ), 0)
            )
        ) / N164
    ),
0)</f>
        <v>1</v>
      </c>
    </row>
    <row r="165" spans="1:16">
      <c r="A165">
        <v>164</v>
      </c>
      <c r="B165" s="4" t="s">
        <v>312</v>
      </c>
      <c r="C165" s="1">
        <v>0</v>
      </c>
      <c r="D165" s="1">
        <v>0</v>
      </c>
      <c r="E165" s="1">
        <v>0</v>
      </c>
      <c r="F165" s="1">
        <v>0</v>
      </c>
      <c r="G165" s="1">
        <v>0</v>
      </c>
      <c r="H165" s="1">
        <v>0</v>
      </c>
      <c r="I165" s="1">
        <v>0</v>
      </c>
      <c r="J165" s="1">
        <v>0</v>
      </c>
      <c r="K165" s="1">
        <v>0</v>
      </c>
      <c r="L165" s="1">
        <v>0</v>
      </c>
      <c r="N165" t="str">
        <f t="shared" si="2"/>
        <v>0</v>
      </c>
      <c r="O165" s="6" t="str" cm="1">
        <f t="array" ref="O165">_xlfn.TEXTJOIN(", ",TRUE,
_xlfn.UNIQUE(
_xlfn._xlws.FILTER($S$2:$S$200,
ISNUMBER(SEARCH(LOWER($R$2:$R$200),LOWER(B165)))
)
))</f>
        <v/>
      </c>
      <c r="P165" cm="1">
        <f t="array" aca="1" ref="P165" ca="1">IFERROR(
    IF(N165=0, 0,
        SUMPRODUCT(
            N(
                _xlfn.IFNA(
                    VLOOKUP(
                        TRIM(MID(SUBSTITUTE(M165,",",REPT(" ",100)),
                        (ROW(INDIRECT("1:" &amp; LEN(M165)-LEN(SUBSTITUTE(M165,",","")) + 1))-1)*100 + 1, 100)),
                        $R$2:$T$101, 3, FALSE
                    ), 0)
            )
        ) / N165
    ),
0)</f>
        <v>0</v>
      </c>
    </row>
    <row r="166" spans="1:16">
      <c r="A166">
        <v>165</v>
      </c>
      <c r="B166" s="4" t="s">
        <v>314</v>
      </c>
      <c r="C166" s="1">
        <v>0</v>
      </c>
      <c r="D166" s="1">
        <v>0</v>
      </c>
      <c r="E166" s="1">
        <v>0</v>
      </c>
      <c r="F166" s="1">
        <v>0</v>
      </c>
      <c r="G166" s="1">
        <v>0</v>
      </c>
      <c r="H166" s="1">
        <v>0</v>
      </c>
      <c r="I166" s="1">
        <v>0</v>
      </c>
      <c r="J166" s="1">
        <v>0</v>
      </c>
      <c r="K166" s="1">
        <v>0</v>
      </c>
      <c r="L166" s="1">
        <v>0</v>
      </c>
      <c r="M166" s="6" t="str" cm="1">
        <f t="array" ref="M166">_xlfn.TEXTJOIN(", ",TRUE,
_xlfn._xlws.FILTER($R$2:$R$101,
ISNUMBER(SEARCH(LOWER($R$2:$R$101),LOWER(B166)))
))</f>
        <v>guilty</v>
      </c>
      <c r="N166">
        <f t="shared" si="2"/>
        <v>1</v>
      </c>
      <c r="O166" s="6" t="str" cm="1">
        <f t="array" ref="O166">_xlfn.TEXTJOIN(", ",TRUE,
_xlfn.UNIQUE(
_xlfn._xlws.FILTER($S$2:$S$200,
ISNUMBER(SEARCH(LOWER($R$2:$R$200),LOWER(B166)))
)
))</f>
        <v>Legality based</v>
      </c>
      <c r="P166" cm="1">
        <f t="array" aca="1" ref="P166" ca="1">IFERROR(
    IF(N166=0, 0,
        SUMPRODUCT(
            N(
                _xlfn.IFNA(
                    VLOOKUP(
                        TRIM(MID(SUBSTITUTE(M166,",",REPT(" ",100)),
                        (ROW(INDIRECT("1:" &amp; LEN(M166)-LEN(SUBSTITUTE(M166,",","")) + 1))-1)*100 + 1, 100)),
                        $R$2:$T$101, 3, FALSE
                    ), 0)
            )
        ) / N166
    ),
0)</f>
        <v>0</v>
      </c>
    </row>
    <row r="167" spans="1:16" ht="45.75">
      <c r="A167">
        <v>166</v>
      </c>
      <c r="B167" s="4" t="s">
        <v>316</v>
      </c>
      <c r="C167" s="1">
        <v>0</v>
      </c>
      <c r="D167" s="1">
        <v>0</v>
      </c>
      <c r="E167" s="1">
        <v>0</v>
      </c>
      <c r="F167" s="1">
        <v>0</v>
      </c>
      <c r="G167" s="1">
        <v>0</v>
      </c>
      <c r="H167" s="1">
        <v>0</v>
      </c>
      <c r="I167" s="1">
        <v>0</v>
      </c>
      <c r="J167" s="1">
        <v>0</v>
      </c>
      <c r="K167" s="1">
        <v>0</v>
      </c>
      <c r="L167" s="1">
        <v>0</v>
      </c>
      <c r="N167" t="str">
        <f t="shared" si="2"/>
        <v>0</v>
      </c>
      <c r="O167" s="6" t="str" cm="1">
        <f t="array" ref="O167">_xlfn.TEXTJOIN(", ",TRUE,
_xlfn.UNIQUE(
_xlfn._xlws.FILTER($S$2:$S$200,
ISNUMBER(SEARCH(LOWER($R$2:$R$200),LOWER(B167)))
)
))</f>
        <v/>
      </c>
      <c r="P167" cm="1">
        <f t="array" aca="1" ref="P167" ca="1">IFERROR(
    IF(N167=0, 0,
        SUMPRODUCT(
            N(
                _xlfn.IFNA(
                    VLOOKUP(
                        TRIM(MID(SUBSTITUTE(M167,",",REPT(" ",100)),
                        (ROW(INDIRECT("1:" &amp; LEN(M167)-LEN(SUBSTITUTE(M167,",","")) + 1))-1)*100 + 1, 100)),
                        $R$2:$T$101, 3, FALSE
                    ), 0)
            )
        ) / N167
    ),
0)</f>
        <v>0</v>
      </c>
    </row>
    <row r="168" spans="1:16" ht="30.75">
      <c r="A168">
        <v>167</v>
      </c>
      <c r="B168" s="4" t="s">
        <v>318</v>
      </c>
      <c r="C168" s="1">
        <v>0</v>
      </c>
      <c r="D168" s="1">
        <v>0</v>
      </c>
      <c r="E168" s="1">
        <v>0</v>
      </c>
      <c r="F168" s="1">
        <v>0</v>
      </c>
      <c r="G168" s="1">
        <v>0</v>
      </c>
      <c r="H168" s="1">
        <v>0</v>
      </c>
      <c r="I168" s="1">
        <v>0</v>
      </c>
      <c r="J168" s="1">
        <v>0</v>
      </c>
      <c r="K168" s="1">
        <v>0</v>
      </c>
      <c r="L168" s="1">
        <v>0</v>
      </c>
      <c r="M168" s="6" t="str" cm="1">
        <f t="array" ref="M168">_xlfn.TEXTJOIN(", ",TRUE,
_xlfn._xlws.FILTER($R$2:$R$101,
ISNUMBER(SEARCH(LOWER($R$2:$R$101),LOWER(B168)))
))</f>
        <v>guilty</v>
      </c>
      <c r="N168">
        <f t="shared" si="2"/>
        <v>1</v>
      </c>
      <c r="O168" s="6" t="str" cm="1">
        <f t="array" ref="O168">_xlfn.TEXTJOIN(", ",TRUE,
_xlfn.UNIQUE(
_xlfn._xlws.FILTER($S$2:$S$200,
ISNUMBER(SEARCH(LOWER($R$2:$R$200),LOWER(B168)))
)
))</f>
        <v>Legality based</v>
      </c>
      <c r="P168" cm="1">
        <f t="array" aca="1" ref="P168" ca="1">IFERROR(
    IF(N168=0, 0,
        SUMPRODUCT(
            N(
                _xlfn.IFNA(
                    VLOOKUP(
                        TRIM(MID(SUBSTITUTE(M168,",",REPT(" ",100)),
                        (ROW(INDIRECT("1:" &amp; LEN(M168)-LEN(SUBSTITUTE(M168,",","")) + 1))-1)*100 + 1, 100)),
                        $R$2:$T$101, 3, FALSE
                    ), 0)
            )
        ) / N168
    ),
0)</f>
        <v>0</v>
      </c>
    </row>
    <row r="169" spans="1:16">
      <c r="A169">
        <v>168</v>
      </c>
      <c r="B169" s="4" t="s">
        <v>320</v>
      </c>
      <c r="C169" s="1">
        <v>0</v>
      </c>
      <c r="D169" s="1">
        <v>0</v>
      </c>
      <c r="E169" s="1">
        <v>0</v>
      </c>
      <c r="F169" s="1">
        <v>0</v>
      </c>
      <c r="G169" s="1">
        <v>0</v>
      </c>
      <c r="H169" s="1">
        <v>0</v>
      </c>
      <c r="I169" s="1">
        <v>0</v>
      </c>
      <c r="J169" s="1">
        <v>0</v>
      </c>
      <c r="K169" s="1">
        <v>0</v>
      </c>
      <c r="L169" s="1">
        <v>0</v>
      </c>
      <c r="N169" t="str">
        <f t="shared" si="2"/>
        <v>0</v>
      </c>
      <c r="O169" s="6" t="str" cm="1">
        <f t="array" ref="O169">_xlfn.TEXTJOIN(", ",TRUE,
_xlfn.UNIQUE(
_xlfn._xlws.FILTER($S$2:$S$200,
ISNUMBER(SEARCH(LOWER($R$2:$R$200),LOWER(B169)))
)
))</f>
        <v/>
      </c>
      <c r="P169" cm="1">
        <f t="array" aca="1" ref="P169" ca="1">IFERROR(
    IF(N169=0, 0,
        SUMPRODUCT(
            N(
                _xlfn.IFNA(
                    VLOOKUP(
                        TRIM(MID(SUBSTITUTE(M169,",",REPT(" ",100)),
                        (ROW(INDIRECT("1:" &amp; LEN(M169)-LEN(SUBSTITUTE(M169,",","")) + 1))-1)*100 + 1, 100)),
                        $R$2:$T$101, 3, FALSE
                    ), 0)
            )
        ) / N169
    ),
0)</f>
        <v>0</v>
      </c>
    </row>
    <row r="170" spans="1:16">
      <c r="A170">
        <v>169</v>
      </c>
      <c r="B170" s="4" t="s">
        <v>322</v>
      </c>
      <c r="C170" s="1">
        <v>1</v>
      </c>
      <c r="D170" s="1">
        <v>3</v>
      </c>
      <c r="E170" s="1">
        <v>0</v>
      </c>
      <c r="F170" s="1">
        <v>0</v>
      </c>
      <c r="G170" s="1">
        <v>3</v>
      </c>
      <c r="H170" s="1">
        <v>0</v>
      </c>
      <c r="I170" s="1">
        <v>0</v>
      </c>
      <c r="J170" s="1">
        <v>0</v>
      </c>
      <c r="K170" s="1">
        <v>0</v>
      </c>
      <c r="L170" s="1">
        <v>0</v>
      </c>
      <c r="M170" s="6" t="str" cm="1">
        <f t="array" ref="M170">_xlfn.TEXTJOIN(", ",TRUE,
_xlfn._xlws.FILTER($R$2:$R$101,
ISNUMBER(SEARCH(LOWER($R$2:$R$101),LOWER(B170)))
))</f>
        <v>australian, australia</v>
      </c>
      <c r="N170">
        <f t="shared" si="2"/>
        <v>2</v>
      </c>
      <c r="O170" s="6" t="str" cm="1">
        <f t="array" ref="O170">_xlfn.TEXTJOIN(", ",TRUE,
_xlfn.UNIQUE(
_xlfn._xlws.FILTER($S$2:$S$200,
ISNUMBER(SEARCH(LOWER($R$2:$R$200),LOWER(B170)))
)
))</f>
        <v>Case Related</v>
      </c>
      <c r="P170" cm="1">
        <f t="array" aca="1" ref="P170" ca="1">IFERROR(
    IF(N170=0, 0,
        SUMPRODUCT(
            N(
                _xlfn.IFNA(
                    VLOOKUP(
                        TRIM(MID(SUBSTITUTE(M170,",",REPT(" ",100)),
                        (ROW(INDIRECT("1:" &amp; LEN(M170)-LEN(SUBSTITUTE(M170,",","")) + 1))-1)*100 + 1, 100)),
                        $R$2:$T$101, 3, FALSE
                    ), 0)
            )
        ) / N170
    ),
0)</f>
        <v>0</v>
      </c>
    </row>
    <row r="171" spans="1:16">
      <c r="A171">
        <v>170</v>
      </c>
      <c r="B171" s="4" t="s">
        <v>324</v>
      </c>
      <c r="C171" s="1">
        <v>0</v>
      </c>
      <c r="D171" s="1">
        <v>0</v>
      </c>
      <c r="E171" s="1">
        <v>0</v>
      </c>
      <c r="F171" s="1">
        <v>0</v>
      </c>
      <c r="G171" s="1">
        <v>0</v>
      </c>
      <c r="H171" s="1">
        <v>0</v>
      </c>
      <c r="I171" s="1">
        <v>0</v>
      </c>
      <c r="J171" s="1">
        <v>0</v>
      </c>
      <c r="K171" s="1">
        <v>0</v>
      </c>
      <c r="L171" s="1">
        <v>0</v>
      </c>
      <c r="N171" t="str">
        <f t="shared" si="2"/>
        <v>0</v>
      </c>
      <c r="O171" s="6" t="str" cm="1">
        <f t="array" ref="O171">_xlfn.TEXTJOIN(", ",TRUE,
_xlfn.UNIQUE(
_xlfn._xlws.FILTER($S$2:$S$200,
ISNUMBER(SEARCH(LOWER($R$2:$R$200),LOWER(B171)))
)
))</f>
        <v/>
      </c>
      <c r="P171" cm="1">
        <f t="array" aca="1" ref="P171" ca="1">IFERROR(
    IF(N171=0, 0,
        SUMPRODUCT(
            N(
                _xlfn.IFNA(
                    VLOOKUP(
                        TRIM(MID(SUBSTITUTE(M171,",",REPT(" ",100)),
                        (ROW(INDIRECT("1:" &amp; LEN(M171)-LEN(SUBSTITUTE(M171,",","")) + 1))-1)*100 + 1, 100)),
                        $R$2:$T$101, 3, FALSE
                    ), 0)
            )
        ) / N171
    ),
0)</f>
        <v>0</v>
      </c>
    </row>
    <row r="172" spans="1:16">
      <c r="A172">
        <v>171</v>
      </c>
      <c r="B172" s="4" t="s">
        <v>326</v>
      </c>
      <c r="C172" s="1">
        <v>3</v>
      </c>
      <c r="D172" s="1">
        <v>9</v>
      </c>
      <c r="E172" s="1">
        <v>0</v>
      </c>
      <c r="F172" s="1">
        <v>0</v>
      </c>
      <c r="G172" s="1">
        <v>0</v>
      </c>
      <c r="H172" s="1">
        <v>0</v>
      </c>
      <c r="I172" s="1">
        <v>3</v>
      </c>
      <c r="J172" s="1">
        <v>0</v>
      </c>
      <c r="K172" s="1">
        <v>0</v>
      </c>
      <c r="L172" s="1">
        <v>0</v>
      </c>
      <c r="M172" s="6" t="str" cm="1">
        <f t="array" ref="M172">_xlfn.TEXTJOIN(", ",TRUE,
_xlfn._xlws.FILTER($R$2:$R$101,
ISNUMBER(SEARCH(LOWER($R$2:$R$101),LOWER(B172)))
))</f>
        <v>bogan</v>
      </c>
      <c r="N172">
        <f t="shared" si="2"/>
        <v>1</v>
      </c>
      <c r="O172" s="6" t="str" cm="1">
        <f t="array" ref="O172">_xlfn.TEXTJOIN(", ",TRUE,
_xlfn.UNIQUE(
_xlfn._xlws.FILTER($S$2:$S$200,
ISNUMBER(SEARCH(LOWER($R$2:$R$200),LOWER(B172)))
)
))</f>
        <v>Class based</v>
      </c>
      <c r="P172" cm="1">
        <f t="array" aca="1" ref="P172" ca="1">IFERROR(
    IF(N172=0, 0,
        SUMPRODUCT(
            N(
                _xlfn.IFNA(
                    VLOOKUP(
                        TRIM(MID(SUBSTITUTE(M172,",",REPT(" ",100)),
                        (ROW(INDIRECT("1:" &amp; LEN(M172)-LEN(SUBSTITUTE(M172,",","")) + 1))-1)*100 + 1, 100)),
                        $R$2:$T$101, 3, FALSE
                    ), 0)
            )
        ) / N172
    ),
0)</f>
        <v>3</v>
      </c>
    </row>
    <row r="173" spans="1:16">
      <c r="A173">
        <v>172</v>
      </c>
      <c r="B173" s="4" t="s">
        <v>328</v>
      </c>
      <c r="C173" s="1">
        <v>0</v>
      </c>
      <c r="D173" s="1">
        <v>0</v>
      </c>
      <c r="E173" s="1">
        <v>0</v>
      </c>
      <c r="F173" s="1">
        <v>0</v>
      </c>
      <c r="G173" s="1">
        <v>0</v>
      </c>
      <c r="H173" s="1">
        <v>0</v>
      </c>
      <c r="I173" s="1">
        <v>0</v>
      </c>
      <c r="J173" s="1">
        <v>0</v>
      </c>
      <c r="K173" s="1">
        <v>0</v>
      </c>
      <c r="L173" s="1">
        <v>0</v>
      </c>
      <c r="N173" t="str">
        <f t="shared" si="2"/>
        <v>0</v>
      </c>
      <c r="O173" s="6" t="str" cm="1">
        <f t="array" ref="O173">_xlfn.TEXTJOIN(", ",TRUE,
_xlfn.UNIQUE(
_xlfn._xlws.FILTER($S$2:$S$200,
ISNUMBER(SEARCH(LOWER($R$2:$R$200),LOWER(B173)))
)
))</f>
        <v/>
      </c>
      <c r="P173" cm="1">
        <f t="array" aca="1" ref="P173" ca="1">IFERROR(
    IF(N173=0, 0,
        SUMPRODUCT(
            N(
                _xlfn.IFNA(
                    VLOOKUP(
                        TRIM(MID(SUBSTITUTE(M173,",",REPT(" ",100)),
                        (ROW(INDIRECT("1:" &amp; LEN(M173)-LEN(SUBSTITUTE(M173,",","")) + 1))-1)*100 + 1, 100)),
                        $R$2:$T$101, 3, FALSE
                    ), 0)
            )
        ) / N173
    ),
0)</f>
        <v>0</v>
      </c>
    </row>
    <row r="174" spans="1:16">
      <c r="A174">
        <v>173</v>
      </c>
      <c r="B174" s="4" t="s">
        <v>330</v>
      </c>
      <c r="C174" s="1">
        <v>0</v>
      </c>
      <c r="D174" s="1">
        <v>0</v>
      </c>
      <c r="E174" s="1">
        <v>0</v>
      </c>
      <c r="F174" s="1">
        <v>0</v>
      </c>
      <c r="G174" s="1">
        <v>0</v>
      </c>
      <c r="H174" s="1">
        <v>0</v>
      </c>
      <c r="I174" s="1">
        <v>0</v>
      </c>
      <c r="J174" s="1">
        <v>0</v>
      </c>
      <c r="K174" s="1">
        <v>0</v>
      </c>
      <c r="L174" s="1">
        <v>0</v>
      </c>
      <c r="N174" t="str">
        <f t="shared" si="2"/>
        <v>0</v>
      </c>
      <c r="O174" s="6" t="str" cm="1">
        <f t="array" ref="O174">_xlfn.TEXTJOIN(", ",TRUE,
_xlfn.UNIQUE(
_xlfn._xlws.FILTER($S$2:$S$200,
ISNUMBER(SEARCH(LOWER($R$2:$R$200),LOWER(B174)))
)
))</f>
        <v/>
      </c>
      <c r="P174" cm="1">
        <f t="array" aca="1" ref="P174" ca="1">IFERROR(
    IF(N174=0, 0,
        SUMPRODUCT(
            N(
                _xlfn.IFNA(
                    VLOOKUP(
                        TRIM(MID(SUBSTITUTE(M174,",",REPT(" ",100)),
                        (ROW(INDIRECT("1:" &amp; LEN(M174)-LEN(SUBSTITUTE(M174,",","")) + 1))-1)*100 + 1, 100)),
                        $R$2:$T$101, 3, FALSE
                    ), 0)
            )
        ) / N174
    ),
0)</f>
        <v>0</v>
      </c>
    </row>
    <row r="175" spans="1:16">
      <c r="A175">
        <v>174</v>
      </c>
      <c r="B175" s="4" t="s">
        <v>332</v>
      </c>
      <c r="C175" s="1">
        <v>0</v>
      </c>
      <c r="D175" s="1">
        <v>0</v>
      </c>
      <c r="E175" s="1">
        <v>0</v>
      </c>
      <c r="F175" s="1">
        <v>0</v>
      </c>
      <c r="G175" s="1">
        <v>0</v>
      </c>
      <c r="H175" s="1">
        <v>0</v>
      </c>
      <c r="I175" s="1">
        <v>0</v>
      </c>
      <c r="J175" s="1">
        <v>0</v>
      </c>
      <c r="K175" s="1">
        <v>0</v>
      </c>
      <c r="L175" s="1">
        <v>0</v>
      </c>
      <c r="N175" t="str">
        <f t="shared" si="2"/>
        <v>0</v>
      </c>
      <c r="O175" s="6" t="str" cm="1">
        <f t="array" ref="O175">_xlfn.TEXTJOIN(", ",TRUE,
_xlfn.UNIQUE(
_xlfn._xlws.FILTER($S$2:$S$200,
ISNUMBER(SEARCH(LOWER($R$2:$R$200),LOWER(B175)))
)
))</f>
        <v/>
      </c>
      <c r="P175" cm="1">
        <f t="array" aca="1" ref="P175" ca="1">IFERROR(
    IF(N175=0, 0,
        SUMPRODUCT(
            N(
                _xlfn.IFNA(
                    VLOOKUP(
                        TRIM(MID(SUBSTITUTE(M175,",",REPT(" ",100)),
                        (ROW(INDIRECT("1:" &amp; LEN(M175)-LEN(SUBSTITUTE(M175,",","")) + 1))-1)*100 + 1, 100)),
                        $R$2:$T$101, 3, FALSE
                    ), 0)
            )
        ) / N175
    ),
0)</f>
        <v>0</v>
      </c>
    </row>
    <row r="176" spans="1:16">
      <c r="A176">
        <v>175</v>
      </c>
      <c r="B176" s="4" t="s">
        <v>334</v>
      </c>
      <c r="C176" s="1">
        <v>0</v>
      </c>
      <c r="D176" s="1">
        <v>0</v>
      </c>
      <c r="E176" s="1">
        <v>0</v>
      </c>
      <c r="F176" s="1">
        <v>0</v>
      </c>
      <c r="G176" s="1">
        <v>0</v>
      </c>
      <c r="H176" s="1">
        <v>0</v>
      </c>
      <c r="I176" s="1">
        <v>0</v>
      </c>
      <c r="J176" s="1">
        <v>0</v>
      </c>
      <c r="K176" s="1">
        <v>0</v>
      </c>
      <c r="L176" s="1">
        <v>0</v>
      </c>
      <c r="N176" t="str">
        <f t="shared" si="2"/>
        <v>0</v>
      </c>
      <c r="O176" s="6" t="str" cm="1">
        <f t="array" ref="O176">_xlfn.TEXTJOIN(", ",TRUE,
_xlfn.UNIQUE(
_xlfn._xlws.FILTER($S$2:$S$200,
ISNUMBER(SEARCH(LOWER($R$2:$R$200),LOWER(B176)))
)
))</f>
        <v/>
      </c>
      <c r="P176" cm="1">
        <f t="array" aca="1" ref="P176" ca="1">IFERROR(
    IF(N176=0, 0,
        SUMPRODUCT(
            N(
                _xlfn.IFNA(
                    VLOOKUP(
                        TRIM(MID(SUBSTITUTE(M176,",",REPT(" ",100)),
                        (ROW(INDIRECT("1:" &amp; LEN(M176)-LEN(SUBSTITUTE(M176,",","")) + 1))-1)*100 + 1, 100)),
                        $R$2:$T$101, 3, FALSE
                    ), 0)
            )
        ) / N176
    ),
0)</f>
        <v>0</v>
      </c>
    </row>
    <row r="177" spans="1:16" ht="30.75">
      <c r="A177">
        <v>176</v>
      </c>
      <c r="B177" s="4" t="s">
        <v>336</v>
      </c>
      <c r="C177" s="1">
        <v>0</v>
      </c>
      <c r="D177" s="1">
        <v>0</v>
      </c>
      <c r="E177" s="1">
        <v>0</v>
      </c>
      <c r="F177" s="1">
        <v>0</v>
      </c>
      <c r="G177" s="1">
        <v>0</v>
      </c>
      <c r="H177" s="1">
        <v>0</v>
      </c>
      <c r="I177" s="1">
        <v>0</v>
      </c>
      <c r="J177" s="1">
        <v>0</v>
      </c>
      <c r="K177" s="1">
        <v>0</v>
      </c>
      <c r="L177" s="1">
        <v>0</v>
      </c>
      <c r="N177" t="str">
        <f t="shared" si="2"/>
        <v>0</v>
      </c>
      <c r="O177" s="6" t="str" cm="1">
        <f t="array" ref="O177">_xlfn.TEXTJOIN(", ",TRUE,
_xlfn.UNIQUE(
_xlfn._xlws.FILTER($S$2:$S$200,
ISNUMBER(SEARCH(LOWER($R$2:$R$200),LOWER(B177)))
)
))</f>
        <v/>
      </c>
      <c r="P177" cm="1">
        <f t="array" aca="1" ref="P177" ca="1">IFERROR(
    IF(N177=0, 0,
        SUMPRODUCT(
            N(
                _xlfn.IFNA(
                    VLOOKUP(
                        TRIM(MID(SUBSTITUTE(M177,",",REPT(" ",100)),
                        (ROW(INDIRECT("1:" &amp; LEN(M177)-LEN(SUBSTITUTE(M177,",","")) + 1))-1)*100 + 1, 100)),
                        $R$2:$T$101, 3, FALSE
                    ), 0)
            )
        ) / N177
    ),
0)</f>
        <v>0</v>
      </c>
    </row>
    <row r="178" spans="1:16">
      <c r="A178">
        <v>177</v>
      </c>
      <c r="B178" s="4" t="s">
        <v>338</v>
      </c>
      <c r="C178" s="1">
        <v>0</v>
      </c>
      <c r="D178" s="1">
        <v>0</v>
      </c>
      <c r="E178" s="1">
        <v>0</v>
      </c>
      <c r="F178" s="1">
        <v>0</v>
      </c>
      <c r="G178" s="1">
        <v>0</v>
      </c>
      <c r="H178" s="1">
        <v>0</v>
      </c>
      <c r="I178" s="1">
        <v>0</v>
      </c>
      <c r="J178" s="1">
        <v>0</v>
      </c>
      <c r="K178" s="1">
        <v>0</v>
      </c>
      <c r="L178" s="1">
        <v>0</v>
      </c>
      <c r="M178" s="6" t="str" cm="1">
        <f t="array" ref="M178">_xlfn.TEXTJOIN(", ",TRUE,
_xlfn._xlws.FILTER($R$2:$R$101,
ISNUMBER(SEARCH(LOWER($R$2:$R$101),LOWER(B178)))
))</f>
        <v>innocent</v>
      </c>
      <c r="N178">
        <f t="shared" si="2"/>
        <v>1</v>
      </c>
      <c r="O178" s="6" t="str" cm="1">
        <f t="array" ref="O178">_xlfn.TEXTJOIN(", ",TRUE,
_xlfn.UNIQUE(
_xlfn._xlws.FILTER($S$2:$S$200,
ISNUMBER(SEARCH(LOWER($R$2:$R$200),LOWER(B178)))
)
))</f>
        <v>Legality based</v>
      </c>
      <c r="P178" cm="1">
        <f t="array" aca="1" ref="P178" ca="1">IFERROR(
    IF(N178=0, 0,
        SUMPRODUCT(
            N(
                _xlfn.IFNA(
                    VLOOKUP(
                        TRIM(MID(SUBSTITUTE(M178,",",REPT(" ",100)),
                        (ROW(INDIRECT("1:" &amp; LEN(M178)-LEN(SUBSTITUTE(M178,",","")) + 1))-1)*100 + 1, 100)),
                        $R$2:$T$101, 3, FALSE
                    ), 0)
            )
        ) / N178
    ),
0)</f>
        <v>0</v>
      </c>
    </row>
    <row r="179" spans="1:16" ht="60.75">
      <c r="A179">
        <v>178</v>
      </c>
      <c r="B179" s="4" t="s">
        <v>340</v>
      </c>
      <c r="C179" s="1">
        <v>0</v>
      </c>
      <c r="D179" s="1">
        <v>0</v>
      </c>
      <c r="E179" s="1">
        <v>0</v>
      </c>
      <c r="F179" s="1">
        <v>0</v>
      </c>
      <c r="G179" s="1">
        <v>0</v>
      </c>
      <c r="H179" s="1">
        <v>0</v>
      </c>
      <c r="I179" s="1">
        <v>0</v>
      </c>
      <c r="J179" s="1">
        <v>0</v>
      </c>
      <c r="K179" s="1">
        <v>0</v>
      </c>
      <c r="L179" s="1">
        <v>0</v>
      </c>
      <c r="M179" s="6" t="str" cm="1">
        <f t="array" ref="M179">_xlfn.TEXTJOIN(", ",TRUE,
_xlfn._xlws.FILTER($R$2:$R$101,
ISNUMBER(SEARCH(LOWER($R$2:$R$101),LOWER(B179)))
))</f>
        <v>guilty, arrested</v>
      </c>
      <c r="N179">
        <f t="shared" si="2"/>
        <v>2</v>
      </c>
      <c r="O179" s="6" t="str" cm="1">
        <f t="array" ref="O179">_xlfn.TEXTJOIN(", ",TRUE,
_xlfn.UNIQUE(
_xlfn._xlws.FILTER($S$2:$S$200,
ISNUMBER(SEARCH(LOWER($R$2:$R$200),LOWER(B179)))
)
))</f>
        <v>Legality based</v>
      </c>
      <c r="P179" cm="1">
        <f t="array" aca="1" ref="P179" ca="1">IFERROR(
    IF(N179=0, 0,
        SUMPRODUCT(
            N(
                _xlfn.IFNA(
                    VLOOKUP(
                        TRIM(MID(SUBSTITUTE(M179,",",REPT(" ",100)),
                        (ROW(INDIRECT("1:" &amp; LEN(M179)-LEN(SUBSTITUTE(M179,",","")) + 1))-1)*100 + 1, 100)),
                        $R$2:$T$101, 3, FALSE
                    ), 0)
            )
        ) / N179
    ),
0)</f>
        <v>0</v>
      </c>
    </row>
    <row r="180" spans="1:16" ht="30.75">
      <c r="A180">
        <v>179</v>
      </c>
      <c r="B180" s="4" t="s">
        <v>342</v>
      </c>
      <c r="C180" s="1">
        <v>0</v>
      </c>
      <c r="D180" s="1">
        <v>0</v>
      </c>
      <c r="E180" s="1">
        <v>0</v>
      </c>
      <c r="F180" s="1">
        <v>0</v>
      </c>
      <c r="G180" s="1">
        <v>0</v>
      </c>
      <c r="H180" s="1">
        <v>0</v>
      </c>
      <c r="I180" s="1">
        <v>0</v>
      </c>
      <c r="J180" s="1">
        <v>0</v>
      </c>
      <c r="K180" s="1">
        <v>0</v>
      </c>
      <c r="L180" s="1">
        <v>0</v>
      </c>
      <c r="N180" t="str">
        <f t="shared" si="2"/>
        <v>0</v>
      </c>
      <c r="O180" s="6" t="str" cm="1">
        <f t="array" ref="O180">_xlfn.TEXTJOIN(", ",TRUE,
_xlfn.UNIQUE(
_xlfn._xlws.FILTER($S$2:$S$200,
ISNUMBER(SEARCH(LOWER($R$2:$R$200),LOWER(B180)))
)
))</f>
        <v/>
      </c>
      <c r="P180" cm="1">
        <f t="array" aca="1" ref="P180" ca="1">IFERROR(
    IF(N180=0, 0,
        SUMPRODUCT(
            N(
                _xlfn.IFNA(
                    VLOOKUP(
                        TRIM(MID(SUBSTITUTE(M180,",",REPT(" ",100)),
                        (ROW(INDIRECT("1:" &amp; LEN(M180)-LEN(SUBSTITUTE(M180,",","")) + 1))-1)*100 + 1, 100)),
                        $R$2:$T$101, 3, FALSE
                    ), 0)
            )
        ) / N180
    ),
0)</f>
        <v>0</v>
      </c>
    </row>
    <row r="181" spans="1:16">
      <c r="A181">
        <v>180</v>
      </c>
      <c r="B181" s="4" t="s">
        <v>344</v>
      </c>
      <c r="C181" s="1">
        <v>1</v>
      </c>
      <c r="D181" s="1">
        <v>0</v>
      </c>
      <c r="E181" s="1">
        <v>0</v>
      </c>
      <c r="F181" s="1">
        <v>1</v>
      </c>
      <c r="G181" s="1">
        <v>0</v>
      </c>
      <c r="H181" s="1">
        <v>0</v>
      </c>
      <c r="I181" s="1">
        <v>0</v>
      </c>
      <c r="J181" s="1">
        <v>0</v>
      </c>
      <c r="K181" s="1">
        <v>0</v>
      </c>
      <c r="L181" s="1">
        <v>0</v>
      </c>
      <c r="N181" t="str">
        <f t="shared" si="2"/>
        <v>0</v>
      </c>
      <c r="O181" s="6" t="str" cm="1">
        <f t="array" ref="O181">_xlfn.TEXTJOIN(", ",TRUE,
_xlfn.UNIQUE(
_xlfn._xlws.FILTER($S$2:$S$200,
ISNUMBER(SEARCH(LOWER($R$2:$R$200),LOWER(B181)))
)
))</f>
        <v/>
      </c>
      <c r="P181" cm="1">
        <f t="array" aca="1" ref="P181" ca="1">IFERROR(
    IF(N181=0, 0,
        SUMPRODUCT(
            N(
                _xlfn.IFNA(
                    VLOOKUP(
                        TRIM(MID(SUBSTITUTE(M181,",",REPT(" ",100)),
                        (ROW(INDIRECT("1:" &amp; LEN(M181)-LEN(SUBSTITUTE(M181,",","")) + 1))-1)*100 + 1, 100)),
                        $R$2:$T$101, 3, FALSE
                    ), 0)
            )
        ) / N181
    ),
0)</f>
        <v>0</v>
      </c>
    </row>
    <row r="182" spans="1:16" ht="30.75">
      <c r="A182">
        <v>181</v>
      </c>
      <c r="B182" s="4" t="s">
        <v>346</v>
      </c>
      <c r="C182" s="1">
        <v>0</v>
      </c>
      <c r="D182" s="1">
        <v>0</v>
      </c>
      <c r="E182" s="1">
        <v>0</v>
      </c>
      <c r="F182" s="1">
        <v>0</v>
      </c>
      <c r="G182" s="1">
        <v>0</v>
      </c>
      <c r="H182" s="1">
        <v>0</v>
      </c>
      <c r="I182" s="1">
        <v>0</v>
      </c>
      <c r="J182" s="1">
        <v>0</v>
      </c>
      <c r="K182" s="1">
        <v>0</v>
      </c>
      <c r="L182" s="1">
        <v>0</v>
      </c>
      <c r="M182" s="6" t="str" cm="1">
        <f t="array" ref="M182">_xlfn.TEXTJOIN(", ",TRUE,
_xlfn._xlws.FILTER($R$2:$R$101,
ISNUMBER(SEARCH(LOWER($R$2:$R$101),LOWER(B182)))
))</f>
        <v>drugs</v>
      </c>
      <c r="N182">
        <f t="shared" si="2"/>
        <v>1</v>
      </c>
      <c r="O182" s="6" t="str" cm="1">
        <f t="array" ref="O182">_xlfn.TEXTJOIN(", ",TRUE,
_xlfn.UNIQUE(
_xlfn._xlws.FILTER($S$2:$S$200,
ISNUMBER(SEARCH(LOWER($R$2:$R$200),LOWER(B182)))
)
))</f>
        <v>Crime based</v>
      </c>
      <c r="P182" cm="1">
        <f t="array" aca="1" ref="P182" ca="1">IFERROR(
    IF(N182=0, 0,
        SUMPRODUCT(
            N(
                _xlfn.IFNA(
                    VLOOKUP(
                        TRIM(MID(SUBSTITUTE(M182,",",REPT(" ",100)),
                        (ROW(INDIRECT("1:" &amp; LEN(M182)-LEN(SUBSTITUTE(M182,",","")) + 1))-1)*100 + 1, 100)),
                        $R$2:$T$101, 3, FALSE
                    ), 0)
            )
        ) / N182
    ),
0)</f>
        <v>0</v>
      </c>
    </row>
    <row r="183" spans="1:16">
      <c r="A183">
        <v>182</v>
      </c>
      <c r="B183" s="4" t="s">
        <v>348</v>
      </c>
      <c r="C183" s="1">
        <v>0</v>
      </c>
      <c r="D183" s="1">
        <v>0</v>
      </c>
      <c r="E183" s="1">
        <v>0</v>
      </c>
      <c r="F183" s="1">
        <v>0</v>
      </c>
      <c r="G183" s="1">
        <v>0</v>
      </c>
      <c r="H183" s="1">
        <v>0</v>
      </c>
      <c r="I183" s="1">
        <v>0</v>
      </c>
      <c r="J183" s="1">
        <v>0</v>
      </c>
      <c r="K183" s="1">
        <v>0</v>
      </c>
      <c r="L183" s="1">
        <v>0</v>
      </c>
      <c r="N183" t="str">
        <f t="shared" si="2"/>
        <v>0</v>
      </c>
      <c r="O183" s="6" t="str" cm="1">
        <f t="array" ref="O183">_xlfn.TEXTJOIN(", ",TRUE,
_xlfn.UNIQUE(
_xlfn._xlws.FILTER($S$2:$S$200,
ISNUMBER(SEARCH(LOWER($R$2:$R$200),LOWER(B183)))
)
))</f>
        <v/>
      </c>
      <c r="P183" cm="1">
        <f t="array" aca="1" ref="P183" ca="1">IFERROR(
    IF(N183=0, 0,
        SUMPRODUCT(
            N(
                _xlfn.IFNA(
                    VLOOKUP(
                        TRIM(MID(SUBSTITUTE(M183,",",REPT(" ",100)),
                        (ROW(INDIRECT("1:" &amp; LEN(M183)-LEN(SUBSTITUTE(M183,",","")) + 1))-1)*100 + 1, 100)),
                        $R$2:$T$101, 3, FALSE
                    ), 0)
            )
        ) / N183
    ),
0)</f>
        <v>0</v>
      </c>
    </row>
    <row r="184" spans="1:16">
      <c r="A184">
        <v>183</v>
      </c>
      <c r="B184" s="4" t="s">
        <v>350</v>
      </c>
      <c r="C184" s="1">
        <v>0</v>
      </c>
      <c r="D184" s="1">
        <v>0</v>
      </c>
      <c r="E184" s="1">
        <v>0</v>
      </c>
      <c r="F184" s="1">
        <v>0</v>
      </c>
      <c r="G184" s="1">
        <v>0</v>
      </c>
      <c r="H184" s="1">
        <v>0</v>
      </c>
      <c r="I184" s="1">
        <v>0</v>
      </c>
      <c r="J184" s="1">
        <v>0</v>
      </c>
      <c r="K184" s="1">
        <v>0</v>
      </c>
      <c r="L184" s="1">
        <v>0</v>
      </c>
      <c r="M184" s="6" t="str" cm="1">
        <f t="array" ref="M184">_xlfn.TEXTJOIN(", ",TRUE,
_xlfn._xlws.FILTER($R$2:$R$101,
ISNUMBER(SEARCH(LOWER($R$2:$R$101),LOWER(B184)))
))</f>
        <v>australian, australia</v>
      </c>
      <c r="N184">
        <f t="shared" si="2"/>
        <v>2</v>
      </c>
      <c r="O184" s="6" t="str" cm="1">
        <f t="array" ref="O184">_xlfn.TEXTJOIN(", ",TRUE,
_xlfn.UNIQUE(
_xlfn._xlws.FILTER($S$2:$S$200,
ISNUMBER(SEARCH(LOWER($R$2:$R$200),LOWER(B184)))
)
))</f>
        <v>Case Related</v>
      </c>
      <c r="P184" cm="1">
        <f t="array" aca="1" ref="P184" ca="1">IFERROR(
    IF(N184=0, 0,
        SUMPRODUCT(
            N(
                _xlfn.IFNA(
                    VLOOKUP(
                        TRIM(MID(SUBSTITUTE(M184,",",REPT(" ",100)),
                        (ROW(INDIRECT("1:" &amp; LEN(M184)-LEN(SUBSTITUTE(M184,",","")) + 1))-1)*100 + 1, 100)),
                        $R$2:$T$101, 3, FALSE
                    ), 0)
            )
        ) / N184
    ),
0)</f>
        <v>0</v>
      </c>
    </row>
    <row r="185" spans="1:16">
      <c r="A185">
        <v>184</v>
      </c>
      <c r="B185" s="4" t="s">
        <v>352</v>
      </c>
      <c r="C185" s="1">
        <v>0</v>
      </c>
      <c r="D185" s="1">
        <v>0</v>
      </c>
      <c r="E185" s="1">
        <v>0</v>
      </c>
      <c r="F185" s="1">
        <v>0</v>
      </c>
      <c r="G185" s="1">
        <v>0</v>
      </c>
      <c r="H185" s="1">
        <v>0</v>
      </c>
      <c r="I185" s="1">
        <v>0</v>
      </c>
      <c r="J185" s="1">
        <v>0</v>
      </c>
      <c r="K185" s="1">
        <v>0</v>
      </c>
      <c r="L185" s="1">
        <v>0</v>
      </c>
      <c r="N185" t="str">
        <f t="shared" si="2"/>
        <v>0</v>
      </c>
      <c r="O185" s="6" t="str" cm="1">
        <f t="array" ref="O185">_xlfn.TEXTJOIN(", ",TRUE,
_xlfn.UNIQUE(
_xlfn._xlws.FILTER($S$2:$S$200,
ISNUMBER(SEARCH(LOWER($R$2:$R$200),LOWER(B185)))
)
))</f>
        <v/>
      </c>
      <c r="P185" cm="1">
        <f t="array" aca="1" ref="P185" ca="1">IFERROR(
    IF(N185=0, 0,
        SUMPRODUCT(
            N(
                _xlfn.IFNA(
                    VLOOKUP(
                        TRIM(MID(SUBSTITUTE(M185,",",REPT(" ",100)),
                        (ROW(INDIRECT("1:" &amp; LEN(M185)-LEN(SUBSTITUTE(M185,",","")) + 1))-1)*100 + 1, 100)),
                        $R$2:$T$101, 3, FALSE
                    ), 0)
            )
        ) / N185
    ),
0)</f>
        <v>0</v>
      </c>
    </row>
    <row r="186" spans="1:16">
      <c r="A186">
        <v>185</v>
      </c>
      <c r="B186" s="4" t="s">
        <v>354</v>
      </c>
      <c r="C186" s="1">
        <v>0</v>
      </c>
      <c r="D186" s="1">
        <v>0</v>
      </c>
      <c r="E186" s="1">
        <v>0</v>
      </c>
      <c r="F186" s="1">
        <v>0</v>
      </c>
      <c r="G186" s="1">
        <v>0</v>
      </c>
      <c r="H186" s="1">
        <v>0</v>
      </c>
      <c r="I186" s="1">
        <v>0</v>
      </c>
      <c r="J186" s="1">
        <v>0</v>
      </c>
      <c r="K186" s="1">
        <v>0</v>
      </c>
      <c r="L186" s="1">
        <v>0</v>
      </c>
      <c r="N186" t="str">
        <f t="shared" si="2"/>
        <v>0</v>
      </c>
      <c r="O186" s="6" t="str" cm="1">
        <f t="array" ref="O186">_xlfn.TEXTJOIN(", ",TRUE,
_xlfn.UNIQUE(
_xlfn._xlws.FILTER($S$2:$S$200,
ISNUMBER(SEARCH(LOWER($R$2:$R$200),LOWER(B186)))
)
))</f>
        <v/>
      </c>
      <c r="P186" cm="1">
        <f t="array" aca="1" ref="P186" ca="1">IFERROR(
    IF(N186=0, 0,
        SUMPRODUCT(
            N(
                _xlfn.IFNA(
                    VLOOKUP(
                        TRIM(MID(SUBSTITUTE(M186,",",REPT(" ",100)),
                        (ROW(INDIRECT("1:" &amp; LEN(M186)-LEN(SUBSTITUTE(M186,",","")) + 1))-1)*100 + 1, 100)),
                        $R$2:$T$101, 3, FALSE
                    ), 0)
            )
        ) / N186
    ),
0)</f>
        <v>0</v>
      </c>
    </row>
    <row r="187" spans="1:16">
      <c r="A187">
        <v>186</v>
      </c>
      <c r="B187" s="4" t="s">
        <v>356</v>
      </c>
      <c r="C187" s="1">
        <v>0</v>
      </c>
      <c r="D187" s="1">
        <v>0</v>
      </c>
      <c r="E187" s="1">
        <v>0</v>
      </c>
      <c r="F187" s="1">
        <v>0</v>
      </c>
      <c r="G187" s="1">
        <v>0</v>
      </c>
      <c r="H187" s="1">
        <v>0</v>
      </c>
      <c r="I187" s="1">
        <v>0</v>
      </c>
      <c r="J187" s="1">
        <v>0</v>
      </c>
      <c r="K187" s="1">
        <v>0</v>
      </c>
      <c r="L187" s="1">
        <v>0</v>
      </c>
      <c r="M187" s="6" t="str" cm="1">
        <f t="array" ref="M187">_xlfn.TEXTJOIN(", ",TRUE,
_xlfn._xlws.FILTER($R$2:$R$101,
ISNUMBER(SEARCH(LOWER($R$2:$R$101),LOWER(B187)))
))</f>
        <v>schapelle corby, corby</v>
      </c>
      <c r="N187">
        <f t="shared" si="2"/>
        <v>2</v>
      </c>
      <c r="O187" s="6" t="str" cm="1">
        <f t="array" ref="O187">_xlfn.TEXTJOIN(", ",TRUE,
_xlfn.UNIQUE(
_xlfn._xlws.FILTER($S$2:$S$200,
ISNUMBER(SEARCH(LOWER($R$2:$R$200),LOWER(B187)))
)
))</f>
        <v>Case Related, Familial based</v>
      </c>
      <c r="P187" cm="1">
        <f t="array" aca="1" ref="P187" ca="1">IFERROR(
    IF(N187=0, 0,
        SUMPRODUCT(
            N(
                _xlfn.IFNA(
                    VLOOKUP(
                        TRIM(MID(SUBSTITUTE(M187,",",REPT(" ",100)),
                        (ROW(INDIRECT("1:" &amp; LEN(M187)-LEN(SUBSTITUTE(M187,",","")) + 1))-1)*100 + 1, 100)),
                        $R$2:$T$101, 3, FALSE
                    ), 0)
            )
        ) / N187
    ),
0)</f>
        <v>0</v>
      </c>
    </row>
    <row r="188" spans="1:16" ht="30.75">
      <c r="A188">
        <v>187</v>
      </c>
      <c r="B188" s="4" t="s">
        <v>358</v>
      </c>
      <c r="C188" s="1">
        <v>0.33333333300000001</v>
      </c>
      <c r="D188" s="1">
        <v>0</v>
      </c>
      <c r="E188" s="1">
        <v>0</v>
      </c>
      <c r="F188" s="1">
        <v>0.5</v>
      </c>
      <c r="G188" s="1">
        <v>0</v>
      </c>
      <c r="H188" s="1">
        <v>0</v>
      </c>
      <c r="I188" s="1">
        <v>0</v>
      </c>
      <c r="J188" s="1">
        <v>0</v>
      </c>
      <c r="K188" s="1">
        <v>0</v>
      </c>
      <c r="L188" s="1">
        <v>0</v>
      </c>
      <c r="M188" s="6" t="str" cm="1">
        <f t="array" ref="M188">_xlfn.TEXTJOIN(", ",TRUE,
_xlfn._xlws.FILTER($R$2:$R$101,
ISNUMBER(SEARCH(LOWER($R$2:$R$101),LOWER(B188)))
))</f>
        <v>convicted drug smuggler, drug smuggler, convicted</v>
      </c>
      <c r="N188">
        <f t="shared" si="2"/>
        <v>3</v>
      </c>
      <c r="O188" s="6" t="str" cm="1">
        <f t="array" ref="O188">_xlfn.TEXTJOIN(", ",TRUE,
_xlfn.UNIQUE(
_xlfn._xlws.FILTER($S$2:$S$200,
ISNUMBER(SEARCH(LOWER($R$2:$R$200),LOWER(B188)))
)
))</f>
        <v>Crime based, Legality based</v>
      </c>
      <c r="P188" cm="1">
        <f t="array" aca="1" ref="P188" ca="1">IFERROR(
    IF(N188=0, 0,
        SUMPRODUCT(
            N(
                _xlfn.IFNA(
                    VLOOKUP(
                        TRIM(MID(SUBSTITUTE(M188,",",REPT(" ",100)),
                        (ROW(INDIRECT("1:" &amp; LEN(M188)-LEN(SUBSTITUTE(M188,",","")) + 1))-1)*100 + 1, 100)),
                        $R$2:$T$101, 3, FALSE
                    ), 0)
            )
        ) / N188
    ),
0)</f>
        <v>0.33333333333333331</v>
      </c>
    </row>
    <row r="189" spans="1:16" ht="60.75">
      <c r="A189">
        <v>188</v>
      </c>
      <c r="B189" s="4" t="s">
        <v>360</v>
      </c>
      <c r="C189" s="1">
        <v>0</v>
      </c>
      <c r="D189" s="1">
        <v>0</v>
      </c>
      <c r="E189" s="1">
        <v>0</v>
      </c>
      <c r="F189" s="1">
        <v>0</v>
      </c>
      <c r="G189" s="1">
        <v>0</v>
      </c>
      <c r="H189" s="1">
        <v>0</v>
      </c>
      <c r="I189" s="1">
        <v>0</v>
      </c>
      <c r="J189" s="1">
        <v>0</v>
      </c>
      <c r="K189" s="1">
        <v>0</v>
      </c>
      <c r="L189" s="1">
        <v>0</v>
      </c>
      <c r="N189" t="str">
        <f t="shared" si="2"/>
        <v>0</v>
      </c>
      <c r="O189" s="6" t="str" cm="1">
        <f t="array" ref="O189">_xlfn.TEXTJOIN(", ",TRUE,
_xlfn.UNIQUE(
_xlfn._xlws.FILTER($S$2:$S$200,
ISNUMBER(SEARCH(LOWER($R$2:$R$200),LOWER(B189)))
)
))</f>
        <v/>
      </c>
      <c r="P189" cm="1">
        <f t="array" aca="1" ref="P189" ca="1">IFERROR(
    IF(N189=0, 0,
        SUMPRODUCT(
            N(
                _xlfn.IFNA(
                    VLOOKUP(
                        TRIM(MID(SUBSTITUTE(M189,",",REPT(" ",100)),
                        (ROW(INDIRECT("1:" &amp; LEN(M189)-LEN(SUBSTITUTE(M189,",","")) + 1))-1)*100 + 1, 100)),
                        $R$2:$T$101, 3, FALSE
                    ), 0)
            )
        ) / N189
    ),
0)</f>
        <v>0</v>
      </c>
    </row>
    <row r="190" spans="1:16">
      <c r="A190">
        <v>189</v>
      </c>
      <c r="B190" s="4" t="s">
        <v>362</v>
      </c>
      <c r="C190" s="1">
        <v>0</v>
      </c>
      <c r="D190" s="1">
        <v>0</v>
      </c>
      <c r="E190" s="1">
        <v>0</v>
      </c>
      <c r="F190" s="1">
        <v>0</v>
      </c>
      <c r="G190" s="1">
        <v>0</v>
      </c>
      <c r="H190" s="1">
        <v>0</v>
      </c>
      <c r="I190" s="1">
        <v>0</v>
      </c>
      <c r="J190" s="1">
        <v>0</v>
      </c>
      <c r="K190" s="1">
        <v>0</v>
      </c>
      <c r="L190" s="1">
        <v>0</v>
      </c>
      <c r="N190" t="str">
        <f t="shared" si="2"/>
        <v>0</v>
      </c>
      <c r="O190" s="6" t="str" cm="1">
        <f t="array" ref="O190">_xlfn.TEXTJOIN(", ",TRUE,
_xlfn.UNIQUE(
_xlfn._xlws.FILTER($S$2:$S$200,
ISNUMBER(SEARCH(LOWER($R$2:$R$200),LOWER(B190)))
)
))</f>
        <v/>
      </c>
      <c r="P190" cm="1">
        <f t="array" aca="1" ref="P190" ca="1">IFERROR(
    IF(N190=0, 0,
        SUMPRODUCT(
            N(
                _xlfn.IFNA(
                    VLOOKUP(
                        TRIM(MID(SUBSTITUTE(M190,",",REPT(" ",100)),
                        (ROW(INDIRECT("1:" &amp; LEN(M190)-LEN(SUBSTITUTE(M190,",","")) + 1))-1)*100 + 1, 100)),
                        $R$2:$T$101, 3, FALSE
                    ), 0)
            )
        ) / N190
    ),
0)</f>
        <v>0</v>
      </c>
    </row>
    <row r="191" spans="1:16" ht="45.75">
      <c r="A191">
        <v>190</v>
      </c>
      <c r="B191" s="4" t="s">
        <v>364</v>
      </c>
      <c r="C191" s="10">
        <v>2.3333333330000001</v>
      </c>
      <c r="D191" s="1">
        <v>7</v>
      </c>
      <c r="E191" s="1">
        <v>0</v>
      </c>
      <c r="F191" s="1">
        <v>0</v>
      </c>
      <c r="G191" s="1">
        <v>0</v>
      </c>
      <c r="H191" s="1">
        <v>0</v>
      </c>
      <c r="I191" s="1">
        <v>3.5</v>
      </c>
      <c r="J191" s="1">
        <v>0</v>
      </c>
      <c r="K191" s="1">
        <v>0</v>
      </c>
      <c r="L191" s="1">
        <v>0</v>
      </c>
      <c r="M191" s="6" t="str" cm="1">
        <f t="array" ref="M191">_xlfn.TEXTJOIN(", ",TRUE,
_xlfn._xlws.FILTER($R$2:$R$101,
ISNUMBER(SEARCH(LOWER($R$2:$R$101),LOWER(B191)))
))</f>
        <v xml:space="preserve">jail, bogan, trash </v>
      </c>
      <c r="N191">
        <f t="shared" si="2"/>
        <v>3</v>
      </c>
      <c r="O191" s="6" t="str" cm="1">
        <f t="array" ref="O191">_xlfn.TEXTJOIN(", ",TRUE,
_xlfn.UNIQUE(
_xlfn._xlws.FILTER($S$2:$S$200,
ISNUMBER(SEARCH(LOWER($R$2:$R$200),LOWER(B191)))
)
))</f>
        <v>Crime based, Class based</v>
      </c>
      <c r="P191" cm="1">
        <f t="array" aca="1" ref="P191" ca="1">IFERROR(
    IF(N191=0, 0,
        SUMPRODUCT(
            N(
                _xlfn.IFNA(
                    VLOOKUP(
                        TRIM(MID(SUBSTITUTE(M191,",",REPT(" ",100)),
                        (ROW(INDIRECT("1:" &amp; LEN(M191)-LEN(SUBSTITUTE(M191,",","")) + 1))-1)*100 + 1, 100)),
                        $R$2:$T$101, 3, FALSE
                    ), 0)
            )
        ) / N191
    ),
0)</f>
        <v>1</v>
      </c>
    </row>
    <row r="192" spans="1:16" ht="76.5">
      <c r="A192">
        <v>191</v>
      </c>
      <c r="B192" s="4" t="s">
        <v>366</v>
      </c>
      <c r="C192" s="1">
        <v>1</v>
      </c>
      <c r="D192" s="1">
        <v>3</v>
      </c>
      <c r="E192" s="1">
        <v>0</v>
      </c>
      <c r="F192" s="1">
        <v>0</v>
      </c>
      <c r="G192" s="1">
        <v>0</v>
      </c>
      <c r="H192" s="1">
        <v>0</v>
      </c>
      <c r="I192" s="1">
        <v>3</v>
      </c>
      <c r="J192" s="1">
        <v>0</v>
      </c>
      <c r="K192" s="1">
        <v>0</v>
      </c>
      <c r="L192" s="1">
        <v>0</v>
      </c>
      <c r="M192" s="6" t="str" cm="1">
        <f t="array" ref="M192">_xlfn.TEXTJOIN(", ",TRUE,
_xlfn._xlws.FILTER($R$2:$R$101,
ISNUMBER(SEARCH(LOWER($R$2:$R$101),LOWER(B192)))
))</f>
        <v>australia, bitch, innocent</v>
      </c>
      <c r="N192">
        <f t="shared" si="2"/>
        <v>3</v>
      </c>
      <c r="O192" s="6" t="str" cm="1">
        <f t="array" ref="O192">_xlfn.TEXTJOIN(", ",TRUE,
_xlfn.UNIQUE(
_xlfn._xlws.FILTER($S$2:$S$200,
ISNUMBER(SEARCH(LOWER($R$2:$R$200),LOWER(B192)))
)
))</f>
        <v>Case Related, Class based, Legality based</v>
      </c>
      <c r="P192" cm="1">
        <f t="array" aca="1" ref="P192" ca="1">IFERROR(
    IF(N192=0, 0,
        SUMPRODUCT(
            N(
                _xlfn.IFNA(
                    VLOOKUP(
                        TRIM(MID(SUBSTITUTE(M192,",",REPT(" ",100)),
                        (ROW(INDIRECT("1:" &amp; LEN(M192)-LEN(SUBSTITUTE(M192,",","")) + 1))-1)*100 + 1, 100)),
                        $R$2:$T$101, 3, FALSE
                    ), 0)
            )
        ) / N192
    ),
0)</f>
        <v>1</v>
      </c>
    </row>
    <row r="193" spans="1:16" ht="16.5">
      <c r="A193">
        <v>192</v>
      </c>
      <c r="B193" s="4" t="s">
        <v>368</v>
      </c>
      <c r="C193" s="1">
        <v>0</v>
      </c>
      <c r="D193" s="1">
        <v>0</v>
      </c>
      <c r="E193" s="1">
        <v>0</v>
      </c>
      <c r="F193" s="1">
        <v>0</v>
      </c>
      <c r="G193" s="1">
        <v>0</v>
      </c>
      <c r="H193" s="1">
        <v>0</v>
      </c>
      <c r="I193" s="1">
        <v>0</v>
      </c>
      <c r="J193" s="1">
        <v>0</v>
      </c>
      <c r="K193" s="1">
        <v>0</v>
      </c>
      <c r="L193" s="1">
        <v>0</v>
      </c>
      <c r="N193" t="str">
        <f t="shared" si="2"/>
        <v>0</v>
      </c>
      <c r="O193" s="6" t="str" cm="1">
        <f t="array" ref="O193">_xlfn.TEXTJOIN(", ",TRUE,
_xlfn.UNIQUE(
_xlfn._xlws.FILTER($S$2:$S$200,
ISNUMBER(SEARCH(LOWER($R$2:$R$200),LOWER(B193)))
)
))</f>
        <v/>
      </c>
      <c r="P193" cm="1">
        <f t="array" aca="1" ref="P193" ca="1">IFERROR(
    IF(N193=0, 0,
        SUMPRODUCT(
            N(
                _xlfn.IFNA(
                    VLOOKUP(
                        TRIM(MID(SUBSTITUTE(M193,",",REPT(" ",100)),
                        (ROW(INDIRECT("1:" &amp; LEN(M193)-LEN(SUBSTITUTE(M193,",","")) + 1))-1)*100 + 1, 100)),
                        $R$2:$T$101, 3, FALSE
                    ), 0)
            )
        ) / N193
    ),
0)</f>
        <v>0</v>
      </c>
    </row>
    <row r="194" spans="1:16">
      <c r="A194">
        <v>193</v>
      </c>
      <c r="B194" s="4" t="s">
        <v>370</v>
      </c>
      <c r="C194" s="1">
        <v>0</v>
      </c>
      <c r="D194" s="1">
        <v>0</v>
      </c>
      <c r="E194" s="1">
        <v>0</v>
      </c>
      <c r="F194" s="1">
        <v>0</v>
      </c>
      <c r="G194" s="1">
        <v>0</v>
      </c>
      <c r="H194" s="1">
        <v>0</v>
      </c>
      <c r="I194" s="1">
        <v>0</v>
      </c>
      <c r="J194" s="1">
        <v>0</v>
      </c>
      <c r="K194" s="1">
        <v>0</v>
      </c>
      <c r="L194" s="1">
        <v>0</v>
      </c>
      <c r="N194" t="str">
        <f t="shared" si="2"/>
        <v>0</v>
      </c>
      <c r="O194" s="6" t="str" cm="1">
        <f t="array" ref="O194">_xlfn.TEXTJOIN(", ",TRUE,
_xlfn.UNIQUE(
_xlfn._xlws.FILTER($S$2:$S$200,
ISNUMBER(SEARCH(LOWER($R$2:$R$200),LOWER(B194)))
)
))</f>
        <v/>
      </c>
      <c r="P194" cm="1">
        <f t="array" aca="1" ref="P194" ca="1">IFERROR(
    IF(N194=0, 0,
        SUMPRODUCT(
            N(
                _xlfn.IFNA(
                    VLOOKUP(
                        TRIM(MID(SUBSTITUTE(M194,",",REPT(" ",100)),
                        (ROW(INDIRECT("1:" &amp; LEN(M194)-LEN(SUBSTITUTE(M194,",","")) + 1))-1)*100 + 1, 100)),
                        $R$2:$T$101, 3, FALSE
                    ), 0)
            )
        ) / N194
    ),
0)</f>
        <v>0</v>
      </c>
    </row>
    <row r="195" spans="1:16" ht="91.5">
      <c r="A195">
        <v>194</v>
      </c>
      <c r="B195" s="4" t="s">
        <v>372</v>
      </c>
      <c r="C195" s="1">
        <v>0</v>
      </c>
      <c r="D195" s="1">
        <v>0</v>
      </c>
      <c r="E195" s="1">
        <v>0</v>
      </c>
      <c r="F195" s="1">
        <v>0</v>
      </c>
      <c r="G195" s="1">
        <v>0</v>
      </c>
      <c r="H195" s="1">
        <v>0</v>
      </c>
      <c r="I195" s="1">
        <v>0</v>
      </c>
      <c r="J195" s="1">
        <v>0</v>
      </c>
      <c r="K195" s="1">
        <v>0</v>
      </c>
      <c r="L195" s="1">
        <v>0</v>
      </c>
      <c r="M195" s="6" t="str" cm="1">
        <f t="array" ref="M195">_xlfn.TEXTJOIN(", ",TRUE,
_xlfn._xlws.FILTER($R$2:$R$101,
ISNUMBER(SEARCH(LOWER($R$2:$R$101),LOWER(B195)))
))</f>
        <v>australia, drugs, narcotics, guilty, served, sentence , import</v>
      </c>
      <c r="N195">
        <f t="shared" ref="N195:N258" si="3">IF(M195="","0",LEN(M195)-LEN(SUBSTITUTE(M195,",",""))+1)</f>
        <v>7</v>
      </c>
      <c r="O195" s="6" t="str" cm="1">
        <f t="array" ref="O195">_xlfn.TEXTJOIN(", ",TRUE,
_xlfn.UNIQUE(
_xlfn._xlws.FILTER($S$2:$S$200,
ISNUMBER(SEARCH(LOWER($R$2:$R$200),LOWER(B195)))
)
))</f>
        <v>Case Related, Crime based, Legality based</v>
      </c>
      <c r="P195" cm="1">
        <f t="array" aca="1" ref="P195" ca="1">IFERROR(
    IF(N195=0, 0,
        SUMPRODUCT(
            N(
                _xlfn.IFNA(
                    VLOOKUP(
                        TRIM(MID(SUBSTITUTE(M195,",",REPT(" ",100)),
                        (ROW(INDIRECT("1:" &amp; LEN(M195)-LEN(SUBSTITUTE(M195,",","")) + 1))-1)*100 + 1, 100)),
                        $R$2:$T$101, 3, FALSE
                    ), 0)
            )
        ) / N195
    ),
0)</f>
        <v>0</v>
      </c>
    </row>
    <row r="196" spans="1:16">
      <c r="A196">
        <v>195</v>
      </c>
      <c r="B196" s="4" t="s">
        <v>373</v>
      </c>
      <c r="C196" s="1">
        <v>0</v>
      </c>
      <c r="D196" s="1">
        <v>0</v>
      </c>
      <c r="E196" s="1">
        <v>0</v>
      </c>
      <c r="F196" s="1">
        <v>0</v>
      </c>
      <c r="G196" s="1">
        <v>0</v>
      </c>
      <c r="H196" s="1">
        <v>0</v>
      </c>
      <c r="I196" s="1">
        <v>0</v>
      </c>
      <c r="J196" s="1">
        <v>0</v>
      </c>
      <c r="K196" s="1">
        <v>0</v>
      </c>
      <c r="L196" s="1">
        <v>0</v>
      </c>
      <c r="M196" s="6" t="str" cm="1">
        <f t="array" ref="M196">_xlfn.TEXTJOIN(", ",TRUE,
_xlfn._xlws.FILTER($R$2:$R$101,
ISNUMBER(SEARCH(LOWER($R$2:$R$101),LOWER(B196)))
))</f>
        <v>cannabis, cannabis</v>
      </c>
      <c r="N196">
        <f t="shared" si="3"/>
        <v>2</v>
      </c>
      <c r="O196" s="6" t="str" cm="1">
        <f t="array" ref="O196">_xlfn.TEXTJOIN(", ",TRUE,
_xlfn.UNIQUE(
_xlfn._xlws.FILTER($S$2:$S$200,
ISNUMBER(SEARCH(LOWER($R$2:$R$200),LOWER(B196)))
)
))</f>
        <v>Case Related, Crime based</v>
      </c>
      <c r="P196" cm="1">
        <f t="array" aca="1" ref="P196" ca="1">IFERROR(
    IF(N196=0, 0,
        SUMPRODUCT(
            N(
                _xlfn.IFNA(
                    VLOOKUP(
                        TRIM(MID(SUBSTITUTE(M196,",",REPT(" ",100)),
                        (ROW(INDIRECT("1:" &amp; LEN(M196)-LEN(SUBSTITUTE(M196,",","")) + 1))-1)*100 + 1, 100)),
                        $R$2:$T$101, 3, FALSE
                    ), 0)
            )
        ) / N196
    ),
0)</f>
        <v>0</v>
      </c>
    </row>
    <row r="197" spans="1:16">
      <c r="A197">
        <v>196</v>
      </c>
      <c r="B197" s="4" t="s">
        <v>375</v>
      </c>
      <c r="C197" s="1">
        <v>0</v>
      </c>
      <c r="D197" s="1">
        <v>0</v>
      </c>
      <c r="E197" s="1">
        <v>0</v>
      </c>
      <c r="F197" s="1">
        <v>0</v>
      </c>
      <c r="G197" s="1">
        <v>0</v>
      </c>
      <c r="H197" s="1">
        <v>0</v>
      </c>
      <c r="I197" s="1">
        <v>0</v>
      </c>
      <c r="J197" s="1">
        <v>0</v>
      </c>
      <c r="K197" s="1">
        <v>0</v>
      </c>
      <c r="L197" s="1">
        <v>0</v>
      </c>
      <c r="N197" t="str">
        <f t="shared" si="3"/>
        <v>0</v>
      </c>
      <c r="O197" s="6" t="str" cm="1">
        <f t="array" ref="O197">_xlfn.TEXTJOIN(", ",TRUE,
_xlfn.UNIQUE(
_xlfn._xlws.FILTER($S$2:$S$200,
ISNUMBER(SEARCH(LOWER($R$2:$R$200),LOWER(B197)))
)
))</f>
        <v/>
      </c>
      <c r="P197" cm="1">
        <f t="array" aca="1" ref="P197" ca="1">IFERROR(
    IF(N197=0, 0,
        SUMPRODUCT(
            N(
                _xlfn.IFNA(
                    VLOOKUP(
                        TRIM(MID(SUBSTITUTE(M197,",",REPT(" ",100)),
                        (ROW(INDIRECT("1:" &amp; LEN(M197)-LEN(SUBSTITUTE(M197,",","")) + 1))-1)*100 + 1, 100)),
                        $R$2:$T$101, 3, FALSE
                    ), 0)
            )
        ) / N197
    ),
0)</f>
        <v>0</v>
      </c>
    </row>
    <row r="198" spans="1:16">
      <c r="A198">
        <v>197</v>
      </c>
      <c r="B198" s="4" t="s">
        <v>377</v>
      </c>
      <c r="C198" s="1">
        <v>0</v>
      </c>
      <c r="D198" s="1">
        <v>0</v>
      </c>
      <c r="E198" s="1">
        <v>0</v>
      </c>
      <c r="F198" s="1">
        <v>0</v>
      </c>
      <c r="G198" s="1">
        <v>0</v>
      </c>
      <c r="H198" s="1">
        <v>0</v>
      </c>
      <c r="I198" s="1">
        <v>0</v>
      </c>
      <c r="J198" s="1">
        <v>0</v>
      </c>
      <c r="K198" s="1">
        <v>0</v>
      </c>
      <c r="L198" s="1">
        <v>0</v>
      </c>
      <c r="M198" s="6" t="str" cm="1">
        <f t="array" ref="M198">_xlfn.TEXTJOIN(", ",TRUE,
_xlfn._xlws.FILTER($R$2:$R$101,
ISNUMBER(SEARCH(LOWER($R$2:$R$101),LOWER(B198)))
))</f>
        <v>drugs, narcotics</v>
      </c>
      <c r="N198">
        <f t="shared" si="3"/>
        <v>2</v>
      </c>
      <c r="O198" s="6" t="str" cm="1">
        <f t="array" ref="O198">_xlfn.TEXTJOIN(", ",TRUE,
_xlfn.UNIQUE(
_xlfn._xlws.FILTER($S$2:$S$200,
ISNUMBER(SEARCH(LOWER($R$2:$R$200),LOWER(B198)))
)
))</f>
        <v>Crime based</v>
      </c>
      <c r="P198" cm="1">
        <f t="array" aca="1" ref="P198" ca="1">IFERROR(
    IF(N198=0, 0,
        SUMPRODUCT(
            N(
                _xlfn.IFNA(
                    VLOOKUP(
                        TRIM(MID(SUBSTITUTE(M198,",",REPT(" ",100)),
                        (ROW(INDIRECT("1:" &amp; LEN(M198)-LEN(SUBSTITUTE(M198,",","")) + 1))-1)*100 + 1, 100)),
                        $R$2:$T$101, 3, FALSE
                    ), 0)
            )
        ) / N198
    ),
0)</f>
        <v>0</v>
      </c>
    </row>
    <row r="199" spans="1:16" ht="121.5">
      <c r="A199">
        <v>198</v>
      </c>
      <c r="B199" s="4" t="s">
        <v>379</v>
      </c>
      <c r="C199" s="1">
        <v>0</v>
      </c>
      <c r="D199" s="1">
        <v>0</v>
      </c>
      <c r="E199" s="1">
        <v>0</v>
      </c>
      <c r="F199" s="1">
        <v>0</v>
      </c>
      <c r="G199" s="1">
        <v>0</v>
      </c>
      <c r="H199" s="1">
        <v>0</v>
      </c>
      <c r="I199" s="1">
        <v>0</v>
      </c>
      <c r="J199" s="1">
        <v>0</v>
      </c>
      <c r="K199" s="1">
        <v>0</v>
      </c>
      <c r="L199" s="1">
        <v>0</v>
      </c>
      <c r="M199" s="6" t="str" cm="1">
        <f t="array" ref="M199">_xlfn.TEXTJOIN(", ",TRUE,
_xlfn._xlws.FILTER($R$2:$R$101,
ISNUMBER(SEARCH(LOWER($R$2:$R$101),LOWER(B199)))
))</f>
        <v>schapelle corby, australian, australia, drugs, corby, guilty, innocent</v>
      </c>
      <c r="N199">
        <f t="shared" si="3"/>
        <v>7</v>
      </c>
      <c r="O199" s="6" t="str" cm="1">
        <f t="array" ref="O199">_xlfn.TEXTJOIN(", ",TRUE,
_xlfn.UNIQUE(
_xlfn._xlws.FILTER($S$2:$S$200,
ISNUMBER(SEARCH(LOWER($R$2:$R$200),LOWER(B199)))
)
))</f>
        <v>Case Related, Crime based, Familial based, Legality based</v>
      </c>
      <c r="P199" cm="1">
        <f t="array" aca="1" ref="P199" ca="1">IFERROR(
    IF(N199=0, 0,
        SUMPRODUCT(
            N(
                _xlfn.IFNA(
                    VLOOKUP(
                        TRIM(MID(SUBSTITUTE(M199,",",REPT(" ",100)),
                        (ROW(INDIRECT("1:" &amp; LEN(M199)-LEN(SUBSTITUTE(M199,",","")) + 1))-1)*100 + 1, 100)),
                        $R$2:$T$101, 3, FALSE
                    ), 0)
            )
        ) / N199
    ),
0)</f>
        <v>0</v>
      </c>
    </row>
    <row r="200" spans="1:16">
      <c r="A200">
        <v>199</v>
      </c>
      <c r="B200" s="4" t="s">
        <v>380</v>
      </c>
      <c r="C200" s="1">
        <v>0.66666666699999999</v>
      </c>
      <c r="D200" s="1">
        <v>1</v>
      </c>
      <c r="E200" s="1">
        <v>0</v>
      </c>
      <c r="F200" s="1">
        <v>0</v>
      </c>
      <c r="G200" s="1">
        <v>1</v>
      </c>
      <c r="H200" s="1">
        <v>0</v>
      </c>
      <c r="I200" s="1">
        <v>0</v>
      </c>
      <c r="J200" s="1">
        <v>0</v>
      </c>
      <c r="K200" s="1">
        <v>0</v>
      </c>
      <c r="L200" s="1">
        <v>0.5</v>
      </c>
      <c r="M200" s="6" t="str" cm="1">
        <f t="array" ref="M200">_xlfn.TEXTJOIN(", ",TRUE,
_xlfn._xlws.FILTER($R$2:$R$101,
ISNUMBER(SEARCH(LOWER($R$2:$R$101),LOWER(B200)))
))</f>
        <v>af, guilty, guilty af</v>
      </c>
      <c r="N200">
        <f t="shared" si="3"/>
        <v>3</v>
      </c>
      <c r="O200" s="6" t="str" cm="1">
        <f t="array" ref="O200">_xlfn.TEXTJOIN(", ",TRUE,
_xlfn.UNIQUE(
_xlfn._xlws.FILTER($S$2:$S$200,
ISNUMBER(SEARCH(LOWER($R$2:$R$200),LOWER(B200)))
)
))</f>
        <v>Intelligence based, Legality based</v>
      </c>
      <c r="P200" cm="1">
        <f t="array" aca="1" ref="P200" ca="1">IFERROR(
    IF(N200=0, 0,
        SUMPRODUCT(
            N(
                _xlfn.IFNA(
                    VLOOKUP(
                        TRIM(MID(SUBSTITUTE(M200,",",REPT(" ",100)),
                        (ROW(INDIRECT("1:" &amp; LEN(M200)-LEN(SUBSTITUTE(M200,",","")) + 1))-1)*100 + 1, 100)),
                        $R$2:$T$101, 3, FALSE
                    ), 0)
            )
        ) / N200
    ),
0)</f>
        <v>0.66666666666666663</v>
      </c>
    </row>
    <row r="201" spans="1:16">
      <c r="A201">
        <v>200</v>
      </c>
      <c r="B201" s="4" t="s">
        <v>382</v>
      </c>
      <c r="C201" s="1">
        <v>2</v>
      </c>
      <c r="D201" s="1">
        <v>6</v>
      </c>
      <c r="E201" s="1">
        <v>0</v>
      </c>
      <c r="F201" s="1">
        <v>0</v>
      </c>
      <c r="G201" s="1">
        <v>3</v>
      </c>
      <c r="H201" s="1">
        <v>0</v>
      </c>
      <c r="I201" s="1">
        <v>3</v>
      </c>
      <c r="J201" s="1">
        <v>0</v>
      </c>
      <c r="K201" s="1">
        <v>0</v>
      </c>
      <c r="L201" s="1">
        <v>0</v>
      </c>
      <c r="M201" s="6" t="str" cm="1">
        <f t="array" ref="M201">_xlfn.TEXTJOIN(", ",TRUE,
_xlfn._xlws.FILTER($R$2:$R$101,
ISNUMBER(SEARCH(LOWER($R$2:$R$101),LOWER(B201)))
))</f>
        <v>dumb, bitch, served</v>
      </c>
      <c r="N201">
        <f t="shared" si="3"/>
        <v>3</v>
      </c>
      <c r="O201" s="6" t="str" cm="1">
        <f t="array" ref="O201">_xlfn.TEXTJOIN(", ",TRUE,
_xlfn.UNIQUE(
_xlfn._xlws.FILTER($S$2:$S$200,
ISNUMBER(SEARCH(LOWER($R$2:$R$200),LOWER(B201)))
)
))</f>
        <v>Intelligence based, Class based, Legality based</v>
      </c>
      <c r="P201" cm="1">
        <f t="array" aca="1" ref="P201" ca="1">IFERROR(
    IF(N201=0, 0,
        SUMPRODUCT(
            N(
                _xlfn.IFNA(
                    VLOOKUP(
                        TRIM(MID(SUBSTITUTE(M201,",",REPT(" ",100)),
                        (ROW(INDIRECT("1:" &amp; LEN(M201)-LEN(SUBSTITUTE(M201,",","")) + 1))-1)*100 + 1, 100)),
                        $R$2:$T$101, 3, FALSE
                    ), 0)
            )
        ) / N201
    ),
0)</f>
        <v>2</v>
      </c>
    </row>
    <row r="202" spans="1:16" ht="30.75">
      <c r="A202">
        <v>201</v>
      </c>
      <c r="B202" s="4" t="s">
        <v>384</v>
      </c>
      <c r="C202" s="1">
        <v>0</v>
      </c>
      <c r="D202" s="1">
        <v>0</v>
      </c>
      <c r="E202" s="1">
        <v>0</v>
      </c>
      <c r="F202" s="1">
        <v>0</v>
      </c>
      <c r="G202" s="1">
        <v>0</v>
      </c>
      <c r="H202" s="1">
        <v>0</v>
      </c>
      <c r="I202" s="1">
        <v>0</v>
      </c>
      <c r="J202" s="1">
        <v>0</v>
      </c>
      <c r="K202" s="1">
        <v>0</v>
      </c>
      <c r="L202" s="1">
        <v>0</v>
      </c>
      <c r="M202" s="6" t="str" cm="1">
        <f t="array" ref="M202">_xlfn.TEXTJOIN(", ",TRUE,
_xlfn._xlws.FILTER($R$2:$R$101,
ISNUMBER(SEARCH(LOWER($R$2:$R$101),LOWER(B202)))
))</f>
        <v>smuggling, australia, weed</v>
      </c>
      <c r="N202">
        <f t="shared" si="3"/>
        <v>3</v>
      </c>
      <c r="O202" s="6" t="str" cm="1">
        <f t="array" ref="O202">_xlfn.TEXTJOIN(", ",TRUE,
_xlfn.UNIQUE(
_xlfn._xlws.FILTER($S$2:$S$200,
ISNUMBER(SEARCH(LOWER($R$2:$R$200),LOWER(B202)))
)
))</f>
        <v>Case Related, Crime based</v>
      </c>
      <c r="P202" cm="1">
        <f t="array" aca="1" ref="P202" ca="1">IFERROR(
    IF(N202=0, 0,
        SUMPRODUCT(
            N(
                _xlfn.IFNA(
                    VLOOKUP(
                        TRIM(MID(SUBSTITUTE(M202,",",REPT(" ",100)),
                        (ROW(INDIRECT("1:" &amp; LEN(M202)-LEN(SUBSTITUTE(M202,",","")) + 1))-1)*100 + 1, 100)),
                        $R$2:$T$101, 3, FALSE
                    ), 0)
            )
        ) / N202
    ),
0)</f>
        <v>0</v>
      </c>
    </row>
    <row r="203" spans="1:16" ht="30.75">
      <c r="A203">
        <v>202</v>
      </c>
      <c r="B203" s="4" t="s">
        <v>386</v>
      </c>
      <c r="C203" s="1">
        <v>0</v>
      </c>
      <c r="D203" s="1">
        <v>0</v>
      </c>
      <c r="E203" s="1">
        <v>0</v>
      </c>
      <c r="F203" s="1">
        <v>0</v>
      </c>
      <c r="G203" s="1">
        <v>0</v>
      </c>
      <c r="H203" s="1">
        <v>0</v>
      </c>
      <c r="I203" s="1">
        <v>0</v>
      </c>
      <c r="J203" s="1">
        <v>0</v>
      </c>
      <c r="K203" s="1">
        <v>0</v>
      </c>
      <c r="L203" s="1">
        <v>0</v>
      </c>
      <c r="M203" s="6" t="str" cm="1">
        <f t="array" ref="M203">_xlfn.TEXTJOIN(", ",TRUE,
_xlfn._xlws.FILTER($R$2:$R$101,
ISNUMBER(SEARCH(LOWER($R$2:$R$101),LOWER(B203)))
))</f>
        <v>australian, australia</v>
      </c>
      <c r="N203">
        <f t="shared" si="3"/>
        <v>2</v>
      </c>
      <c r="O203" s="6" t="str" cm="1">
        <f t="array" ref="O203">_xlfn.TEXTJOIN(", ",TRUE,
_xlfn.UNIQUE(
_xlfn._xlws.FILTER($S$2:$S$200,
ISNUMBER(SEARCH(LOWER($R$2:$R$200),LOWER(B203)))
)
))</f>
        <v>Case Related</v>
      </c>
      <c r="P203" cm="1">
        <f t="array" aca="1" ref="P203" ca="1">IFERROR(
    IF(N203=0, 0,
        SUMPRODUCT(
            N(
                _xlfn.IFNA(
                    VLOOKUP(
                        TRIM(MID(SUBSTITUTE(M203,",",REPT(" ",100)),
                        (ROW(INDIRECT("1:" &amp; LEN(M203)-LEN(SUBSTITUTE(M203,",","")) + 1))-1)*100 + 1, 100)),
                        $R$2:$T$101, 3, FALSE
                    ), 0)
            )
        ) / N203
    ),
0)</f>
        <v>0</v>
      </c>
    </row>
    <row r="204" spans="1:16" ht="30.75">
      <c r="A204">
        <v>203</v>
      </c>
      <c r="B204" s="4" t="s">
        <v>388</v>
      </c>
      <c r="C204" s="1">
        <v>0</v>
      </c>
      <c r="D204" s="1">
        <v>0</v>
      </c>
      <c r="E204" s="1">
        <v>0</v>
      </c>
      <c r="F204" s="1">
        <v>0</v>
      </c>
      <c r="G204" s="1">
        <v>0</v>
      </c>
      <c r="H204" s="1">
        <v>0</v>
      </c>
      <c r="I204" s="1">
        <v>0</v>
      </c>
      <c r="J204" s="1">
        <v>0</v>
      </c>
      <c r="K204" s="1">
        <v>0</v>
      </c>
      <c r="L204" s="1">
        <v>0</v>
      </c>
      <c r="N204" t="str">
        <f t="shared" si="3"/>
        <v>0</v>
      </c>
      <c r="O204" s="6" t="str" cm="1">
        <f t="array" ref="O204">_xlfn.TEXTJOIN(", ",TRUE,
_xlfn.UNIQUE(
_xlfn._xlws.FILTER($S$2:$S$200,
ISNUMBER(SEARCH(LOWER($R$2:$R$200),LOWER(B204)))
)
))</f>
        <v/>
      </c>
      <c r="P204" cm="1">
        <f t="array" aca="1" ref="P204" ca="1">IFERROR(
    IF(N204=0, 0,
        SUMPRODUCT(
            N(
                _xlfn.IFNA(
                    VLOOKUP(
                        TRIM(MID(SUBSTITUTE(M204,",",REPT(" ",100)),
                        (ROW(INDIRECT("1:" &amp; LEN(M204)-LEN(SUBSTITUTE(M204,",","")) + 1))-1)*100 + 1, 100)),
                        $R$2:$T$101, 3, FALSE
                    ), 0)
            )
        ) / N204
    ),
0)</f>
        <v>0</v>
      </c>
    </row>
    <row r="205" spans="1:16" ht="76.5">
      <c r="A205">
        <v>204</v>
      </c>
      <c r="B205" s="4" t="s">
        <v>390</v>
      </c>
      <c r="C205" s="10">
        <v>0.5</v>
      </c>
      <c r="D205" s="1">
        <v>0</v>
      </c>
      <c r="E205" s="1">
        <v>0</v>
      </c>
      <c r="F205" s="1">
        <v>1</v>
      </c>
      <c r="G205" s="1">
        <v>0</v>
      </c>
      <c r="H205" s="1">
        <v>0</v>
      </c>
      <c r="I205" s="1">
        <v>0</v>
      </c>
      <c r="J205" s="1">
        <v>0</v>
      </c>
      <c r="K205" s="1">
        <v>0</v>
      </c>
      <c r="L205" s="1">
        <v>0</v>
      </c>
      <c r="M205" s="6" t="str" cm="1">
        <f t="array" ref="M205">_xlfn.TEXTJOIN(", ",TRUE,
_xlfn._xlws.FILTER($R$2:$R$101,
ISNUMBER(SEARCH(LOWER($R$2:$R$101),LOWER(B205)))
))</f>
        <v>criminal</v>
      </c>
      <c r="N205">
        <f t="shared" si="3"/>
        <v>1</v>
      </c>
      <c r="O205" s="6" t="str" cm="1">
        <f t="array" ref="O205">_xlfn.TEXTJOIN(", ",TRUE,
_xlfn.UNIQUE(
_xlfn._xlws.FILTER($S$2:$S$200,
ISNUMBER(SEARCH(LOWER($R$2:$R$200),LOWER(B205)))
)
))</f>
        <v>Crime based</v>
      </c>
      <c r="P205" cm="1">
        <f t="array" aca="1" ref="P205" ca="1">IFERROR(
    IF(N205=0, 0,
        SUMPRODUCT(
            N(
                _xlfn.IFNA(
                    VLOOKUP(
                        TRIM(MID(SUBSTITUTE(M205,",",REPT(" ",100)),
                        (ROW(INDIRECT("1:" &amp; LEN(M205)-LEN(SUBSTITUTE(M205,",","")) + 1))-1)*100 + 1, 100)),
                        $R$2:$T$101, 3, FALSE
                    ), 0)
            )
        ) / N205
    ),
0)</f>
        <v>1</v>
      </c>
    </row>
    <row r="206" spans="1:16">
      <c r="A206">
        <v>205</v>
      </c>
      <c r="B206" s="4" t="s">
        <v>392</v>
      </c>
      <c r="C206" s="1">
        <v>0</v>
      </c>
      <c r="D206" s="1">
        <v>0</v>
      </c>
      <c r="E206" s="1">
        <v>0</v>
      </c>
      <c r="F206" s="1">
        <v>0</v>
      </c>
      <c r="G206" s="1">
        <v>0</v>
      </c>
      <c r="H206" s="1">
        <v>0</v>
      </c>
      <c r="I206" s="1">
        <v>0</v>
      </c>
      <c r="J206" s="1">
        <v>0</v>
      </c>
      <c r="K206" s="1">
        <v>0</v>
      </c>
      <c r="L206" s="1">
        <v>0</v>
      </c>
      <c r="N206" t="str">
        <f t="shared" si="3"/>
        <v>0</v>
      </c>
      <c r="O206" s="6" t="str" cm="1">
        <f t="array" ref="O206">_xlfn.TEXTJOIN(", ",TRUE,
_xlfn.UNIQUE(
_xlfn._xlws.FILTER($S$2:$S$200,
ISNUMBER(SEARCH(LOWER($R$2:$R$200),LOWER(B206)))
)
))</f>
        <v/>
      </c>
      <c r="P206" cm="1">
        <f t="array" aca="1" ref="P206" ca="1">IFERROR(
    IF(N206=0, 0,
        SUMPRODUCT(
            N(
                _xlfn.IFNA(
                    VLOOKUP(
                        TRIM(MID(SUBSTITUTE(M206,",",REPT(" ",100)),
                        (ROW(INDIRECT("1:" &amp; LEN(M206)-LEN(SUBSTITUTE(M206,",","")) + 1))-1)*100 + 1, 100)),
                        $R$2:$T$101, 3, FALSE
                    ), 0)
            )
        ) / N206
    ),
0)</f>
        <v>0</v>
      </c>
    </row>
    <row r="207" spans="1:16" ht="121.5">
      <c r="A207">
        <v>206</v>
      </c>
      <c r="B207" s="4" t="s">
        <v>394</v>
      </c>
      <c r="C207" s="1">
        <v>0</v>
      </c>
      <c r="D207" s="1">
        <v>0</v>
      </c>
      <c r="E207" s="1">
        <v>0</v>
      </c>
      <c r="F207" s="1">
        <v>0</v>
      </c>
      <c r="G207" s="1">
        <v>0</v>
      </c>
      <c r="H207" s="1">
        <v>0</v>
      </c>
      <c r="I207" s="1">
        <v>0</v>
      </c>
      <c r="J207" s="1">
        <v>0</v>
      </c>
      <c r="K207" s="1">
        <v>0</v>
      </c>
      <c r="L207" s="1">
        <v>0</v>
      </c>
      <c r="M207" s="6" t="str" cm="1">
        <f t="array" ref="M207">_xlfn.TEXTJOIN(", ",TRUE,
_xlfn._xlws.FILTER($R$2:$R$101,
ISNUMBER(SEARCH(LOWER($R$2:$R$101),LOWER(B207)))
))</f>
        <v>drugs, father</v>
      </c>
      <c r="N207">
        <f t="shared" si="3"/>
        <v>2</v>
      </c>
      <c r="O207" s="6" t="str" cm="1">
        <f t="array" ref="O207">_xlfn.TEXTJOIN(", ",TRUE,
_xlfn.UNIQUE(
_xlfn._xlws.FILTER($S$2:$S$200,
ISNUMBER(SEARCH(LOWER($R$2:$R$200),LOWER(B207)))
)
))</f>
        <v>Crime based, Familial based</v>
      </c>
      <c r="P207" cm="1">
        <f t="array" aca="1" ref="P207" ca="1">IFERROR(
    IF(N207=0, 0,
        SUMPRODUCT(
            N(
                _xlfn.IFNA(
                    VLOOKUP(
                        TRIM(MID(SUBSTITUTE(M207,",",REPT(" ",100)),
                        (ROW(INDIRECT("1:" &amp; LEN(M207)-LEN(SUBSTITUTE(M207,",","")) + 1))-1)*100 + 1, 100)),
                        $R$2:$T$101, 3, FALSE
                    ), 0)
            )
        ) / N207
    ),
0)</f>
        <v>0</v>
      </c>
    </row>
    <row r="208" spans="1:16" ht="45.75">
      <c r="A208">
        <v>207</v>
      </c>
      <c r="B208" s="4" t="s">
        <v>396</v>
      </c>
      <c r="C208" s="1">
        <v>0.5</v>
      </c>
      <c r="D208" s="1">
        <v>1.5</v>
      </c>
      <c r="E208" s="1">
        <v>0</v>
      </c>
      <c r="F208" s="1">
        <v>0</v>
      </c>
      <c r="G208" s="1">
        <v>3</v>
      </c>
      <c r="H208" s="1">
        <v>0</v>
      </c>
      <c r="I208" s="1">
        <v>0</v>
      </c>
      <c r="J208" s="1">
        <v>0</v>
      </c>
      <c r="K208" s="1">
        <v>0</v>
      </c>
      <c r="L208" s="1">
        <v>0</v>
      </c>
      <c r="M208" s="6" t="str" cm="1">
        <f t="array" ref="M208">_xlfn.TEXTJOIN(", ",TRUE,
_xlfn._xlws.FILTER($R$2:$R$101,
ISNUMBER(SEARCH(LOWER($R$2:$R$101),LOWER(B208)))
))</f>
        <v>drugs, stupid, father, guilty, import, export</v>
      </c>
      <c r="N208">
        <f t="shared" si="3"/>
        <v>6</v>
      </c>
      <c r="O208" s="6" t="str" cm="1">
        <f t="array" ref="O208">_xlfn.TEXTJOIN(", ",TRUE,
_xlfn.UNIQUE(
_xlfn._xlws.FILTER($S$2:$S$200,
ISNUMBER(SEARCH(LOWER($R$2:$R$200),LOWER(B208)))
)
))</f>
        <v>Crime based, Intelligence based, Familial based, Legality based</v>
      </c>
      <c r="P208" cm="1">
        <f t="array" aca="1" ref="P208" ca="1">IFERROR(
    IF(N208=0, 0,
        SUMPRODUCT(
            N(
                _xlfn.IFNA(
                    VLOOKUP(
                        TRIM(MID(SUBSTITUTE(M208,",",REPT(" ",100)),
                        (ROW(INDIRECT("1:" &amp; LEN(M208)-LEN(SUBSTITUTE(M208,",","")) + 1))-1)*100 + 1, 100)),
                        $R$2:$T$101, 3, FALSE
                    ), 0)
            )
        ) / N208
    ),
0)</f>
        <v>0.5</v>
      </c>
    </row>
    <row r="209" spans="1:16" ht="60.75">
      <c r="A209">
        <v>208</v>
      </c>
      <c r="B209" s="4" t="s">
        <v>398</v>
      </c>
      <c r="C209" s="1">
        <v>0</v>
      </c>
      <c r="D209" s="1">
        <v>0</v>
      </c>
      <c r="E209" s="1">
        <v>0</v>
      </c>
      <c r="F209" s="1">
        <v>0</v>
      </c>
      <c r="G209" s="1">
        <v>0</v>
      </c>
      <c r="H209" s="1">
        <v>0</v>
      </c>
      <c r="I209" s="1">
        <v>0</v>
      </c>
      <c r="J209" s="1">
        <v>0</v>
      </c>
      <c r="K209" s="1">
        <v>0</v>
      </c>
      <c r="L209" s="1">
        <v>0</v>
      </c>
      <c r="N209" t="str">
        <f t="shared" si="3"/>
        <v>0</v>
      </c>
      <c r="O209" s="6" t="str" cm="1">
        <f t="array" ref="O209">_xlfn.TEXTJOIN(", ",TRUE,
_xlfn.UNIQUE(
_xlfn._xlws.FILTER($S$2:$S$200,
ISNUMBER(SEARCH(LOWER($R$2:$R$200),LOWER(B209)))
)
))</f>
        <v/>
      </c>
      <c r="P209" cm="1">
        <f t="array" aca="1" ref="P209" ca="1">IFERROR(
    IF(N209=0, 0,
        SUMPRODUCT(
            N(
                _xlfn.IFNA(
                    VLOOKUP(
                        TRIM(MID(SUBSTITUTE(M209,",",REPT(" ",100)),
                        (ROW(INDIRECT("1:" &amp; LEN(M209)-LEN(SUBSTITUTE(M209,",","")) + 1))-1)*100 + 1, 100)),
                        $R$2:$T$101, 3, FALSE
                    ), 0)
            )
        ) / N209
    ),
0)</f>
        <v>0</v>
      </c>
    </row>
    <row r="210" spans="1:16" ht="30.75">
      <c r="A210">
        <v>209</v>
      </c>
      <c r="B210" s="4" t="s">
        <v>400</v>
      </c>
      <c r="C210" s="1">
        <v>1.5</v>
      </c>
      <c r="D210" s="1">
        <v>4.5</v>
      </c>
      <c r="E210" s="1">
        <v>0</v>
      </c>
      <c r="F210" s="1">
        <v>0</v>
      </c>
      <c r="G210" s="1">
        <v>3</v>
      </c>
      <c r="H210" s="1">
        <v>0</v>
      </c>
      <c r="I210" s="1">
        <v>0</v>
      </c>
      <c r="J210" s="1">
        <v>0</v>
      </c>
      <c r="K210" s="1">
        <v>0</v>
      </c>
      <c r="L210" s="1">
        <v>0</v>
      </c>
      <c r="M210" s="6" t="str" cm="1">
        <f t="array" ref="M210">_xlfn.TEXTJOIN(", ",TRUE,
_xlfn._xlws.FILTER($R$2:$R$101,
ISNUMBER(SEARCH(LOWER($R$2:$R$101),LOWER(B210)))
))</f>
        <v>idiot, guilty</v>
      </c>
      <c r="N210">
        <f t="shared" si="3"/>
        <v>2</v>
      </c>
      <c r="O210" s="6" t="str" cm="1">
        <f t="array" ref="O210">_xlfn.TEXTJOIN(", ",TRUE,
_xlfn.UNIQUE(
_xlfn._xlws.FILTER($S$2:$S$200,
ISNUMBER(SEARCH(LOWER($R$2:$R$200),LOWER(B210)))
)
))</f>
        <v>Intelligence based, Legality based</v>
      </c>
      <c r="P210" cm="1">
        <f t="array" aca="1" ref="P210" ca="1">IFERROR(
    IF(N210=0, 0,
        SUMPRODUCT(
            N(
                _xlfn.IFNA(
                    VLOOKUP(
                        TRIM(MID(SUBSTITUTE(M210,",",REPT(" ",100)),
                        (ROW(INDIRECT("1:" &amp; LEN(M210)-LEN(SUBSTITUTE(M210,",","")) + 1))-1)*100 + 1, 100)),
                        $R$2:$T$101, 3, FALSE
                    ), 0)
            )
        ) / N210
    ),
0)</f>
        <v>1.5</v>
      </c>
    </row>
    <row r="211" spans="1:16">
      <c r="A211">
        <v>210</v>
      </c>
      <c r="B211" s="4" t="s">
        <v>402</v>
      </c>
      <c r="C211" s="1">
        <v>3</v>
      </c>
      <c r="D211" s="1">
        <v>9</v>
      </c>
      <c r="E211" s="1">
        <v>0</v>
      </c>
      <c r="F211" s="1">
        <v>0</v>
      </c>
      <c r="G211" s="1">
        <v>0</v>
      </c>
      <c r="H211" s="1">
        <v>0</v>
      </c>
      <c r="I211" s="1">
        <v>3</v>
      </c>
      <c r="J211" s="1">
        <v>0</v>
      </c>
      <c r="K211" s="1">
        <v>0</v>
      </c>
      <c r="L211" s="1">
        <v>0</v>
      </c>
      <c r="M211" s="6" t="str" cm="1">
        <f t="array" ref="M211">_xlfn.TEXTJOIN(", ",TRUE,
_xlfn._xlws.FILTER($R$2:$R$101,
ISNUMBER(SEARCH(LOWER($R$2:$R$101),LOWER(B211)))
))</f>
        <v>bogan</v>
      </c>
      <c r="N211">
        <f t="shared" si="3"/>
        <v>1</v>
      </c>
      <c r="O211" s="6" t="str" cm="1">
        <f t="array" ref="O211">_xlfn.TEXTJOIN(", ",TRUE,
_xlfn.UNIQUE(
_xlfn._xlws.FILTER($S$2:$S$200,
ISNUMBER(SEARCH(LOWER($R$2:$R$200),LOWER(B211)))
)
))</f>
        <v>Class based</v>
      </c>
      <c r="P211" cm="1">
        <f t="array" aca="1" ref="P211" ca="1">IFERROR(
    IF(N211=0, 0,
        SUMPRODUCT(
            N(
                _xlfn.IFNA(
                    VLOOKUP(
                        TRIM(MID(SUBSTITUTE(M211,",",REPT(" ",100)),
                        (ROW(INDIRECT("1:" &amp; LEN(M211)-LEN(SUBSTITUTE(M211,",","")) + 1))-1)*100 + 1, 100)),
                        $R$2:$T$101, 3, FALSE
                    ), 0)
            )
        ) / N211
    ),
0)</f>
        <v>3</v>
      </c>
    </row>
    <row r="212" spans="1:16" ht="30.75">
      <c r="A212">
        <v>211</v>
      </c>
      <c r="B212" s="4" t="s">
        <v>404</v>
      </c>
      <c r="C212" s="10">
        <v>1.5</v>
      </c>
      <c r="D212" s="1">
        <v>4.5</v>
      </c>
      <c r="E212" s="1">
        <v>0</v>
      </c>
      <c r="F212" s="1">
        <v>0</v>
      </c>
      <c r="G212" s="1">
        <v>0</v>
      </c>
      <c r="H212" s="1">
        <v>0</v>
      </c>
      <c r="I212" s="1">
        <v>3</v>
      </c>
      <c r="J212" s="1">
        <v>0</v>
      </c>
      <c r="K212" s="1">
        <v>0</v>
      </c>
      <c r="L212" s="1">
        <v>0</v>
      </c>
      <c r="M212" s="6" t="str" cm="1">
        <f t="array" ref="M212">_xlfn.TEXTJOIN(", ",TRUE,
_xlfn._xlws.FILTER($R$2:$R$101,
ISNUMBER(SEARCH(LOWER($R$2:$R$101),LOWER(B212)))
))</f>
        <v>bogan</v>
      </c>
      <c r="N212">
        <f t="shared" si="3"/>
        <v>1</v>
      </c>
      <c r="O212" s="6" t="str" cm="1">
        <f t="array" ref="O212">_xlfn.TEXTJOIN(", ",TRUE,
_xlfn.UNIQUE(
_xlfn._xlws.FILTER($S$2:$S$200,
ISNUMBER(SEARCH(LOWER($R$2:$R$200),LOWER(B212)))
)
))</f>
        <v>Class based</v>
      </c>
      <c r="P212" cm="1">
        <f t="array" aca="1" ref="P212" ca="1">IFERROR(
    IF(N212=0, 0,
        SUMPRODUCT(
            N(
                _xlfn.IFNA(
                    VLOOKUP(
                        TRIM(MID(SUBSTITUTE(M212,",",REPT(" ",100)),
                        (ROW(INDIRECT("1:" &amp; LEN(M212)-LEN(SUBSTITUTE(M212,",","")) + 1))-1)*100 + 1, 100)),
                        $R$2:$T$101, 3, FALSE
                    ), 0)
            )
        ) / N212
    ),
0)</f>
        <v>3</v>
      </c>
    </row>
    <row r="213" spans="1:16" ht="45.75">
      <c r="A213">
        <v>212</v>
      </c>
      <c r="B213" s="4" t="s">
        <v>406</v>
      </c>
      <c r="C213" s="1">
        <v>1.5</v>
      </c>
      <c r="D213" s="1">
        <v>4.5</v>
      </c>
      <c r="E213" s="1">
        <v>0</v>
      </c>
      <c r="F213" s="1">
        <v>0</v>
      </c>
      <c r="G213" s="1">
        <v>3</v>
      </c>
      <c r="H213" s="1">
        <v>0</v>
      </c>
      <c r="I213" s="1">
        <v>0</v>
      </c>
      <c r="J213" s="1">
        <v>0</v>
      </c>
      <c r="K213" s="1">
        <v>0</v>
      </c>
      <c r="L213" s="1">
        <v>0</v>
      </c>
      <c r="M213" s="6" t="str" cm="1">
        <f t="array" ref="M213">_xlfn.TEXTJOIN(", ",TRUE,
_xlfn._xlws.FILTER($R$2:$R$101,
ISNUMBER(SEARCH(LOWER($R$2:$R$101),LOWER(B213)))
))</f>
        <v>idiot, guilty</v>
      </c>
      <c r="N213">
        <f t="shared" si="3"/>
        <v>2</v>
      </c>
      <c r="O213" s="6" t="str" cm="1">
        <f t="array" ref="O213">_xlfn.TEXTJOIN(", ",TRUE,
_xlfn.UNIQUE(
_xlfn._xlws.FILTER($S$2:$S$200,
ISNUMBER(SEARCH(LOWER($R$2:$R$200),LOWER(B213)))
)
))</f>
        <v>Intelligence based, Legality based</v>
      </c>
      <c r="P213" cm="1">
        <f t="array" aca="1" ref="P213" ca="1">IFERROR(
    IF(N213=0, 0,
        SUMPRODUCT(
            N(
                _xlfn.IFNA(
                    VLOOKUP(
                        TRIM(MID(SUBSTITUTE(M213,",",REPT(" ",100)),
                        (ROW(INDIRECT("1:" &amp; LEN(M213)-LEN(SUBSTITUTE(M213,",","")) + 1))-1)*100 + 1, 100)),
                        $R$2:$T$101, 3, FALSE
                    ), 0)
            )
        ) / N213
    ),
0)</f>
        <v>1.5</v>
      </c>
    </row>
    <row r="214" spans="1:16" ht="106.5">
      <c r="A214">
        <v>213</v>
      </c>
      <c r="B214" s="4" t="s">
        <v>408</v>
      </c>
      <c r="C214" s="1">
        <v>0</v>
      </c>
      <c r="D214" s="1">
        <v>0</v>
      </c>
      <c r="E214" s="1">
        <v>0</v>
      </c>
      <c r="F214" s="1">
        <v>0</v>
      </c>
      <c r="G214" s="1">
        <v>0</v>
      </c>
      <c r="H214" s="1">
        <v>0</v>
      </c>
      <c r="I214" s="1">
        <v>0</v>
      </c>
      <c r="J214" s="1">
        <v>0</v>
      </c>
      <c r="K214" s="1">
        <v>0</v>
      </c>
      <c r="L214" s="1">
        <v>0</v>
      </c>
      <c r="M214" s="6" t="str" cm="1">
        <f t="array" ref="M214">_xlfn.TEXTJOIN(", ",TRUE,
_xlfn._xlws.FILTER($R$2:$R$101,
ISNUMBER(SEARCH(LOWER($R$2:$R$101),LOWER(B214)))
))</f>
        <v>australia, corby</v>
      </c>
      <c r="N214">
        <f t="shared" si="3"/>
        <v>2</v>
      </c>
      <c r="O214" s="6" t="str" cm="1">
        <f t="array" ref="O214">_xlfn.TEXTJOIN(", ",TRUE,
_xlfn.UNIQUE(
_xlfn._xlws.FILTER($S$2:$S$200,
ISNUMBER(SEARCH(LOWER($R$2:$R$200),LOWER(B214)))
)
))</f>
        <v>Case Related, Familial based</v>
      </c>
      <c r="P214" cm="1">
        <f t="array" aca="1" ref="P214" ca="1">IFERROR(
    IF(N214=0, 0,
        SUMPRODUCT(
            N(
                _xlfn.IFNA(
                    VLOOKUP(
                        TRIM(MID(SUBSTITUTE(M214,",",REPT(" ",100)),
                        (ROW(INDIRECT("1:" &amp; LEN(M214)-LEN(SUBSTITUTE(M214,",","")) + 1))-1)*100 + 1, 100)),
                        $R$2:$T$101, 3, FALSE
                    ), 0)
            )
        ) / N214
    ),
0)</f>
        <v>0</v>
      </c>
    </row>
    <row r="215" spans="1:16">
      <c r="A215">
        <v>214</v>
      </c>
      <c r="B215" s="4" t="s">
        <v>410</v>
      </c>
      <c r="C215" s="1">
        <v>0</v>
      </c>
      <c r="D215" s="1">
        <v>0</v>
      </c>
      <c r="E215" s="1">
        <v>0</v>
      </c>
      <c r="F215" s="1">
        <v>0</v>
      </c>
      <c r="G215" s="1">
        <v>0</v>
      </c>
      <c r="H215" s="1">
        <v>0</v>
      </c>
      <c r="I215" s="1">
        <v>0</v>
      </c>
      <c r="J215" s="1">
        <v>0</v>
      </c>
      <c r="K215" s="1">
        <v>0</v>
      </c>
      <c r="L215" s="1">
        <v>0</v>
      </c>
      <c r="M215" s="6" t="str" cm="1">
        <f t="array" ref="M215">_xlfn.TEXTJOIN(", ",TRUE,
_xlfn._xlws.FILTER($R$2:$R$101,
ISNUMBER(SEARCH(LOWER($R$2:$R$101),LOWER(B215)))
))</f>
        <v>guilty</v>
      </c>
      <c r="N215">
        <f t="shared" si="3"/>
        <v>1</v>
      </c>
      <c r="O215" s="6" t="str" cm="1">
        <f t="array" ref="O215">_xlfn.TEXTJOIN(", ",TRUE,
_xlfn.UNIQUE(
_xlfn._xlws.FILTER($S$2:$S$200,
ISNUMBER(SEARCH(LOWER($R$2:$R$200),LOWER(B215)))
)
))</f>
        <v>Legality based</v>
      </c>
      <c r="P215" cm="1">
        <f t="array" aca="1" ref="P215" ca="1">IFERROR(
    IF(N215=0, 0,
        SUMPRODUCT(
            N(
                _xlfn.IFNA(
                    VLOOKUP(
                        TRIM(MID(SUBSTITUTE(M215,",",REPT(" ",100)),
                        (ROW(INDIRECT("1:" &amp; LEN(M215)-LEN(SUBSTITUTE(M215,",","")) + 1))-1)*100 + 1, 100)),
                        $R$2:$T$101, 3, FALSE
                    ), 0)
            )
        ) / N215
    ),
0)</f>
        <v>0</v>
      </c>
    </row>
    <row r="216" spans="1:16" ht="30.75">
      <c r="A216">
        <v>215</v>
      </c>
      <c r="B216" s="4" t="s">
        <v>412</v>
      </c>
      <c r="C216" s="1">
        <v>0</v>
      </c>
      <c r="D216" s="1">
        <v>0</v>
      </c>
      <c r="E216" s="1">
        <v>0</v>
      </c>
      <c r="F216" s="1">
        <v>0</v>
      </c>
      <c r="G216" s="1">
        <v>0</v>
      </c>
      <c r="H216" s="1">
        <v>0</v>
      </c>
      <c r="I216" s="1">
        <v>0</v>
      </c>
      <c r="J216" s="1">
        <v>0</v>
      </c>
      <c r="K216" s="1">
        <v>0</v>
      </c>
      <c r="L216" s="1">
        <v>0</v>
      </c>
      <c r="N216" t="str">
        <f t="shared" si="3"/>
        <v>0</v>
      </c>
      <c r="O216" s="6" t="str" cm="1">
        <f t="array" ref="O216">_xlfn.TEXTJOIN(", ",TRUE,
_xlfn.UNIQUE(
_xlfn._xlws.FILTER($S$2:$S$200,
ISNUMBER(SEARCH(LOWER($R$2:$R$200),LOWER(B216)))
)
))</f>
        <v/>
      </c>
      <c r="P216" cm="1">
        <f t="array" aca="1" ref="P216" ca="1">IFERROR(
    IF(N216=0, 0,
        SUMPRODUCT(
            N(
                _xlfn.IFNA(
                    VLOOKUP(
                        TRIM(MID(SUBSTITUTE(M216,",",REPT(" ",100)),
                        (ROW(INDIRECT("1:" &amp; LEN(M216)-LEN(SUBSTITUTE(M216,",","")) + 1))-1)*100 + 1, 100)),
                        $R$2:$T$101, 3, FALSE
                    ), 0)
            )
        ) / N216
    ),
0)</f>
        <v>0</v>
      </c>
    </row>
    <row r="217" spans="1:16">
      <c r="A217">
        <v>216</v>
      </c>
      <c r="B217" s="4" t="s">
        <v>414</v>
      </c>
      <c r="C217" s="1">
        <v>0.33333333300000001</v>
      </c>
      <c r="D217" s="1">
        <v>0</v>
      </c>
      <c r="E217" s="1">
        <v>0</v>
      </c>
      <c r="F217" s="1">
        <v>1</v>
      </c>
      <c r="G217" s="1">
        <v>0</v>
      </c>
      <c r="H217" s="1">
        <v>0</v>
      </c>
      <c r="I217" s="1">
        <v>0</v>
      </c>
      <c r="J217" s="1">
        <v>0</v>
      </c>
      <c r="K217" s="1">
        <v>0</v>
      </c>
      <c r="L217" s="1">
        <v>0</v>
      </c>
      <c r="M217" s="6" t="str" cm="1">
        <f t="array" ref="M217">_xlfn.TEXTJOIN(", ",TRUE,
_xlfn._xlws.FILTER($R$2:$R$101,
ISNUMBER(SEARCH(LOWER($R$2:$R$101),LOWER(B217)))
))</f>
        <v>australian, australia, criminal</v>
      </c>
      <c r="N217">
        <f t="shared" si="3"/>
        <v>3</v>
      </c>
      <c r="O217" s="6" t="str" cm="1">
        <f t="array" ref="O217">_xlfn.TEXTJOIN(", ",TRUE,
_xlfn.UNIQUE(
_xlfn._xlws.FILTER($S$2:$S$200,
ISNUMBER(SEARCH(LOWER($R$2:$R$200),LOWER(B217)))
)
))</f>
        <v>Case Related, Crime based</v>
      </c>
      <c r="P217" cm="1">
        <f t="array" aca="1" ref="P217" ca="1">IFERROR(
    IF(N217=0, 0,
        SUMPRODUCT(
            N(
                _xlfn.IFNA(
                    VLOOKUP(
                        TRIM(MID(SUBSTITUTE(M217,",",REPT(" ",100)),
                        (ROW(INDIRECT("1:" &amp; LEN(M217)-LEN(SUBSTITUTE(M217,",","")) + 1))-1)*100 + 1, 100)),
                        $R$2:$T$101, 3, FALSE
                    ), 0)
            )
        ) / N217
    ),
0)</f>
        <v>0.33333333333333331</v>
      </c>
    </row>
    <row r="218" spans="1:16" ht="60.75">
      <c r="A218">
        <v>217</v>
      </c>
      <c r="B218" s="4" t="s">
        <v>416</v>
      </c>
      <c r="C218" s="1">
        <v>0.33333333300000001</v>
      </c>
      <c r="D218" s="1">
        <v>0</v>
      </c>
      <c r="E218" s="1">
        <v>0</v>
      </c>
      <c r="F218" s="1">
        <v>1</v>
      </c>
      <c r="G218" s="1">
        <v>0</v>
      </c>
      <c r="H218" s="1">
        <v>0</v>
      </c>
      <c r="I218" s="1">
        <v>0</v>
      </c>
      <c r="J218" s="1">
        <v>0</v>
      </c>
      <c r="K218" s="1">
        <v>0</v>
      </c>
      <c r="L218" s="1">
        <v>0</v>
      </c>
      <c r="M218" s="6" t="str" cm="1">
        <f t="array" ref="M218">_xlfn.TEXTJOIN(", ",TRUE,
_xlfn._xlws.FILTER($R$2:$R$101,
ISNUMBER(SEARCH(LOWER($R$2:$R$101),LOWER(B218)))
))</f>
        <v>australian, australia, criminal</v>
      </c>
      <c r="N218">
        <f t="shared" si="3"/>
        <v>3</v>
      </c>
      <c r="O218" s="6" t="str" cm="1">
        <f t="array" ref="O218">_xlfn.TEXTJOIN(", ",TRUE,
_xlfn.UNIQUE(
_xlfn._xlws.FILTER($S$2:$S$200,
ISNUMBER(SEARCH(LOWER($R$2:$R$200),LOWER(B218)))
)
))</f>
        <v>Case Related, Crime based</v>
      </c>
      <c r="P218" cm="1">
        <f t="array" aca="1" ref="P218" ca="1">IFERROR(
    IF(N218=0, 0,
        SUMPRODUCT(
            N(
                _xlfn.IFNA(
                    VLOOKUP(
                        TRIM(MID(SUBSTITUTE(M218,",",REPT(" ",100)),
                        (ROW(INDIRECT("1:" &amp; LEN(M218)-LEN(SUBSTITUTE(M218,",","")) + 1))-1)*100 + 1, 100)),
                        $R$2:$T$101, 3, FALSE
                    ), 0)
            )
        ) / N218
    ),
0)</f>
        <v>0.33333333333333331</v>
      </c>
    </row>
    <row r="219" spans="1:16" ht="16.5">
      <c r="A219">
        <v>218</v>
      </c>
      <c r="B219" s="4" t="s">
        <v>418</v>
      </c>
      <c r="C219" s="1">
        <v>0.5</v>
      </c>
      <c r="D219" s="1">
        <v>0</v>
      </c>
      <c r="E219" s="1">
        <v>0</v>
      </c>
      <c r="F219" s="1">
        <v>1</v>
      </c>
      <c r="G219" s="1">
        <v>0</v>
      </c>
      <c r="H219" s="1">
        <v>0</v>
      </c>
      <c r="I219" s="1">
        <v>0</v>
      </c>
      <c r="J219" s="1">
        <v>0</v>
      </c>
      <c r="K219" s="1">
        <v>0</v>
      </c>
      <c r="L219" s="1">
        <v>0</v>
      </c>
      <c r="M219" s="6" t="str" cm="1">
        <f t="array" ref="M219">_xlfn.TEXTJOIN(", ",TRUE,
_xlfn._xlws.FILTER($R$2:$R$101,
ISNUMBER(SEARCH(LOWER($R$2:$R$101),LOWER(B219)))
))</f>
        <v>australia, criminal</v>
      </c>
      <c r="N219">
        <f t="shared" si="3"/>
        <v>2</v>
      </c>
      <c r="O219" s="6" t="str" cm="1">
        <f t="array" ref="O219">_xlfn.TEXTJOIN(", ",TRUE,
_xlfn.UNIQUE(
_xlfn._xlws.FILTER($S$2:$S$200,
ISNUMBER(SEARCH(LOWER($R$2:$R$200),LOWER(B219)))
)
))</f>
        <v>Case Related, Crime based</v>
      </c>
      <c r="P219" cm="1">
        <f t="array" aca="1" ref="P219" ca="1">IFERROR(
    IF(N219=0, 0,
        SUMPRODUCT(
            N(
                _xlfn.IFNA(
                    VLOOKUP(
                        TRIM(MID(SUBSTITUTE(M219,",",REPT(" ",100)),
                        (ROW(INDIRECT("1:" &amp; LEN(M219)-LEN(SUBSTITUTE(M219,",","")) + 1))-1)*100 + 1, 100)),
                        $R$2:$T$101, 3, FALSE
                    ), 0)
            )
        ) / N219
    ),
0)</f>
        <v>0.5</v>
      </c>
    </row>
    <row r="220" spans="1:16" ht="32.25">
      <c r="A220">
        <v>219</v>
      </c>
      <c r="B220" s="4" t="s">
        <v>420</v>
      </c>
      <c r="C220" s="1">
        <v>0</v>
      </c>
      <c r="D220" s="1">
        <v>0</v>
      </c>
      <c r="E220" s="1">
        <v>0</v>
      </c>
      <c r="F220" s="1">
        <v>0</v>
      </c>
      <c r="G220" s="1">
        <v>0</v>
      </c>
      <c r="H220" s="1">
        <v>0</v>
      </c>
      <c r="I220" s="1">
        <v>0</v>
      </c>
      <c r="J220" s="1">
        <v>0</v>
      </c>
      <c r="K220" s="1">
        <v>0</v>
      </c>
      <c r="L220" s="1">
        <v>0</v>
      </c>
      <c r="M220" s="6" t="str" cm="1">
        <f t="array" ref="M220">_xlfn.TEXTJOIN(", ",TRUE,
_xlfn._xlws.FILTER($R$2:$R$101,
ISNUMBER(SEARCH(LOWER($R$2:$R$101),LOWER(B220)))
))</f>
        <v>australia</v>
      </c>
      <c r="N220">
        <f t="shared" si="3"/>
        <v>1</v>
      </c>
      <c r="O220" s="6" t="str" cm="1">
        <f t="array" ref="O220">_xlfn.TEXTJOIN(", ",TRUE,
_xlfn.UNIQUE(
_xlfn._xlws.FILTER($S$2:$S$200,
ISNUMBER(SEARCH(LOWER($R$2:$R$200),LOWER(B220)))
)
))</f>
        <v>Case Related</v>
      </c>
      <c r="P220" cm="1">
        <f t="array" aca="1" ref="P220" ca="1">IFERROR(
    IF(N220=0, 0,
        SUMPRODUCT(
            N(
                _xlfn.IFNA(
                    VLOOKUP(
                        TRIM(MID(SUBSTITUTE(M220,",",REPT(" ",100)),
                        (ROW(INDIRECT("1:" &amp; LEN(M220)-LEN(SUBSTITUTE(M220,",","")) + 1))-1)*100 + 1, 100)),
                        $R$2:$T$101, 3, FALSE
                    ), 0)
            )
        ) / N220
    ),
0)</f>
        <v>0</v>
      </c>
    </row>
    <row r="221" spans="1:16" ht="60.75">
      <c r="A221">
        <v>220</v>
      </c>
      <c r="B221" s="4" t="s">
        <v>422</v>
      </c>
      <c r="C221" s="1">
        <v>1</v>
      </c>
      <c r="D221" s="1">
        <v>1.5</v>
      </c>
      <c r="E221" s="1">
        <v>0</v>
      </c>
      <c r="F221" s="1">
        <v>1</v>
      </c>
      <c r="G221" s="1">
        <v>1</v>
      </c>
      <c r="H221" s="1">
        <v>0</v>
      </c>
      <c r="I221" s="1">
        <v>0</v>
      </c>
      <c r="J221" s="1">
        <v>0</v>
      </c>
      <c r="K221" s="1">
        <v>0</v>
      </c>
      <c r="L221" s="1">
        <v>0</v>
      </c>
      <c r="M221" s="6" t="str" cm="1">
        <f t="array" ref="M221">_xlfn.TEXTJOIN(", ",TRUE,
_xlfn._xlws.FILTER($R$2:$R$101,
ISNUMBER(SEARCH(LOWER($R$2:$R$101),LOWER(B221)))
))</f>
        <v>criminal, af</v>
      </c>
      <c r="N221">
        <f t="shared" si="3"/>
        <v>2</v>
      </c>
      <c r="O221" s="6" t="str" cm="1">
        <f t="array" ref="O221">_xlfn.TEXTJOIN(", ",TRUE,
_xlfn.UNIQUE(
_xlfn._xlws.FILTER($S$2:$S$200,
ISNUMBER(SEARCH(LOWER($R$2:$R$200),LOWER(B221)))
)
))</f>
        <v>Crime based, Intelligence based</v>
      </c>
      <c r="P221" cm="1">
        <f t="array" aca="1" ref="P221" ca="1">IFERROR(
    IF(N221=0, 0,
        SUMPRODUCT(
            N(
                _xlfn.IFNA(
                    VLOOKUP(
                        TRIM(MID(SUBSTITUTE(M221,",",REPT(" ",100)),
                        (ROW(INDIRECT("1:" &amp; LEN(M221)-LEN(SUBSTITUTE(M221,",","")) + 1))-1)*100 + 1, 100)),
                        $R$2:$T$101, 3, FALSE
                    ), 0)
            )
        ) / N221
    ),
0)</f>
        <v>1</v>
      </c>
    </row>
    <row r="222" spans="1:16" ht="32.25">
      <c r="A222">
        <v>221</v>
      </c>
      <c r="B222" s="4" t="s">
        <v>424</v>
      </c>
      <c r="C222" s="1">
        <v>0</v>
      </c>
      <c r="D222" s="1">
        <v>0</v>
      </c>
      <c r="E222" s="1">
        <v>0</v>
      </c>
      <c r="F222" s="1">
        <v>0</v>
      </c>
      <c r="G222" s="1">
        <v>0</v>
      </c>
      <c r="H222" s="1">
        <v>0</v>
      </c>
      <c r="I222" s="1">
        <v>0</v>
      </c>
      <c r="J222" s="1">
        <v>0</v>
      </c>
      <c r="K222" s="1">
        <v>0</v>
      </c>
      <c r="L222" s="1">
        <v>0</v>
      </c>
      <c r="N222" t="str">
        <f t="shared" si="3"/>
        <v>0</v>
      </c>
      <c r="O222" s="6" t="str" cm="1">
        <f t="array" ref="O222">_xlfn.TEXTJOIN(", ",TRUE,
_xlfn.UNIQUE(
_xlfn._xlws.FILTER($S$2:$S$200,
ISNUMBER(SEARCH(LOWER($R$2:$R$200),LOWER(B222)))
)
))</f>
        <v/>
      </c>
      <c r="P222" cm="1">
        <f t="array" aca="1" ref="P222" ca="1">IFERROR(
    IF(N222=0, 0,
        SUMPRODUCT(
            N(
                _xlfn.IFNA(
                    VLOOKUP(
                        TRIM(MID(SUBSTITUTE(M222,",",REPT(" ",100)),
                        (ROW(INDIRECT("1:" &amp; LEN(M222)-LEN(SUBSTITUTE(M222,",","")) + 1))-1)*100 + 1, 100)),
                        $R$2:$T$101, 3, FALSE
                    ), 0)
            )
        ) / N222
    ),
0)</f>
        <v>0</v>
      </c>
    </row>
    <row r="223" spans="1:16">
      <c r="A223">
        <v>222</v>
      </c>
      <c r="B223" s="4" t="s">
        <v>426</v>
      </c>
      <c r="C223" s="1">
        <v>0</v>
      </c>
      <c r="D223" s="1">
        <v>0</v>
      </c>
      <c r="E223" s="1">
        <v>0</v>
      </c>
      <c r="F223" s="1">
        <v>0</v>
      </c>
      <c r="G223" s="1">
        <v>0</v>
      </c>
      <c r="H223" s="1">
        <v>0</v>
      </c>
      <c r="I223" s="1">
        <v>0</v>
      </c>
      <c r="J223" s="1">
        <v>0</v>
      </c>
      <c r="K223" s="1">
        <v>0</v>
      </c>
      <c r="L223" s="1">
        <v>0</v>
      </c>
      <c r="N223" t="str">
        <f t="shared" si="3"/>
        <v>0</v>
      </c>
      <c r="O223" s="6" t="str" cm="1">
        <f t="array" ref="O223">_xlfn.TEXTJOIN(", ",TRUE,
_xlfn.UNIQUE(
_xlfn._xlws.FILTER($S$2:$S$200,
ISNUMBER(SEARCH(LOWER($R$2:$R$200),LOWER(B223)))
)
))</f>
        <v/>
      </c>
      <c r="P223" cm="1">
        <f t="array" aca="1" ref="P223" ca="1">IFERROR(
    IF(N223=0, 0,
        SUMPRODUCT(
            N(
                _xlfn.IFNA(
                    VLOOKUP(
                        TRIM(MID(SUBSTITUTE(M223,",",REPT(" ",100)),
                        (ROW(INDIRECT("1:" &amp; LEN(M223)-LEN(SUBSTITUTE(M223,",","")) + 1))-1)*100 + 1, 100)),
                        $R$2:$T$101, 3, FALSE
                    ), 0)
            )
        ) / N223
    ),
0)</f>
        <v>0</v>
      </c>
    </row>
    <row r="224" spans="1:16" ht="16.5">
      <c r="A224">
        <v>223</v>
      </c>
      <c r="B224" s="4" t="s">
        <v>428</v>
      </c>
      <c r="C224" s="1">
        <v>0</v>
      </c>
      <c r="D224" s="1">
        <v>0</v>
      </c>
      <c r="E224" s="1">
        <v>0</v>
      </c>
      <c r="F224" s="1">
        <v>0</v>
      </c>
      <c r="G224" s="1">
        <v>0</v>
      </c>
      <c r="H224" s="1">
        <v>0</v>
      </c>
      <c r="I224" s="1">
        <v>0</v>
      </c>
      <c r="J224" s="1">
        <v>0</v>
      </c>
      <c r="K224" s="1">
        <v>0</v>
      </c>
      <c r="L224" s="1">
        <v>0</v>
      </c>
      <c r="N224" t="str">
        <f t="shared" si="3"/>
        <v>0</v>
      </c>
      <c r="O224" s="6" t="str" cm="1">
        <f t="array" ref="O224">_xlfn.TEXTJOIN(", ",TRUE,
_xlfn.UNIQUE(
_xlfn._xlws.FILTER($S$2:$S$200,
ISNUMBER(SEARCH(LOWER($R$2:$R$200),LOWER(B224)))
)
))</f>
        <v/>
      </c>
      <c r="P224" cm="1">
        <f t="array" aca="1" ref="P224" ca="1">IFERROR(
    IF(N224=0, 0,
        SUMPRODUCT(
            N(
                _xlfn.IFNA(
                    VLOOKUP(
                        TRIM(MID(SUBSTITUTE(M224,",",REPT(" ",100)),
                        (ROW(INDIRECT("1:" &amp; LEN(M224)-LEN(SUBSTITUTE(M224,",","")) + 1))-1)*100 + 1, 100)),
                        $R$2:$T$101, 3, FALSE
                    ), 0)
            )
        ) / N224
    ),
0)</f>
        <v>0</v>
      </c>
    </row>
    <row r="225" spans="1:16">
      <c r="A225">
        <v>224</v>
      </c>
      <c r="B225" s="4" t="s">
        <v>430</v>
      </c>
      <c r="C225" s="1">
        <v>0</v>
      </c>
      <c r="D225" s="1">
        <v>0</v>
      </c>
      <c r="E225" s="1">
        <v>0</v>
      </c>
      <c r="F225" s="1">
        <v>0</v>
      </c>
      <c r="G225" s="1">
        <v>0</v>
      </c>
      <c r="H225" s="1">
        <v>0</v>
      </c>
      <c r="I225" s="1">
        <v>0</v>
      </c>
      <c r="J225" s="1">
        <v>0</v>
      </c>
      <c r="K225" s="1">
        <v>0</v>
      </c>
      <c r="L225" s="1">
        <v>0</v>
      </c>
      <c r="N225" t="str">
        <f t="shared" si="3"/>
        <v>0</v>
      </c>
      <c r="O225" s="6" t="str" cm="1">
        <f t="array" ref="O225">_xlfn.TEXTJOIN(", ",TRUE,
_xlfn.UNIQUE(
_xlfn._xlws.FILTER($S$2:$S$200,
ISNUMBER(SEARCH(LOWER($R$2:$R$200),LOWER(B225)))
)
))</f>
        <v/>
      </c>
      <c r="P225" cm="1">
        <f t="array" aca="1" ref="P225" ca="1">IFERROR(
    IF(N225=0, 0,
        SUMPRODUCT(
            N(
                _xlfn.IFNA(
                    VLOOKUP(
                        TRIM(MID(SUBSTITUTE(M225,",",REPT(" ",100)),
                        (ROW(INDIRECT("1:" &amp; LEN(M225)-LEN(SUBSTITUTE(M225,",","")) + 1))-1)*100 + 1, 100)),
                        $R$2:$T$101, 3, FALSE
                    ), 0)
            )
        ) / N225
    ),
0)</f>
        <v>0</v>
      </c>
    </row>
    <row r="226" spans="1:16">
      <c r="A226">
        <v>225</v>
      </c>
      <c r="B226" s="4" t="s">
        <v>432</v>
      </c>
      <c r="C226" s="1">
        <v>0</v>
      </c>
      <c r="D226" s="1">
        <v>0</v>
      </c>
      <c r="E226" s="1">
        <v>0</v>
      </c>
      <c r="F226" s="1">
        <v>0</v>
      </c>
      <c r="G226" s="1">
        <v>0</v>
      </c>
      <c r="H226" s="1">
        <v>0</v>
      </c>
      <c r="I226" s="1">
        <v>0</v>
      </c>
      <c r="J226" s="1">
        <v>0</v>
      </c>
      <c r="K226" s="1">
        <v>0</v>
      </c>
      <c r="L226" s="1">
        <v>0</v>
      </c>
      <c r="N226" t="str">
        <f t="shared" si="3"/>
        <v>0</v>
      </c>
      <c r="O226" s="6" t="str" cm="1">
        <f t="array" ref="O226">_xlfn.TEXTJOIN(", ",TRUE,
_xlfn.UNIQUE(
_xlfn._xlws.FILTER($S$2:$S$200,
ISNUMBER(SEARCH(LOWER($R$2:$R$200),LOWER(B226)))
)
))</f>
        <v/>
      </c>
      <c r="P226" cm="1">
        <f t="array" aca="1" ref="P226" ca="1">IFERROR(
    IF(N226=0, 0,
        SUMPRODUCT(
            N(
                _xlfn.IFNA(
                    VLOOKUP(
                        TRIM(MID(SUBSTITUTE(M226,",",REPT(" ",100)),
                        (ROW(INDIRECT("1:" &amp; LEN(M226)-LEN(SUBSTITUTE(M226,",","")) + 1))-1)*100 + 1, 100)),
                        $R$2:$T$101, 3, FALSE
                    ), 0)
            )
        ) / N226
    ),
0)</f>
        <v>0</v>
      </c>
    </row>
    <row r="227" spans="1:16" ht="45.75">
      <c r="A227">
        <v>226</v>
      </c>
      <c r="B227" s="4" t="s">
        <v>434</v>
      </c>
      <c r="C227" s="1">
        <v>1.5</v>
      </c>
      <c r="D227" s="1">
        <v>4.5</v>
      </c>
      <c r="E227" s="1">
        <v>0</v>
      </c>
      <c r="F227" s="1">
        <v>0</v>
      </c>
      <c r="G227" s="1">
        <v>0</v>
      </c>
      <c r="H227" s="1">
        <v>0</v>
      </c>
      <c r="I227" s="1">
        <v>3</v>
      </c>
      <c r="J227" s="1">
        <v>0</v>
      </c>
      <c r="K227" s="1">
        <v>0</v>
      </c>
      <c r="L227" s="1">
        <v>0</v>
      </c>
      <c r="M227" s="6" t="str" cm="1">
        <f t="array" ref="M227">_xlfn.TEXTJOIN(", ",TRUE,
_xlfn._xlws.FILTER($R$2:$R$101,
ISNUMBER(SEARCH(LOWER($R$2:$R$101),LOWER(B227)))
))</f>
        <v>australia, bogan</v>
      </c>
      <c r="N227">
        <f t="shared" si="3"/>
        <v>2</v>
      </c>
      <c r="O227" s="6" t="str" cm="1">
        <f t="array" ref="O227">_xlfn.TEXTJOIN(", ",TRUE,
_xlfn.UNIQUE(
_xlfn._xlws.FILTER($S$2:$S$200,
ISNUMBER(SEARCH(LOWER($R$2:$R$200),LOWER(B227)))
)
))</f>
        <v>Case Related, Class based</v>
      </c>
      <c r="P227" cm="1">
        <f t="array" aca="1" ref="P227" ca="1">IFERROR(
    IF(N227=0, 0,
        SUMPRODUCT(
            N(
                _xlfn.IFNA(
                    VLOOKUP(
                        TRIM(MID(SUBSTITUTE(M227,",",REPT(" ",100)),
                        (ROW(INDIRECT("1:" &amp; LEN(M227)-LEN(SUBSTITUTE(M227,",","")) + 1))-1)*100 + 1, 100)),
                        $R$2:$T$101, 3, FALSE
                    ), 0)
            )
        ) / N227
    ),
0)</f>
        <v>1.5</v>
      </c>
    </row>
    <row r="228" spans="1:16" ht="45.75">
      <c r="A228">
        <v>227</v>
      </c>
      <c r="B228" s="4" t="s">
        <v>436</v>
      </c>
      <c r="C228" s="1">
        <v>0.33333333300000001</v>
      </c>
      <c r="D228" s="1">
        <v>0</v>
      </c>
      <c r="E228" s="1">
        <v>0</v>
      </c>
      <c r="F228" s="1">
        <v>1</v>
      </c>
      <c r="G228" s="1">
        <v>0</v>
      </c>
      <c r="H228" s="1">
        <v>0</v>
      </c>
      <c r="I228" s="1">
        <v>0</v>
      </c>
      <c r="J228" s="1">
        <v>0</v>
      </c>
      <c r="K228" s="1">
        <v>0</v>
      </c>
      <c r="L228" s="1">
        <v>0</v>
      </c>
      <c r="M228" s="6" t="str" cm="1">
        <f t="array" ref="M228">_xlfn.TEXTJOIN(", ",TRUE,
_xlfn._xlws.FILTER($R$2:$R$101,
ISNUMBER(SEARCH(LOWER($R$2:$R$101),LOWER(B228)))
))</f>
        <v>australian, australia, criminal</v>
      </c>
      <c r="N228">
        <f t="shared" si="3"/>
        <v>3</v>
      </c>
      <c r="O228" s="6" t="str" cm="1">
        <f t="array" ref="O228">_xlfn.TEXTJOIN(", ",TRUE,
_xlfn.UNIQUE(
_xlfn._xlws.FILTER($S$2:$S$200,
ISNUMBER(SEARCH(LOWER($R$2:$R$200),LOWER(B228)))
)
))</f>
        <v>Case Related, Crime based</v>
      </c>
      <c r="P228" cm="1">
        <f t="array" aca="1" ref="P228" ca="1">IFERROR(
    IF(N228=0, 0,
        SUMPRODUCT(
            N(
                _xlfn.IFNA(
                    VLOOKUP(
                        TRIM(MID(SUBSTITUTE(M228,",",REPT(" ",100)),
                        (ROW(INDIRECT("1:" &amp; LEN(M228)-LEN(SUBSTITUTE(M228,",","")) + 1))-1)*100 + 1, 100)),
                        $R$2:$T$101, 3, FALSE
                    ), 0)
            )
        ) / N228
    ),
0)</f>
        <v>0.33333333333333331</v>
      </c>
    </row>
    <row r="229" spans="1:16" ht="16.5">
      <c r="A229">
        <v>228</v>
      </c>
      <c r="B229" s="4" t="s">
        <v>438</v>
      </c>
      <c r="C229" s="1">
        <v>0</v>
      </c>
      <c r="D229" s="1">
        <v>0</v>
      </c>
      <c r="E229" s="1">
        <v>0</v>
      </c>
      <c r="F229" s="1">
        <v>0</v>
      </c>
      <c r="G229" s="1">
        <v>0</v>
      </c>
      <c r="H229" s="1">
        <v>0</v>
      </c>
      <c r="I229" s="1">
        <v>0</v>
      </c>
      <c r="J229" s="1">
        <v>0</v>
      </c>
      <c r="K229" s="1">
        <v>0</v>
      </c>
      <c r="L229" s="1">
        <v>0</v>
      </c>
      <c r="N229" t="str">
        <f t="shared" si="3"/>
        <v>0</v>
      </c>
      <c r="O229" s="6" t="str" cm="1">
        <f t="array" ref="O229">_xlfn.TEXTJOIN(", ",TRUE,
_xlfn.UNIQUE(
_xlfn._xlws.FILTER($S$2:$S$200,
ISNUMBER(SEARCH(LOWER($R$2:$R$200),LOWER(B229)))
)
))</f>
        <v/>
      </c>
      <c r="P229" cm="1">
        <f t="array" aca="1" ref="P229" ca="1">IFERROR(
    IF(N229=0, 0,
        SUMPRODUCT(
            N(
                _xlfn.IFNA(
                    VLOOKUP(
                        TRIM(MID(SUBSTITUTE(M229,",",REPT(" ",100)),
                        (ROW(INDIRECT("1:" &amp; LEN(M229)-LEN(SUBSTITUTE(M229,",","")) + 1))-1)*100 + 1, 100)),
                        $R$2:$T$101, 3, FALSE
                    ), 0)
            )
        ) / N229
    ),
0)</f>
        <v>0</v>
      </c>
    </row>
    <row r="230" spans="1:16" ht="30.75">
      <c r="A230">
        <v>229</v>
      </c>
      <c r="B230" s="4" t="s">
        <v>440</v>
      </c>
      <c r="C230" s="1">
        <v>1</v>
      </c>
      <c r="D230" s="1">
        <v>0</v>
      </c>
      <c r="E230" s="1">
        <v>0</v>
      </c>
      <c r="F230" s="1">
        <v>1</v>
      </c>
      <c r="G230" s="1">
        <v>0</v>
      </c>
      <c r="H230" s="1">
        <v>0</v>
      </c>
      <c r="I230" s="1">
        <v>0</v>
      </c>
      <c r="J230" s="1">
        <v>0</v>
      </c>
      <c r="K230" s="1">
        <v>0</v>
      </c>
      <c r="L230" s="1">
        <v>0</v>
      </c>
      <c r="M230" s="6" t="str" cm="1">
        <f t="array" ref="M230">_xlfn.TEXTJOIN(", ",TRUE,
_xlfn._xlws.FILTER($R$2:$R$101,
ISNUMBER(SEARCH(LOWER($R$2:$R$101),LOWER(B230)))
))</f>
        <v>criminal</v>
      </c>
      <c r="N230">
        <f t="shared" si="3"/>
        <v>1</v>
      </c>
      <c r="O230" s="6" t="str" cm="1">
        <f t="array" ref="O230">_xlfn.TEXTJOIN(", ",TRUE,
_xlfn.UNIQUE(
_xlfn._xlws.FILTER($S$2:$S$200,
ISNUMBER(SEARCH(LOWER($R$2:$R$200),LOWER(B230)))
)
))</f>
        <v>Crime based</v>
      </c>
      <c r="P230" cm="1">
        <f t="array" aca="1" ref="P230" ca="1">IFERROR(
    IF(N230=0, 0,
        SUMPRODUCT(
            N(
                _xlfn.IFNA(
                    VLOOKUP(
                        TRIM(MID(SUBSTITUTE(M230,",",REPT(" ",100)),
                        (ROW(INDIRECT("1:" &amp; LEN(M230)-LEN(SUBSTITUTE(M230,",","")) + 1))-1)*100 + 1, 100)),
                        $R$2:$T$101, 3, FALSE
                    ), 0)
            )
        ) / N230
    ),
0)</f>
        <v>1</v>
      </c>
    </row>
    <row r="231" spans="1:16" ht="45.75">
      <c r="A231">
        <v>230</v>
      </c>
      <c r="B231" s="4" t="s">
        <v>442</v>
      </c>
      <c r="C231" s="1">
        <v>0</v>
      </c>
      <c r="D231" s="1">
        <v>0</v>
      </c>
      <c r="E231" s="1">
        <v>0</v>
      </c>
      <c r="F231" s="1">
        <v>0</v>
      </c>
      <c r="G231" s="1">
        <v>0</v>
      </c>
      <c r="H231" s="1">
        <v>0</v>
      </c>
      <c r="I231" s="1">
        <v>0</v>
      </c>
      <c r="J231" s="1">
        <v>0</v>
      </c>
      <c r="K231" s="1">
        <v>0</v>
      </c>
      <c r="L231" s="1">
        <v>0</v>
      </c>
      <c r="N231" t="str">
        <f t="shared" si="3"/>
        <v>0</v>
      </c>
      <c r="O231" s="6" t="str" cm="1">
        <f t="array" ref="O231">_xlfn.TEXTJOIN(", ",TRUE,
_xlfn.UNIQUE(
_xlfn._xlws.FILTER($S$2:$S$200,
ISNUMBER(SEARCH(LOWER($R$2:$R$200),LOWER(B231)))
)
))</f>
        <v/>
      </c>
      <c r="P231" cm="1">
        <f t="array" aca="1" ref="P231" ca="1">IFERROR(
    IF(N231=0, 0,
        SUMPRODUCT(
            N(
                _xlfn.IFNA(
                    VLOOKUP(
                        TRIM(MID(SUBSTITUTE(M231,",",REPT(" ",100)),
                        (ROW(INDIRECT("1:" &amp; LEN(M231)-LEN(SUBSTITUTE(M231,",","")) + 1))-1)*100 + 1, 100)),
                        $R$2:$T$101, 3, FALSE
                    ), 0)
            )
        ) / N231
    ),
0)</f>
        <v>0</v>
      </c>
    </row>
    <row r="232" spans="1:16">
      <c r="A232">
        <v>231</v>
      </c>
      <c r="B232" s="4" t="s">
        <v>444</v>
      </c>
      <c r="C232" s="1">
        <v>0</v>
      </c>
      <c r="D232" s="1">
        <v>0</v>
      </c>
      <c r="E232" s="1">
        <v>0</v>
      </c>
      <c r="F232" s="1">
        <v>0</v>
      </c>
      <c r="G232" s="1">
        <v>0</v>
      </c>
      <c r="H232" s="1">
        <v>0</v>
      </c>
      <c r="I232" s="1">
        <v>0</v>
      </c>
      <c r="J232" s="1">
        <v>0</v>
      </c>
      <c r="K232" s="1">
        <v>0</v>
      </c>
      <c r="L232" s="1">
        <v>0</v>
      </c>
      <c r="N232" t="str">
        <f t="shared" si="3"/>
        <v>0</v>
      </c>
      <c r="O232" s="6" t="str" cm="1">
        <f t="array" ref="O232">_xlfn.TEXTJOIN(", ",TRUE,
_xlfn.UNIQUE(
_xlfn._xlws.FILTER($S$2:$S$200,
ISNUMBER(SEARCH(LOWER($R$2:$R$200),LOWER(B232)))
)
))</f>
        <v/>
      </c>
      <c r="P232" cm="1">
        <f t="array" aca="1" ref="P232" ca="1">IFERROR(
    IF(N232=0, 0,
        SUMPRODUCT(
            N(
                _xlfn.IFNA(
                    VLOOKUP(
                        TRIM(MID(SUBSTITUTE(M232,",",REPT(" ",100)),
                        (ROW(INDIRECT("1:" &amp; LEN(M232)-LEN(SUBSTITUTE(M232,",","")) + 1))-1)*100 + 1, 100)),
                        $R$2:$T$101, 3, FALSE
                    ), 0)
            )
        ) / N232
    ),
0)</f>
        <v>0</v>
      </c>
    </row>
    <row r="233" spans="1:16" ht="30.75">
      <c r="A233">
        <v>232</v>
      </c>
      <c r="B233" s="4" t="s">
        <v>446</v>
      </c>
      <c r="C233" s="1">
        <v>0</v>
      </c>
      <c r="D233" s="1">
        <v>0</v>
      </c>
      <c r="E233" s="1">
        <v>0</v>
      </c>
      <c r="F233" s="1">
        <v>0</v>
      </c>
      <c r="G233" s="1">
        <v>0</v>
      </c>
      <c r="H233" s="1">
        <v>0</v>
      </c>
      <c r="I233" s="1">
        <v>0</v>
      </c>
      <c r="J233" s="1">
        <v>0</v>
      </c>
      <c r="K233" s="1">
        <v>0</v>
      </c>
      <c r="L233" s="1">
        <v>0</v>
      </c>
      <c r="N233" t="str">
        <f t="shared" si="3"/>
        <v>0</v>
      </c>
      <c r="O233" s="6" t="str" cm="1">
        <f t="array" ref="O233">_xlfn.TEXTJOIN(", ",TRUE,
_xlfn.UNIQUE(
_xlfn._xlws.FILTER($S$2:$S$200,
ISNUMBER(SEARCH(LOWER($R$2:$R$200),LOWER(B233)))
)
))</f>
        <v/>
      </c>
      <c r="P233" cm="1">
        <f t="array" aca="1" ref="P233" ca="1">IFERROR(
    IF(N233=0, 0,
        SUMPRODUCT(
            N(
                _xlfn.IFNA(
                    VLOOKUP(
                        TRIM(MID(SUBSTITUTE(M233,",",REPT(" ",100)),
                        (ROW(INDIRECT("1:" &amp; LEN(M233)-LEN(SUBSTITUTE(M233,",","")) + 1))-1)*100 + 1, 100)),
                        $R$2:$T$101, 3, FALSE
                    ), 0)
            )
        ) / N233
    ),
0)</f>
        <v>0</v>
      </c>
    </row>
    <row r="234" spans="1:16">
      <c r="A234">
        <v>233</v>
      </c>
      <c r="B234" s="4" t="s">
        <v>448</v>
      </c>
      <c r="C234" s="1">
        <v>0</v>
      </c>
      <c r="D234" s="1">
        <v>0</v>
      </c>
      <c r="E234" s="1">
        <v>0</v>
      </c>
      <c r="F234" s="1">
        <v>0</v>
      </c>
      <c r="G234" s="1">
        <v>0</v>
      </c>
      <c r="H234" s="1">
        <v>0</v>
      </c>
      <c r="I234" s="1">
        <v>0</v>
      </c>
      <c r="J234" s="1">
        <v>0</v>
      </c>
      <c r="K234" s="1">
        <v>0</v>
      </c>
      <c r="L234" s="1">
        <v>0</v>
      </c>
      <c r="N234" t="str">
        <f t="shared" si="3"/>
        <v>0</v>
      </c>
      <c r="O234" s="6" t="str" cm="1">
        <f t="array" ref="O234">_xlfn.TEXTJOIN(", ",TRUE,
_xlfn.UNIQUE(
_xlfn._xlws.FILTER($S$2:$S$200,
ISNUMBER(SEARCH(LOWER($R$2:$R$200),LOWER(B234)))
)
))</f>
        <v/>
      </c>
      <c r="P234" cm="1">
        <f t="array" aca="1" ref="P234" ca="1">IFERROR(
    IF(N234=0, 0,
        SUMPRODUCT(
            N(
                _xlfn.IFNA(
                    VLOOKUP(
                        TRIM(MID(SUBSTITUTE(M234,",",REPT(" ",100)),
                        (ROW(INDIRECT("1:" &amp; LEN(M234)-LEN(SUBSTITUTE(M234,",","")) + 1))-1)*100 + 1, 100)),
                        $R$2:$T$101, 3, FALSE
                    ), 0)
            )
        ) / N234
    ),
0)</f>
        <v>0</v>
      </c>
    </row>
    <row r="235" spans="1:16" ht="198">
      <c r="A235">
        <v>234</v>
      </c>
      <c r="B235" s="4" t="s">
        <v>449</v>
      </c>
      <c r="C235" s="10">
        <v>0.428571429</v>
      </c>
      <c r="D235" s="1">
        <v>1.2857142859999999</v>
      </c>
      <c r="E235" s="1">
        <v>0</v>
      </c>
      <c r="F235" s="1">
        <v>0</v>
      </c>
      <c r="G235" s="1">
        <v>0</v>
      </c>
      <c r="H235" s="1">
        <v>0</v>
      </c>
      <c r="I235" s="1">
        <v>0</v>
      </c>
      <c r="J235" s="1">
        <v>0</v>
      </c>
      <c r="K235" s="1">
        <v>3</v>
      </c>
      <c r="L235" s="1">
        <v>0</v>
      </c>
      <c r="M235" s="6" t="str" cm="1">
        <f t="array" ref="M235">_xlfn.TEXTJOIN(", ",TRUE,
_xlfn._xlws.FILTER($R$2:$R$101,
ISNUMBER(SEARCH(LOWER($R$2:$R$101),LOWER(B235)))
))</f>
        <v>indonesia , australia, marijuana , brother, disgusting, guilty</v>
      </c>
      <c r="N235">
        <f t="shared" si="3"/>
        <v>6</v>
      </c>
      <c r="O235" s="6" t="str" cm="1">
        <f t="array" ref="O235">_xlfn.TEXTJOIN(", ",TRUE,
_xlfn.UNIQUE(
_xlfn._xlws.FILTER($S$2:$S$200,
ISNUMBER(SEARCH(LOWER($R$2:$R$200),LOWER(B235)))
)
))</f>
        <v>Case Related, Crime based, Familial based, Moral condemnation, Legality based</v>
      </c>
      <c r="P235" s="7" cm="1">
        <f t="array" aca="1" ref="P235" ca="1">IFERROR(
    IF(N235=0, 0,
        SUMPRODUCT(
            N(
                _xlfn.IFNA(
                    VLOOKUP(
                        TRIM(MID(SUBSTITUTE(M235,",",REPT(" ",100)),
                        (ROW(INDIRECT("1:" &amp; LEN(M235)-LEN(SUBSTITUTE(M235,",","")) + 1))-1)*100 + 1, 100)),
                        $R$2:$T$101, 3, FALSE
                    ), 0)
            )
        ) / N235
    ),
0)</f>
        <v>0.5</v>
      </c>
    </row>
    <row r="236" spans="1:16" ht="30.75">
      <c r="A236">
        <v>235</v>
      </c>
      <c r="B236" s="4" t="s">
        <v>451</v>
      </c>
      <c r="C236" s="1">
        <v>0</v>
      </c>
      <c r="D236" s="1">
        <v>0</v>
      </c>
      <c r="E236" s="1">
        <v>0</v>
      </c>
      <c r="F236" s="1">
        <v>0</v>
      </c>
      <c r="G236" s="1">
        <v>0</v>
      </c>
      <c r="H236" s="1">
        <v>0</v>
      </c>
      <c r="I236" s="1">
        <v>0</v>
      </c>
      <c r="J236" s="1">
        <v>0</v>
      </c>
      <c r="K236" s="1">
        <v>0</v>
      </c>
      <c r="L236" s="1">
        <v>0</v>
      </c>
      <c r="M236" s="6" t="str" cm="1">
        <f t="array" ref="M236">_xlfn.TEXTJOIN(", ",TRUE,
_xlfn._xlws.FILTER($R$2:$R$101,
ISNUMBER(SEARCH(LOWER($R$2:$R$101),LOWER(B236)))
))</f>
        <v>sister</v>
      </c>
      <c r="N236">
        <f t="shared" si="3"/>
        <v>1</v>
      </c>
      <c r="O236" s="6" t="str" cm="1">
        <f t="array" ref="O236">_xlfn.TEXTJOIN(", ",TRUE,
_xlfn.UNIQUE(
_xlfn._xlws.FILTER($S$2:$S$200,
ISNUMBER(SEARCH(LOWER($R$2:$R$200),LOWER(B236)))
)
))</f>
        <v>Familial based</v>
      </c>
      <c r="P236" cm="1">
        <f t="array" aca="1" ref="P236" ca="1">IFERROR(
    IF(N236=0, 0,
        SUMPRODUCT(
            N(
                _xlfn.IFNA(
                    VLOOKUP(
                        TRIM(MID(SUBSTITUTE(M236,",",REPT(" ",100)),
                        (ROW(INDIRECT("1:" &amp; LEN(M236)-LEN(SUBSTITUTE(M236,",","")) + 1))-1)*100 + 1, 100)),
                        $R$2:$T$101, 3, FALSE
                    ), 0)
            )
        ) / N236
    ),
0)</f>
        <v>0</v>
      </c>
    </row>
    <row r="237" spans="1:16">
      <c r="A237">
        <v>236</v>
      </c>
      <c r="B237" s="4" t="s">
        <v>453</v>
      </c>
      <c r="C237" s="1">
        <v>0</v>
      </c>
      <c r="D237" s="1">
        <v>0</v>
      </c>
      <c r="E237" s="1">
        <v>0</v>
      </c>
      <c r="F237" s="1">
        <v>0</v>
      </c>
      <c r="G237" s="1">
        <v>0</v>
      </c>
      <c r="H237" s="1">
        <v>0</v>
      </c>
      <c r="I237" s="1">
        <v>0</v>
      </c>
      <c r="J237" s="1">
        <v>0</v>
      </c>
      <c r="K237" s="1">
        <v>0</v>
      </c>
      <c r="L237" s="1">
        <v>0</v>
      </c>
      <c r="N237" t="str">
        <f t="shared" si="3"/>
        <v>0</v>
      </c>
      <c r="O237" s="6" t="str" cm="1">
        <f t="array" ref="O237">_xlfn.TEXTJOIN(", ",TRUE,
_xlfn.UNIQUE(
_xlfn._xlws.FILTER($S$2:$S$200,
ISNUMBER(SEARCH(LOWER($R$2:$R$200),LOWER(B237)))
)
))</f>
        <v/>
      </c>
      <c r="P237" cm="1">
        <f t="array" aca="1" ref="P237" ca="1">IFERROR(
    IF(N237=0, 0,
        SUMPRODUCT(
            N(
                _xlfn.IFNA(
                    VLOOKUP(
                        TRIM(MID(SUBSTITUTE(M237,",",REPT(" ",100)),
                        (ROW(INDIRECT("1:" &amp; LEN(M237)-LEN(SUBSTITUTE(M237,",","")) + 1))-1)*100 + 1, 100)),
                        $R$2:$T$101, 3, FALSE
                    ), 0)
            )
        ) / N237
    ),
0)</f>
        <v>0</v>
      </c>
    </row>
    <row r="238" spans="1:16" ht="30.75">
      <c r="A238">
        <v>237</v>
      </c>
      <c r="B238" s="4" t="s">
        <v>455</v>
      </c>
      <c r="C238" s="1">
        <v>0</v>
      </c>
      <c r="D238" s="1">
        <v>0</v>
      </c>
      <c r="E238" s="1">
        <v>0</v>
      </c>
      <c r="F238" s="1">
        <v>0</v>
      </c>
      <c r="G238" s="1">
        <v>0</v>
      </c>
      <c r="H238" s="1">
        <v>0</v>
      </c>
      <c r="I238" s="1">
        <v>0</v>
      </c>
      <c r="J238" s="1">
        <v>0</v>
      </c>
      <c r="K238" s="1">
        <v>0</v>
      </c>
      <c r="L238" s="1">
        <v>0</v>
      </c>
      <c r="N238">
        <v>0</v>
      </c>
      <c r="O238" s="6" t="str" cm="1">
        <f t="array" ref="O238">_xlfn.TEXTJOIN(", ",TRUE,
_xlfn.UNIQUE(
_xlfn._xlws.FILTER($S$2:$S$200,
ISNUMBER(SEARCH(LOWER($R$2:$R$200),LOWER(B238)))
)
))</f>
        <v/>
      </c>
      <c r="P238" cm="1">
        <f t="array" aca="1" ref="P238" ca="1">IFERROR(
    IF(N238=0, 0,
        SUMPRODUCT(
            N(
                _xlfn.IFNA(
                    VLOOKUP(
                        TRIM(MID(SUBSTITUTE(M238,",",REPT(" ",100)),
                        (ROW(INDIRECT("1:" &amp; LEN(M238)-LEN(SUBSTITUTE(M238,",","")) + 1))-1)*100 + 1, 100)),
                        $R$2:$T$101, 3, FALSE
                    ), 0)
            )
        ) / N238
    ),
0)</f>
        <v>0</v>
      </c>
    </row>
    <row r="239" spans="1:16">
      <c r="A239">
        <v>238</v>
      </c>
      <c r="B239" s="4" t="s">
        <v>457</v>
      </c>
      <c r="C239" s="1">
        <v>0</v>
      </c>
      <c r="D239" s="1">
        <v>0</v>
      </c>
      <c r="E239" s="1">
        <v>0</v>
      </c>
      <c r="F239" s="1">
        <v>0</v>
      </c>
      <c r="G239" s="1">
        <v>0</v>
      </c>
      <c r="H239" s="1">
        <v>0</v>
      </c>
      <c r="I239" s="1">
        <v>0</v>
      </c>
      <c r="J239" s="1">
        <v>0</v>
      </c>
      <c r="K239" s="1">
        <v>0</v>
      </c>
      <c r="L239" s="1">
        <v>0</v>
      </c>
      <c r="N239">
        <v>0</v>
      </c>
      <c r="O239" s="6" t="str" cm="1">
        <f t="array" ref="O239">_xlfn.TEXTJOIN(", ",TRUE,
_xlfn.UNIQUE(
_xlfn._xlws.FILTER($S$2:$S$200,
ISNUMBER(SEARCH(LOWER($R$2:$R$200),LOWER(B239)))
)
))</f>
        <v/>
      </c>
      <c r="P239" cm="1">
        <f t="array" aca="1" ref="P239" ca="1">IFERROR(
    IF(N239=0, 0,
        SUMPRODUCT(
            N(
                _xlfn.IFNA(
                    VLOOKUP(
                        TRIM(MID(SUBSTITUTE(M239,",",REPT(" ",100)),
                        (ROW(INDIRECT("1:" &amp; LEN(M239)-LEN(SUBSTITUTE(M239,",","")) + 1))-1)*100 + 1, 100)),
                        $R$2:$T$101, 3, FALSE
                    ), 0)
            )
        ) / N239
    ),
0)</f>
        <v>0</v>
      </c>
    </row>
    <row r="240" spans="1:16">
      <c r="A240">
        <v>239</v>
      </c>
      <c r="B240" s="4" t="s">
        <v>459</v>
      </c>
      <c r="C240" s="1">
        <v>0</v>
      </c>
      <c r="D240" s="1">
        <v>0</v>
      </c>
      <c r="E240" s="1">
        <v>0</v>
      </c>
      <c r="F240" s="1">
        <v>0</v>
      </c>
      <c r="G240" s="1">
        <v>0</v>
      </c>
      <c r="H240" s="1">
        <v>0</v>
      </c>
      <c r="I240" s="1">
        <v>0</v>
      </c>
      <c r="J240" s="1">
        <v>0</v>
      </c>
      <c r="K240" s="1">
        <v>0</v>
      </c>
      <c r="L240" s="1">
        <v>0</v>
      </c>
      <c r="N240">
        <v>0</v>
      </c>
      <c r="O240" s="6" t="str" cm="1">
        <f t="array" ref="O240">_xlfn.TEXTJOIN(", ",TRUE,
_xlfn.UNIQUE(
_xlfn._xlws.FILTER($S$2:$S$200,
ISNUMBER(SEARCH(LOWER($R$2:$R$200),LOWER(B240)))
)
))</f>
        <v/>
      </c>
      <c r="P240" cm="1">
        <f t="array" aca="1" ref="P240" ca="1">IFERROR(
    IF(N240=0, 0,
        SUMPRODUCT(
            N(
                _xlfn.IFNA(
                    VLOOKUP(
                        TRIM(MID(SUBSTITUTE(M240,",",REPT(" ",100)),
                        (ROW(INDIRECT("1:" &amp; LEN(M240)-LEN(SUBSTITUTE(M240,",","")) + 1))-1)*100 + 1, 100)),
                        $R$2:$T$101, 3, FALSE
                    ), 0)
            )
        ) / N240
    ),
0)</f>
        <v>0</v>
      </c>
    </row>
    <row r="241" spans="1:16">
      <c r="A241">
        <v>240</v>
      </c>
      <c r="B241" s="4" t="s">
        <v>461</v>
      </c>
      <c r="C241" s="1">
        <v>0</v>
      </c>
      <c r="D241" s="1">
        <v>0</v>
      </c>
      <c r="E241" s="1">
        <v>0</v>
      </c>
      <c r="F241" s="1">
        <v>0</v>
      </c>
      <c r="G241" s="1">
        <v>0</v>
      </c>
      <c r="H241" s="1">
        <v>0</v>
      </c>
      <c r="I241" s="1">
        <v>0</v>
      </c>
      <c r="J241" s="1">
        <v>0</v>
      </c>
      <c r="K241" s="1">
        <v>0</v>
      </c>
      <c r="L241" s="1">
        <v>0</v>
      </c>
      <c r="N241">
        <v>0</v>
      </c>
      <c r="O241" s="6" t="str" cm="1">
        <f t="array" ref="O241">_xlfn.TEXTJOIN(", ",TRUE,
_xlfn.UNIQUE(
_xlfn._xlws.FILTER($S$2:$S$200,
ISNUMBER(SEARCH(LOWER($R$2:$R$200),LOWER(B241)))
)
))</f>
        <v/>
      </c>
      <c r="P241" cm="1">
        <f t="array" aca="1" ref="P241" ca="1">IFERROR(
    IF(N241=0, 0,
        SUMPRODUCT(
            N(
                _xlfn.IFNA(
                    VLOOKUP(
                        TRIM(MID(SUBSTITUTE(M241,",",REPT(" ",100)),
                        (ROW(INDIRECT("1:" &amp; LEN(M241)-LEN(SUBSTITUTE(M241,",","")) + 1))-1)*100 + 1, 100)),
                        $R$2:$T$101, 3, FALSE
                    ), 0)
            )
        ) / N241
    ),
0)</f>
        <v>0</v>
      </c>
    </row>
    <row r="242" spans="1:16">
      <c r="A242">
        <v>241</v>
      </c>
      <c r="B242" s="4" t="s">
        <v>463</v>
      </c>
      <c r="C242" s="1">
        <v>0</v>
      </c>
      <c r="D242" s="1">
        <v>0</v>
      </c>
      <c r="E242" s="1">
        <v>0</v>
      </c>
      <c r="F242" s="1">
        <v>0</v>
      </c>
      <c r="G242" s="1">
        <v>0</v>
      </c>
      <c r="H242" s="1">
        <v>0</v>
      </c>
      <c r="I242" s="1">
        <v>0</v>
      </c>
      <c r="J242" s="1">
        <v>0</v>
      </c>
      <c r="K242" s="1">
        <v>0</v>
      </c>
      <c r="L242" s="1">
        <v>0</v>
      </c>
      <c r="M242" s="6" t="str" cm="1">
        <f t="array" ref="M242">_xlfn.TEXTJOIN(", ",TRUE,
_xlfn._xlws.FILTER($R$2:$R$101,
ISNUMBER(SEARCH(LOWER($R$2:$R$101),LOWER(B242)))
))</f>
        <v>mercedes</v>
      </c>
      <c r="N242">
        <f t="shared" si="3"/>
        <v>1</v>
      </c>
      <c r="O242" s="6" t="str" cm="1">
        <f t="array" ref="O242">_xlfn.TEXTJOIN(", ",TRUE,
_xlfn.UNIQUE(
_xlfn._xlws.FILTER($S$2:$S$200,
ISNUMBER(SEARCH(LOWER($R$2:$R$200),LOWER(B242)))
)
))</f>
        <v>Familial based</v>
      </c>
      <c r="P242" cm="1">
        <f t="array" aca="1" ref="P242" ca="1">IFERROR(
    IF(N242=0, 0,
        SUMPRODUCT(
            N(
                _xlfn.IFNA(
                    VLOOKUP(
                        TRIM(MID(SUBSTITUTE(M242,",",REPT(" ",100)),
                        (ROW(INDIRECT("1:" &amp; LEN(M242)-LEN(SUBSTITUTE(M242,",","")) + 1))-1)*100 + 1, 100)),
                        $R$2:$T$101, 3, FALSE
                    ), 0)
            )
        ) / N242
    ),
0)</f>
        <v>0</v>
      </c>
    </row>
    <row r="243" spans="1:16" ht="32.25">
      <c r="A243">
        <v>242</v>
      </c>
      <c r="B243" s="4" t="s">
        <v>465</v>
      </c>
      <c r="C243" s="1">
        <v>1</v>
      </c>
      <c r="D243" s="1">
        <v>3</v>
      </c>
      <c r="E243" s="1">
        <v>0</v>
      </c>
      <c r="F243" s="1">
        <v>0</v>
      </c>
      <c r="G243" s="1">
        <v>0</v>
      </c>
      <c r="H243" s="1">
        <v>0</v>
      </c>
      <c r="I243" s="1">
        <v>3</v>
      </c>
      <c r="J243" s="1">
        <v>0</v>
      </c>
      <c r="K243" s="1">
        <v>0</v>
      </c>
      <c r="L243" s="1">
        <v>0</v>
      </c>
      <c r="M243" s="6" t="str" cm="1">
        <f t="array" ref="M243">_xlfn.TEXTJOIN(", ",TRUE,
_xlfn._xlws.FILTER($R$2:$R$101,
ISNUMBER(SEARCH(LOWER($R$2:$R$101),LOWER(B243)))
))</f>
        <v>sister, mercedes, bogan</v>
      </c>
      <c r="N243">
        <f t="shared" si="3"/>
        <v>3</v>
      </c>
      <c r="O243" s="6" t="str" cm="1">
        <f t="array" ref="O243">_xlfn.TEXTJOIN(", ",TRUE,
_xlfn.UNIQUE(
_xlfn._xlws.FILTER($S$2:$S$200,
ISNUMBER(SEARCH(LOWER($R$2:$R$200),LOWER(B243)))
)
))</f>
        <v>Familial based, Class based</v>
      </c>
      <c r="P243" cm="1">
        <f t="array" aca="1" ref="P243" ca="1">IFERROR(
    IF(N243=0, 0,
        SUMPRODUCT(
            N(
                _xlfn.IFNA(
                    VLOOKUP(
                        TRIM(MID(SUBSTITUTE(M243,",",REPT(" ",100)),
                        (ROW(INDIRECT("1:" &amp; LEN(M243)-LEN(SUBSTITUTE(M243,",","")) + 1))-1)*100 + 1, 100)),
                        $R$2:$T$101, 3, FALSE
                    ), 0)
            )
        ) / N243
    ),
0)</f>
        <v>1</v>
      </c>
    </row>
    <row r="244" spans="1:16" ht="30.75">
      <c r="A244">
        <v>243</v>
      </c>
      <c r="B244" s="4" t="s">
        <v>467</v>
      </c>
      <c r="C244" s="1">
        <v>0.25</v>
      </c>
      <c r="D244" s="1">
        <v>0.75</v>
      </c>
      <c r="E244" s="1">
        <v>0</v>
      </c>
      <c r="F244" s="1">
        <v>0</v>
      </c>
      <c r="G244" s="1">
        <v>1</v>
      </c>
      <c r="H244" s="1">
        <v>0</v>
      </c>
      <c r="I244" s="1">
        <v>0</v>
      </c>
      <c r="J244" s="1">
        <v>0</v>
      </c>
      <c r="K244" s="1">
        <v>0</v>
      </c>
      <c r="L244" s="1">
        <v>0</v>
      </c>
      <c r="M244" s="6" t="str" cm="1">
        <f t="array" ref="M244">_xlfn.TEXTJOIN(", ",TRUE,
_xlfn._xlws.FILTER($R$2:$R$101,
ISNUMBER(SEARCH(LOWER($R$2:$R$101),LOWER(B244)))
))</f>
        <v>af, Mercedes Corby, mercedes, corby</v>
      </c>
      <c r="N244">
        <f t="shared" si="3"/>
        <v>4</v>
      </c>
      <c r="O244" s="6" t="str" cm="1">
        <f t="array" ref="O244">_xlfn.TEXTJOIN(", ",TRUE,
_xlfn.UNIQUE(
_xlfn._xlws.FILTER($S$2:$S$200,
ISNUMBER(SEARCH(LOWER($R$2:$R$200),LOWER(B244)))
)
))</f>
        <v>Intelligence based, Familial based</v>
      </c>
      <c r="P244" cm="1">
        <f t="array" aca="1" ref="P244" ca="1">IFERROR(
    IF(N244=0, 0,
        SUMPRODUCT(
            N(
                _xlfn.IFNA(
                    VLOOKUP(
                        TRIM(MID(SUBSTITUTE(M244,",",REPT(" ",100)),
                        (ROW(INDIRECT("1:" &amp; LEN(M244)-LEN(SUBSTITUTE(M244,",","")) + 1))-1)*100 + 1, 100)),
                        $R$2:$T$101, 3, FALSE
                    ), 0)
            )
        ) / N244
    ),
0)</f>
        <v>0.25</v>
      </c>
    </row>
    <row r="245" spans="1:16">
      <c r="A245">
        <v>244</v>
      </c>
      <c r="B245" s="4" t="s">
        <v>469</v>
      </c>
      <c r="C245" s="1">
        <v>0</v>
      </c>
      <c r="D245" s="1">
        <v>0</v>
      </c>
      <c r="E245" s="1">
        <v>0</v>
      </c>
      <c r="F245" s="1">
        <v>0</v>
      </c>
      <c r="G245" s="1">
        <v>0</v>
      </c>
      <c r="H245" s="1">
        <v>0</v>
      </c>
      <c r="I245" s="1">
        <v>0</v>
      </c>
      <c r="J245" s="1">
        <v>0</v>
      </c>
      <c r="K245" s="1">
        <v>0</v>
      </c>
      <c r="L245" s="1">
        <v>0</v>
      </c>
      <c r="N245" t="str">
        <f t="shared" si="3"/>
        <v>0</v>
      </c>
      <c r="O245" s="6" t="str" cm="1">
        <f t="array" ref="O245">_xlfn.TEXTJOIN(", ",TRUE,
_xlfn.UNIQUE(
_xlfn._xlws.FILTER($S$2:$S$200,
ISNUMBER(SEARCH(LOWER($R$2:$R$200),LOWER(B245)))
)
))</f>
        <v/>
      </c>
      <c r="P245" cm="1">
        <f t="array" aca="1" ref="P245" ca="1">IFERROR(
    IF(N245=0, 0,
        SUMPRODUCT(
            N(
                _xlfn.IFNA(
                    VLOOKUP(
                        TRIM(MID(SUBSTITUTE(M245,",",REPT(" ",100)),
                        (ROW(INDIRECT("1:" &amp; LEN(M245)-LEN(SUBSTITUTE(M245,",","")) + 1))-1)*100 + 1, 100)),
                        $R$2:$T$101, 3, FALSE
                    ), 0)
            )
        ) / N245
    ),
0)</f>
        <v>0</v>
      </c>
    </row>
    <row r="246" spans="1:16" ht="30.75">
      <c r="A246">
        <v>245</v>
      </c>
      <c r="B246" s="4" t="s">
        <v>471</v>
      </c>
      <c r="C246" s="1">
        <v>1.3333333329999999</v>
      </c>
      <c r="D246" s="1">
        <v>4</v>
      </c>
      <c r="E246" s="1">
        <v>0</v>
      </c>
      <c r="F246" s="1">
        <v>0</v>
      </c>
      <c r="G246" s="1">
        <v>1</v>
      </c>
      <c r="H246" s="1">
        <v>0</v>
      </c>
      <c r="I246" s="1">
        <v>3</v>
      </c>
      <c r="J246" s="1">
        <v>0</v>
      </c>
      <c r="K246" s="1">
        <v>0</v>
      </c>
      <c r="L246" s="1">
        <v>0</v>
      </c>
      <c r="M246" s="6" t="str" cm="1">
        <f t="array" ref="M246">_xlfn.TEXTJOIN(", ",TRUE,
_xlfn._xlws.FILTER($R$2:$R$101,
ISNUMBER(SEARCH(LOWER($R$2:$R$101),LOWER(B246)))
))</f>
        <v>af, mercedes, bogan</v>
      </c>
      <c r="N246">
        <f t="shared" si="3"/>
        <v>3</v>
      </c>
      <c r="O246" s="6" t="str" cm="1">
        <f t="array" ref="O246">_xlfn.TEXTJOIN(", ",TRUE,
_xlfn.UNIQUE(
_xlfn._xlws.FILTER($S$2:$S$200,
ISNUMBER(SEARCH(LOWER($R$2:$R$200),LOWER(B246)))
)
))</f>
        <v>Intelligence based, Familial based, Class based</v>
      </c>
      <c r="P246" cm="1">
        <f t="array" aca="1" ref="P246" ca="1">IFERROR(
    IF(N246=0, 0,
        SUMPRODUCT(
            N(
                _xlfn.IFNA(
                    VLOOKUP(
                        TRIM(MID(SUBSTITUTE(M246,",",REPT(" ",100)),
                        (ROW(INDIRECT("1:" &amp; LEN(M246)-LEN(SUBSTITUTE(M246,",","")) + 1))-1)*100 + 1, 100)),
                        $R$2:$T$101, 3, FALSE
                    ), 0)
            )
        ) / N246
    ),
0)</f>
        <v>1.3333333333333333</v>
      </c>
    </row>
    <row r="247" spans="1:16">
      <c r="A247">
        <v>246</v>
      </c>
      <c r="B247" s="4" t="s">
        <v>473</v>
      </c>
      <c r="C247" s="1">
        <v>1</v>
      </c>
      <c r="D247" s="1">
        <v>3</v>
      </c>
      <c r="E247" s="1">
        <v>0</v>
      </c>
      <c r="F247" s="1">
        <v>0</v>
      </c>
      <c r="G247" s="1">
        <v>1</v>
      </c>
      <c r="H247" s="1">
        <v>0</v>
      </c>
      <c r="I247" s="1">
        <v>0</v>
      </c>
      <c r="J247" s="1">
        <v>0</v>
      </c>
      <c r="K247" s="1">
        <v>0</v>
      </c>
      <c r="L247" s="1">
        <v>0</v>
      </c>
      <c r="M247" s="6" t="str" cm="1">
        <f t="array" ref="M247">_xlfn.TEXTJOIN(", ",TRUE,
_xlfn._xlws.FILTER($R$2:$R$101,
ISNUMBER(SEARCH(LOWER($R$2:$R$101),LOWER(B247)))
))</f>
        <v>af</v>
      </c>
      <c r="N247">
        <f t="shared" si="3"/>
        <v>1</v>
      </c>
      <c r="O247" s="6" t="str" cm="1">
        <f t="array" ref="O247">_xlfn.TEXTJOIN(", ",TRUE,
_xlfn.UNIQUE(
_xlfn._xlws.FILTER($S$2:$S$200,
ISNUMBER(SEARCH(LOWER($R$2:$R$200),LOWER(B247)))
)
))</f>
        <v>Intelligence based</v>
      </c>
      <c r="P247" cm="1">
        <f t="array" aca="1" ref="P247" ca="1">IFERROR(
    IF(N247=0, 0,
        SUMPRODUCT(
            N(
                _xlfn.IFNA(
                    VLOOKUP(
                        TRIM(MID(SUBSTITUTE(M247,",",REPT(" ",100)),
                        (ROW(INDIRECT("1:" &amp; LEN(M247)-LEN(SUBSTITUTE(M247,",","")) + 1))-1)*100 + 1, 100)),
                        $R$2:$T$101, 3, FALSE
                    ), 0)
            )
        ) / N247
    ),
0)</f>
        <v>1</v>
      </c>
    </row>
    <row r="248" spans="1:16" ht="91.5">
      <c r="A248">
        <v>247</v>
      </c>
      <c r="B248" s="4" t="s">
        <v>475</v>
      </c>
      <c r="C248" s="1">
        <v>1</v>
      </c>
      <c r="D248" s="1">
        <v>3</v>
      </c>
      <c r="E248" s="1">
        <v>0</v>
      </c>
      <c r="F248" s="1">
        <v>0</v>
      </c>
      <c r="G248" s="1">
        <v>0</v>
      </c>
      <c r="H248" s="1">
        <v>0</v>
      </c>
      <c r="I248" s="1">
        <v>0</v>
      </c>
      <c r="J248" s="1">
        <v>0</v>
      </c>
      <c r="K248" s="1">
        <v>2</v>
      </c>
      <c r="L248" s="1">
        <v>0</v>
      </c>
      <c r="M248" s="6" t="str" cm="1">
        <f t="array" ref="M248">_xlfn.TEXTJOIN(", ",TRUE,
_xlfn._xlws.FILTER($R$2:$R$101,
ISNUMBER(SEARCH(LOWER($R$2:$R$101),LOWER(B248)))
))</f>
        <v>mercedes, sucks</v>
      </c>
      <c r="N248">
        <f t="shared" si="3"/>
        <v>2</v>
      </c>
      <c r="O248" s="6" t="str" cm="1">
        <f t="array" ref="O248">_xlfn.TEXTJOIN(", ",TRUE,
_xlfn.UNIQUE(
_xlfn._xlws.FILTER($S$2:$S$200,
ISNUMBER(SEARCH(LOWER($R$2:$R$200),LOWER(B248)))
)
))</f>
        <v>Familial based, Moral condemnation</v>
      </c>
      <c r="P248" cm="1">
        <f t="array" aca="1" ref="P248" ca="1">IFERROR(
    IF(N248=0, 0,
        SUMPRODUCT(
            N(
                _xlfn.IFNA(
                    VLOOKUP(
                        TRIM(MID(SUBSTITUTE(M248,",",REPT(" ",100)),
                        (ROW(INDIRECT("1:" &amp; LEN(M248)-LEN(SUBSTITUTE(M248,",","")) + 1))-1)*100 + 1, 100)),
                        $R$2:$T$101, 3, FALSE
                    ), 0)
            )
        ) / N248
    ),
0)</f>
        <v>1</v>
      </c>
    </row>
    <row r="249" spans="1:16">
      <c r="A249">
        <v>248</v>
      </c>
      <c r="B249" s="4" t="s">
        <v>477</v>
      </c>
      <c r="C249" s="1">
        <v>0</v>
      </c>
      <c r="D249" s="1">
        <v>0</v>
      </c>
      <c r="E249" s="1">
        <v>0</v>
      </c>
      <c r="F249" s="1">
        <v>0</v>
      </c>
      <c r="G249" s="1">
        <v>0</v>
      </c>
      <c r="H249" s="1">
        <v>0</v>
      </c>
      <c r="I249" s="1">
        <v>0</v>
      </c>
      <c r="J249" s="1">
        <v>0</v>
      </c>
      <c r="K249" s="1">
        <v>0</v>
      </c>
      <c r="L249" s="1">
        <v>0</v>
      </c>
      <c r="N249" t="str">
        <f t="shared" si="3"/>
        <v>0</v>
      </c>
      <c r="O249" s="6" t="str" cm="1">
        <f t="array" ref="O249">_xlfn.TEXTJOIN(", ",TRUE,
_xlfn.UNIQUE(
_xlfn._xlws.FILTER($S$2:$S$200,
ISNUMBER(SEARCH(LOWER($R$2:$R$200),LOWER(B249)))
)
))</f>
        <v/>
      </c>
      <c r="P249" cm="1">
        <f t="array" aca="1" ref="P249" ca="1">IFERROR(
    IF(N249=0, 0,
        SUMPRODUCT(
            N(
                _xlfn.IFNA(
                    VLOOKUP(
                        TRIM(MID(SUBSTITUTE(M249,",",REPT(" ",100)),
                        (ROW(INDIRECT("1:" &amp; LEN(M249)-LEN(SUBSTITUTE(M249,",","")) + 1))-1)*100 + 1, 100)),
                        $R$2:$T$101, 3, FALSE
                    ), 0)
            )
        ) / N249
    ),
0)</f>
        <v>0</v>
      </c>
    </row>
    <row r="250" spans="1:16" ht="30.75">
      <c r="A250">
        <v>249</v>
      </c>
      <c r="B250" s="4" t="s">
        <v>479</v>
      </c>
      <c r="C250" s="1">
        <v>0</v>
      </c>
      <c r="D250" s="1">
        <v>0</v>
      </c>
      <c r="E250" s="1">
        <v>0</v>
      </c>
      <c r="F250" s="1">
        <v>0</v>
      </c>
      <c r="G250" s="1">
        <v>0</v>
      </c>
      <c r="H250" s="1">
        <v>0</v>
      </c>
      <c r="I250" s="1">
        <v>0</v>
      </c>
      <c r="J250" s="1">
        <v>0</v>
      </c>
      <c r="K250" s="1">
        <v>0</v>
      </c>
      <c r="L250" s="1">
        <v>0</v>
      </c>
      <c r="N250" t="str">
        <f t="shared" si="3"/>
        <v>0</v>
      </c>
      <c r="O250" s="6" t="str" cm="1">
        <f t="array" ref="O250">_xlfn.TEXTJOIN(", ",TRUE,
_xlfn.UNIQUE(
_xlfn._xlws.FILTER($S$2:$S$200,
ISNUMBER(SEARCH(LOWER($R$2:$R$200),LOWER(B250)))
)
))</f>
        <v/>
      </c>
      <c r="P250" cm="1">
        <f t="array" aca="1" ref="P250" ca="1">IFERROR(
    IF(N250=0, 0,
        SUMPRODUCT(
            N(
                _xlfn.IFNA(
                    VLOOKUP(
                        TRIM(MID(SUBSTITUTE(M250,",",REPT(" ",100)),
                        (ROW(INDIRECT("1:" &amp; LEN(M250)-LEN(SUBSTITUTE(M250,",","")) + 1))-1)*100 + 1, 100)),
                        $R$2:$T$101, 3, FALSE
                    ), 0)
            )
        ) / N250
    ),
0)</f>
        <v>0</v>
      </c>
    </row>
    <row r="251" spans="1:16" ht="45.75">
      <c r="A251">
        <v>250</v>
      </c>
      <c r="B251" s="4" t="s">
        <v>481</v>
      </c>
      <c r="C251" s="1">
        <v>0.5</v>
      </c>
      <c r="D251" s="1">
        <v>1.5</v>
      </c>
      <c r="E251" s="1">
        <v>0</v>
      </c>
      <c r="F251" s="1">
        <v>0</v>
      </c>
      <c r="G251" s="1">
        <v>1</v>
      </c>
      <c r="H251" s="1">
        <v>0</v>
      </c>
      <c r="I251" s="1">
        <v>0</v>
      </c>
      <c r="J251" s="1">
        <v>0</v>
      </c>
      <c r="K251" s="1">
        <v>0</v>
      </c>
      <c r="L251" s="1">
        <v>0</v>
      </c>
      <c r="M251" s="6" t="str" cm="1">
        <f t="array" ref="M251">_xlfn.TEXTJOIN(", ",TRUE,
_xlfn._xlws.FILTER($R$2:$R$101,
ISNUMBER(SEARCH(LOWER($R$2:$R$101),LOWER(B251)))
))</f>
        <v>af, mercedes</v>
      </c>
      <c r="N251">
        <f t="shared" si="3"/>
        <v>2</v>
      </c>
      <c r="O251" s="6" t="str" cm="1">
        <f t="array" ref="O251">_xlfn.TEXTJOIN(", ",TRUE,
_xlfn.UNIQUE(
_xlfn._xlws.FILTER($S$2:$S$200,
ISNUMBER(SEARCH(LOWER($R$2:$R$200),LOWER(B251)))
)
))</f>
        <v>Intelligence based, Familial based</v>
      </c>
      <c r="P251" cm="1">
        <f t="array" aca="1" ref="P251" ca="1">IFERROR(
    IF(N251=0, 0,
        SUMPRODUCT(
            N(
                _xlfn.IFNA(
                    VLOOKUP(
                        TRIM(MID(SUBSTITUTE(M251,",",REPT(" ",100)),
                        (ROW(INDIRECT("1:" &amp; LEN(M251)-LEN(SUBSTITUTE(M251,",","")) + 1))-1)*100 + 1, 100)),
                        $R$2:$T$101, 3, FALSE
                    ), 0)
            )
        ) / N251
    ),
0)</f>
        <v>0.5</v>
      </c>
    </row>
    <row r="252" spans="1:16" ht="30.75">
      <c r="A252">
        <v>251</v>
      </c>
      <c r="B252" s="4" t="s">
        <v>483</v>
      </c>
      <c r="C252" s="1">
        <v>0.5</v>
      </c>
      <c r="D252" s="1">
        <v>1.5</v>
      </c>
      <c r="E252" s="1">
        <v>0</v>
      </c>
      <c r="F252" s="1">
        <v>0</v>
      </c>
      <c r="G252" s="1">
        <v>1</v>
      </c>
      <c r="H252" s="1">
        <v>0</v>
      </c>
      <c r="I252" s="1">
        <v>0</v>
      </c>
      <c r="J252" s="1">
        <v>0</v>
      </c>
      <c r="K252" s="1">
        <v>0</v>
      </c>
      <c r="L252" s="1">
        <v>0</v>
      </c>
      <c r="M252" s="6" t="str" cm="1">
        <f t="array" ref="M252">_xlfn.TEXTJOIN(", ",TRUE,
_xlfn._xlws.FILTER($R$2:$R$101,
ISNUMBER(SEARCH(LOWER($R$2:$R$101),LOWER(B252)))
))</f>
        <v>af, mercedes</v>
      </c>
      <c r="N252">
        <f t="shared" si="3"/>
        <v>2</v>
      </c>
      <c r="O252" s="6" t="str" cm="1">
        <f t="array" ref="O252">_xlfn.TEXTJOIN(", ",TRUE,
_xlfn.UNIQUE(
_xlfn._xlws.FILTER($S$2:$S$200,
ISNUMBER(SEARCH(LOWER($R$2:$R$200),LOWER(B252)))
)
))</f>
        <v>Intelligence based, Familial based</v>
      </c>
      <c r="P252" cm="1">
        <f t="array" aca="1" ref="P252" ca="1">IFERROR(
    IF(N252=0, 0,
        SUMPRODUCT(
            N(
                _xlfn.IFNA(
                    VLOOKUP(
                        TRIM(MID(SUBSTITUTE(M252,",",REPT(" ",100)),
                        (ROW(INDIRECT("1:" &amp; LEN(M252)-LEN(SUBSTITUTE(M252,",","")) + 1))-1)*100 + 1, 100)),
                        $R$2:$T$101, 3, FALSE
                    ), 0)
            )
        ) / N252
    ),
0)</f>
        <v>0.5</v>
      </c>
    </row>
    <row r="253" spans="1:16" ht="30.75">
      <c r="A253">
        <v>252</v>
      </c>
      <c r="B253" s="4" t="s">
        <v>485</v>
      </c>
      <c r="C253" s="1">
        <v>0</v>
      </c>
      <c r="D253" s="1">
        <v>0</v>
      </c>
      <c r="E253" s="1">
        <v>0</v>
      </c>
      <c r="F253" s="1">
        <v>0</v>
      </c>
      <c r="G253" s="1">
        <v>0</v>
      </c>
      <c r="H253" s="1">
        <v>0</v>
      </c>
      <c r="I253" s="1">
        <v>0</v>
      </c>
      <c r="J253" s="1">
        <v>0</v>
      </c>
      <c r="K253" s="1">
        <v>0</v>
      </c>
      <c r="L253" s="1">
        <v>0</v>
      </c>
      <c r="M253" s="6" t="str" cm="1">
        <f t="array" ref="M253">_xlfn.TEXTJOIN(", ",TRUE,
_xlfn._xlws.FILTER($R$2:$R$101,
ISNUMBER(SEARCH(LOWER($R$2:$R$101),LOWER(B253)))
))</f>
        <v>mercedes</v>
      </c>
      <c r="N253">
        <f t="shared" si="3"/>
        <v>1</v>
      </c>
      <c r="O253" s="6" t="str" cm="1">
        <f t="array" ref="O253">_xlfn.TEXTJOIN(", ",TRUE,
_xlfn.UNIQUE(
_xlfn._xlws.FILTER($S$2:$S$200,
ISNUMBER(SEARCH(LOWER($R$2:$R$200),LOWER(B253)))
)
))</f>
        <v>Familial based</v>
      </c>
      <c r="P253" cm="1">
        <f t="array" aca="1" ref="P253" ca="1">IFERROR(
    IF(N253=0, 0,
        SUMPRODUCT(
            N(
                _xlfn.IFNA(
                    VLOOKUP(
                        TRIM(MID(SUBSTITUTE(M253,",",REPT(" ",100)),
                        (ROW(INDIRECT("1:" &amp; LEN(M253)-LEN(SUBSTITUTE(M253,",","")) + 1))-1)*100 + 1, 100)),
                        $R$2:$T$101, 3, FALSE
                    ), 0)
            )
        ) / N253
    ),
0)</f>
        <v>0</v>
      </c>
    </row>
    <row r="254" spans="1:16">
      <c r="A254">
        <v>253</v>
      </c>
      <c r="B254" s="4" t="s">
        <v>487</v>
      </c>
      <c r="C254" s="1">
        <v>0</v>
      </c>
      <c r="D254" s="1">
        <v>0</v>
      </c>
      <c r="E254" s="1">
        <v>0</v>
      </c>
      <c r="F254" s="1">
        <v>0</v>
      </c>
      <c r="G254" s="1">
        <v>0</v>
      </c>
      <c r="H254" s="1">
        <v>0</v>
      </c>
      <c r="I254" s="1">
        <v>0</v>
      </c>
      <c r="J254" s="1">
        <v>0</v>
      </c>
      <c r="K254" s="1">
        <v>0</v>
      </c>
      <c r="L254" s="1">
        <v>0</v>
      </c>
      <c r="N254" t="str">
        <f t="shared" si="3"/>
        <v>0</v>
      </c>
      <c r="O254" s="6" t="str" cm="1">
        <f t="array" ref="O254">_xlfn.TEXTJOIN(", ",TRUE,
_xlfn.UNIQUE(
_xlfn._xlws.FILTER($S$2:$S$200,
ISNUMBER(SEARCH(LOWER($R$2:$R$200),LOWER(B254)))
)
))</f>
        <v/>
      </c>
      <c r="P254" cm="1">
        <f t="array" aca="1" ref="P254" ca="1">IFERROR(
    IF(N254=0, 0,
        SUMPRODUCT(
            N(
                _xlfn.IFNA(
                    VLOOKUP(
                        TRIM(MID(SUBSTITUTE(M254,",",REPT(" ",100)),
                        (ROW(INDIRECT("1:" &amp; LEN(M254)-LEN(SUBSTITUTE(M254,",","")) + 1))-1)*100 + 1, 100)),
                        $R$2:$T$101, 3, FALSE
                    ), 0)
            )
        ) / N254
    ),
0)</f>
        <v>0</v>
      </c>
    </row>
    <row r="255" spans="1:16">
      <c r="A255">
        <v>254</v>
      </c>
      <c r="B255" s="4" t="s">
        <v>489</v>
      </c>
      <c r="C255" s="1">
        <v>0</v>
      </c>
      <c r="D255" s="1">
        <v>0</v>
      </c>
      <c r="E255" s="1">
        <v>0</v>
      </c>
      <c r="F255" s="1">
        <v>0</v>
      </c>
      <c r="G255" s="1">
        <v>0</v>
      </c>
      <c r="H255" s="1">
        <v>0</v>
      </c>
      <c r="I255" s="1">
        <v>0</v>
      </c>
      <c r="J255" s="1">
        <v>0</v>
      </c>
      <c r="K255" s="1">
        <v>0</v>
      </c>
      <c r="L255" s="1">
        <v>0</v>
      </c>
      <c r="N255" t="str">
        <f t="shared" si="3"/>
        <v>0</v>
      </c>
      <c r="O255" s="6" t="str" cm="1">
        <f t="array" ref="O255">_xlfn.TEXTJOIN(", ",TRUE,
_xlfn.UNIQUE(
_xlfn._xlws.FILTER($S$2:$S$200,
ISNUMBER(SEARCH(LOWER($R$2:$R$200),LOWER(B255)))
)
))</f>
        <v/>
      </c>
      <c r="P255" cm="1">
        <f t="array" aca="1" ref="P255" ca="1">IFERROR(
    IF(N255=0, 0,
        SUMPRODUCT(
            N(
                _xlfn.IFNA(
                    VLOOKUP(
                        TRIM(MID(SUBSTITUTE(M255,",",REPT(" ",100)),
                        (ROW(INDIRECT("1:" &amp; LEN(M255)-LEN(SUBSTITUTE(M255,",","")) + 1))-1)*100 + 1, 100)),
                        $R$2:$T$101, 3, FALSE
                    ), 0)
            )
        ) / N255
    ),
0)</f>
        <v>0</v>
      </c>
    </row>
    <row r="256" spans="1:16">
      <c r="A256">
        <v>255</v>
      </c>
      <c r="B256" s="4" t="s">
        <v>491</v>
      </c>
      <c r="C256" s="1">
        <v>0</v>
      </c>
      <c r="D256" s="1">
        <v>0</v>
      </c>
      <c r="E256" s="1">
        <v>0</v>
      </c>
      <c r="F256" s="1">
        <v>0</v>
      </c>
      <c r="G256" s="1">
        <v>0</v>
      </c>
      <c r="H256" s="1">
        <v>0</v>
      </c>
      <c r="I256" s="1">
        <v>0</v>
      </c>
      <c r="J256" s="1">
        <v>0</v>
      </c>
      <c r="K256" s="1">
        <v>0</v>
      </c>
      <c r="L256" s="1">
        <v>0</v>
      </c>
      <c r="N256" t="str">
        <f t="shared" si="3"/>
        <v>0</v>
      </c>
      <c r="O256" s="6" t="str" cm="1">
        <f t="array" ref="O256">_xlfn.TEXTJOIN(", ",TRUE,
_xlfn.UNIQUE(
_xlfn._xlws.FILTER($S$2:$S$200,
ISNUMBER(SEARCH(LOWER($R$2:$R$200),LOWER(B256)))
)
))</f>
        <v/>
      </c>
      <c r="P256" cm="1">
        <f t="array" aca="1" ref="P256" ca="1">IFERROR(
    IF(N256=0, 0,
        SUMPRODUCT(
            N(
                _xlfn.IFNA(
                    VLOOKUP(
                        TRIM(MID(SUBSTITUTE(M256,",",REPT(" ",100)),
                        (ROW(INDIRECT("1:" &amp; LEN(M256)-LEN(SUBSTITUTE(M256,",","")) + 1))-1)*100 + 1, 100)),
                        $R$2:$T$101, 3, FALSE
                    ), 0)
            )
        ) / N256
    ),
0)</f>
        <v>0</v>
      </c>
    </row>
    <row r="257" spans="1:16" ht="30.75">
      <c r="A257">
        <v>256</v>
      </c>
      <c r="B257" s="4" t="s">
        <v>493</v>
      </c>
      <c r="C257" s="1">
        <v>0</v>
      </c>
      <c r="D257" s="1">
        <v>0</v>
      </c>
      <c r="E257" s="1">
        <v>0</v>
      </c>
      <c r="F257" s="1">
        <v>0</v>
      </c>
      <c r="G257" s="1">
        <v>0</v>
      </c>
      <c r="H257" s="1">
        <v>0</v>
      </c>
      <c r="I257" s="1">
        <v>0</v>
      </c>
      <c r="J257" s="1">
        <v>0</v>
      </c>
      <c r="K257" s="1">
        <v>0</v>
      </c>
      <c r="L257" s="1">
        <v>0</v>
      </c>
      <c r="M257" s="6" t="str" cm="1">
        <f t="array" ref="M257">_xlfn.TEXTJOIN(", ",TRUE,
_xlfn._xlws.FILTER($R$2:$R$101,
ISNUMBER(SEARCH(LOWER($R$2:$R$101),LOWER(B257)))
))</f>
        <v>mercedes</v>
      </c>
      <c r="N257">
        <f t="shared" si="3"/>
        <v>1</v>
      </c>
      <c r="O257" s="6" t="str" cm="1">
        <f t="array" ref="O257">_xlfn.TEXTJOIN(", ",TRUE,
_xlfn.UNIQUE(
_xlfn._xlws.FILTER($S$2:$S$200,
ISNUMBER(SEARCH(LOWER($R$2:$R$200),LOWER(B257)))
)
))</f>
        <v>Familial based</v>
      </c>
      <c r="P257" cm="1">
        <f t="array" aca="1" ref="P257" ca="1">IFERROR(
    IF(N257=0, 0,
        SUMPRODUCT(
            N(
                _xlfn.IFNA(
                    VLOOKUP(
                        TRIM(MID(SUBSTITUTE(M257,",",REPT(" ",100)),
                        (ROW(INDIRECT("1:" &amp; LEN(M257)-LEN(SUBSTITUTE(M257,",","")) + 1))-1)*100 + 1, 100)),
                        $R$2:$T$101, 3, FALSE
                    ), 0)
            )
        ) / N257
    ),
0)</f>
        <v>0</v>
      </c>
    </row>
    <row r="258" spans="1:16" ht="30.75">
      <c r="A258">
        <v>257</v>
      </c>
      <c r="B258" s="4" t="s">
        <v>495</v>
      </c>
      <c r="C258" s="1">
        <v>0</v>
      </c>
      <c r="D258" s="1">
        <v>0</v>
      </c>
      <c r="E258" s="1">
        <v>0</v>
      </c>
      <c r="F258" s="1">
        <v>0</v>
      </c>
      <c r="G258" s="1">
        <v>0</v>
      </c>
      <c r="H258" s="1">
        <v>0</v>
      </c>
      <c r="I258" s="1">
        <v>0</v>
      </c>
      <c r="J258" s="1">
        <v>0</v>
      </c>
      <c r="K258" s="1">
        <v>0</v>
      </c>
      <c r="L258" s="1">
        <v>0</v>
      </c>
      <c r="N258" t="str">
        <f t="shared" si="3"/>
        <v>0</v>
      </c>
      <c r="O258" s="6" t="str" cm="1">
        <f t="array" ref="O258">_xlfn.TEXTJOIN(", ",TRUE,
_xlfn.UNIQUE(
_xlfn._xlws.FILTER($S$2:$S$200,
ISNUMBER(SEARCH(LOWER($R$2:$R$200),LOWER(B258)))
)
))</f>
        <v/>
      </c>
      <c r="P258" cm="1">
        <f t="array" aca="1" ref="P258" ca="1">IFERROR(
    IF(N258=0, 0,
        SUMPRODUCT(
            N(
                _xlfn.IFNA(
                    VLOOKUP(
                        TRIM(MID(SUBSTITUTE(M258,",",REPT(" ",100)),
                        (ROW(INDIRECT("1:" &amp; LEN(M258)-LEN(SUBSTITUTE(M258,",","")) + 1))-1)*100 + 1, 100)),
                        $R$2:$T$101, 3, FALSE
                    ), 0)
            )
        ) / N258
    ),
0)</f>
        <v>0</v>
      </c>
    </row>
    <row r="259" spans="1:16">
      <c r="A259">
        <v>258</v>
      </c>
      <c r="B259" s="4" t="s">
        <v>497</v>
      </c>
      <c r="C259" s="1">
        <v>0</v>
      </c>
      <c r="D259" s="1">
        <v>0</v>
      </c>
      <c r="E259" s="1">
        <v>0</v>
      </c>
      <c r="F259" s="1">
        <v>0</v>
      </c>
      <c r="G259" s="1">
        <v>0</v>
      </c>
      <c r="H259" s="1">
        <v>0</v>
      </c>
      <c r="I259" s="1">
        <v>0</v>
      </c>
      <c r="J259" s="1">
        <v>0</v>
      </c>
      <c r="K259" s="1">
        <v>0</v>
      </c>
      <c r="L259" s="1">
        <v>0</v>
      </c>
      <c r="N259" t="str">
        <f t="shared" ref="N259:N322" si="4">IF(M259="","0",LEN(M259)-LEN(SUBSTITUTE(M259,",",""))+1)</f>
        <v>0</v>
      </c>
      <c r="O259" s="6" t="str" cm="1">
        <f t="array" ref="O259">_xlfn.TEXTJOIN(", ",TRUE,
_xlfn.UNIQUE(
_xlfn._xlws.FILTER($S$2:$S$200,
ISNUMBER(SEARCH(LOWER($R$2:$R$200),LOWER(B259)))
)
))</f>
        <v/>
      </c>
      <c r="P259" cm="1">
        <f t="array" aca="1" ref="P259" ca="1">IFERROR(
    IF(N259=0, 0,
        SUMPRODUCT(
            N(
                _xlfn.IFNA(
                    VLOOKUP(
                        TRIM(MID(SUBSTITUTE(M259,",",REPT(" ",100)),
                        (ROW(INDIRECT("1:" &amp; LEN(M259)-LEN(SUBSTITUTE(M259,",","")) + 1))-1)*100 + 1, 100)),
                        $R$2:$T$101, 3, FALSE
                    ), 0)
            )
        ) / N259
    ),
0)</f>
        <v>0</v>
      </c>
    </row>
    <row r="260" spans="1:16" ht="30.75">
      <c r="A260">
        <v>259</v>
      </c>
      <c r="B260" s="4" t="s">
        <v>499</v>
      </c>
      <c r="C260" s="1">
        <v>3</v>
      </c>
      <c r="D260" s="1">
        <v>9</v>
      </c>
      <c r="E260" s="1">
        <v>0</v>
      </c>
      <c r="F260" s="1">
        <v>0</v>
      </c>
      <c r="G260" s="1">
        <v>0</v>
      </c>
      <c r="H260" s="1">
        <v>0</v>
      </c>
      <c r="I260" s="1">
        <v>3</v>
      </c>
      <c r="J260" s="1">
        <v>0</v>
      </c>
      <c r="K260" s="1">
        <v>0</v>
      </c>
      <c r="L260" s="1">
        <v>0</v>
      </c>
      <c r="M260" s="6" t="str" cm="1">
        <f t="array" ref="M260">_xlfn.TEXTJOIN(", ",TRUE,
_xlfn._xlws.FILTER($R$2:$R$101,
ISNUMBER(SEARCH(LOWER($R$2:$R$101),LOWER(B260)))
))</f>
        <v>bogan</v>
      </c>
      <c r="N260">
        <f t="shared" si="4"/>
        <v>1</v>
      </c>
      <c r="O260" s="6" t="str" cm="1">
        <f t="array" ref="O260">_xlfn.TEXTJOIN(", ",TRUE,
_xlfn.UNIQUE(
_xlfn._xlws.FILTER($S$2:$S$200,
ISNUMBER(SEARCH(LOWER($R$2:$R$200),LOWER(B260)))
)
))</f>
        <v>Class based</v>
      </c>
      <c r="P260" cm="1">
        <f t="array" aca="1" ref="P260" ca="1">IFERROR(
    IF(N260=0, 0,
        SUMPRODUCT(
            N(
                _xlfn.IFNA(
                    VLOOKUP(
                        TRIM(MID(SUBSTITUTE(M260,",",REPT(" ",100)),
                        (ROW(INDIRECT("1:" &amp; LEN(M260)-LEN(SUBSTITUTE(M260,",","")) + 1))-1)*100 + 1, 100)),
                        $R$2:$T$101, 3, FALSE
                    ), 0)
            )
        ) / N260
    ),
0)</f>
        <v>3</v>
      </c>
    </row>
    <row r="261" spans="1:16">
      <c r="A261">
        <v>260</v>
      </c>
      <c r="B261" s="4" t="s">
        <v>501</v>
      </c>
      <c r="C261" s="1">
        <v>0</v>
      </c>
      <c r="D261" s="1">
        <v>0</v>
      </c>
      <c r="E261" s="1">
        <v>0</v>
      </c>
      <c r="F261" s="1">
        <v>0</v>
      </c>
      <c r="G261" s="1">
        <v>0</v>
      </c>
      <c r="H261" s="1">
        <v>0</v>
      </c>
      <c r="I261" s="1">
        <v>0</v>
      </c>
      <c r="J261" s="1">
        <v>0</v>
      </c>
      <c r="K261" s="1">
        <v>0</v>
      </c>
      <c r="L261" s="1">
        <v>0</v>
      </c>
      <c r="N261" t="str">
        <f t="shared" si="4"/>
        <v>0</v>
      </c>
      <c r="O261" s="6" t="str" cm="1">
        <f t="array" ref="O261">_xlfn.TEXTJOIN(", ",TRUE,
_xlfn.UNIQUE(
_xlfn._xlws.FILTER($S$2:$S$200,
ISNUMBER(SEARCH(LOWER($R$2:$R$200),LOWER(B261)))
)
))</f>
        <v/>
      </c>
      <c r="P261" cm="1">
        <f t="array" aca="1" ref="P261" ca="1">IFERROR(
    IF(N261=0, 0,
        SUMPRODUCT(
            N(
                _xlfn.IFNA(
                    VLOOKUP(
                        TRIM(MID(SUBSTITUTE(M261,",",REPT(" ",100)),
                        (ROW(INDIRECT("1:" &amp; LEN(M261)-LEN(SUBSTITUTE(M261,",","")) + 1))-1)*100 + 1, 100)),
                        $R$2:$T$101, 3, FALSE
                    ), 0)
            )
        ) / N261
    ),
0)</f>
        <v>0</v>
      </c>
    </row>
    <row r="262" spans="1:16">
      <c r="A262">
        <v>261</v>
      </c>
      <c r="B262" s="4" t="s">
        <v>503</v>
      </c>
      <c r="C262" s="1">
        <v>0</v>
      </c>
      <c r="D262" s="1">
        <v>0</v>
      </c>
      <c r="E262" s="1">
        <v>0</v>
      </c>
      <c r="F262" s="1">
        <v>0</v>
      </c>
      <c r="G262" s="1">
        <v>0</v>
      </c>
      <c r="H262" s="1">
        <v>0</v>
      </c>
      <c r="I262" s="1">
        <v>0</v>
      </c>
      <c r="J262" s="1">
        <v>0</v>
      </c>
      <c r="K262" s="1">
        <v>0</v>
      </c>
      <c r="L262" s="1">
        <v>0</v>
      </c>
      <c r="N262" t="str">
        <f t="shared" si="4"/>
        <v>0</v>
      </c>
      <c r="O262" s="6" t="str" cm="1">
        <f t="array" ref="O262">_xlfn.TEXTJOIN(", ",TRUE,
_xlfn.UNIQUE(
_xlfn._xlws.FILTER($S$2:$S$200,
ISNUMBER(SEARCH(LOWER($R$2:$R$200),LOWER(B262)))
)
))</f>
        <v/>
      </c>
      <c r="P262" cm="1">
        <f t="array" aca="1" ref="P262" ca="1">IFERROR(
    IF(N262=0, 0,
        SUMPRODUCT(
            N(
                _xlfn.IFNA(
                    VLOOKUP(
                        TRIM(MID(SUBSTITUTE(M262,",",REPT(" ",100)),
                        (ROW(INDIRECT("1:" &amp; LEN(M262)-LEN(SUBSTITUTE(M262,",","")) + 1))-1)*100 + 1, 100)),
                        $R$2:$T$101, 3, FALSE
                    ), 0)
            )
        ) / N262
    ),
0)</f>
        <v>0</v>
      </c>
    </row>
    <row r="263" spans="1:16">
      <c r="A263">
        <v>262</v>
      </c>
      <c r="B263" s="4" t="s">
        <v>505</v>
      </c>
      <c r="C263" s="1">
        <v>0</v>
      </c>
      <c r="D263" s="1">
        <v>0</v>
      </c>
      <c r="E263" s="1">
        <v>0</v>
      </c>
      <c r="F263" s="1">
        <v>0</v>
      </c>
      <c r="G263" s="1">
        <v>0</v>
      </c>
      <c r="H263" s="1">
        <v>0</v>
      </c>
      <c r="I263" s="1">
        <v>0</v>
      </c>
      <c r="J263" s="1">
        <v>0</v>
      </c>
      <c r="K263" s="1">
        <v>0</v>
      </c>
      <c r="L263" s="1">
        <v>0</v>
      </c>
      <c r="M263" s="6" t="str" cm="1">
        <f t="array" ref="M263">_xlfn.TEXTJOIN(", ",TRUE,
_xlfn._xlws.FILTER($R$2:$R$101,
ISNUMBER(SEARCH(LOWER($R$2:$R$101),LOWER(B263)))
))</f>
        <v>guilty, charged</v>
      </c>
      <c r="N263">
        <f t="shared" si="4"/>
        <v>2</v>
      </c>
      <c r="O263" s="6" t="str" cm="1">
        <f t="array" ref="O263">_xlfn.TEXTJOIN(", ",TRUE,
_xlfn.UNIQUE(
_xlfn._xlws.FILTER($S$2:$S$200,
ISNUMBER(SEARCH(LOWER($R$2:$R$200),LOWER(B263)))
)
))</f>
        <v>Legality based</v>
      </c>
      <c r="P263" cm="1">
        <f t="array" aca="1" ref="P263" ca="1">IFERROR(
    IF(N263=0, 0,
        SUMPRODUCT(
            N(
                _xlfn.IFNA(
                    VLOOKUP(
                        TRIM(MID(SUBSTITUTE(M263,",",REPT(" ",100)),
                        (ROW(INDIRECT("1:" &amp; LEN(M263)-LEN(SUBSTITUTE(M263,",","")) + 1))-1)*100 + 1, 100)),
                        $R$2:$T$101, 3, FALSE
                    ), 0)
            )
        ) / N263
    ),
0)</f>
        <v>0</v>
      </c>
    </row>
    <row r="264" spans="1:16">
      <c r="A264">
        <v>263</v>
      </c>
      <c r="B264" s="4" t="s">
        <v>507</v>
      </c>
      <c r="C264" s="1">
        <v>0</v>
      </c>
      <c r="D264" s="1">
        <v>0</v>
      </c>
      <c r="E264" s="1">
        <v>0</v>
      </c>
      <c r="F264" s="1">
        <v>0</v>
      </c>
      <c r="G264" s="1">
        <v>0</v>
      </c>
      <c r="H264" s="1">
        <v>0</v>
      </c>
      <c r="I264" s="1">
        <v>0</v>
      </c>
      <c r="J264" s="1">
        <v>0</v>
      </c>
      <c r="K264" s="1">
        <v>0</v>
      </c>
      <c r="L264" s="1">
        <v>0</v>
      </c>
      <c r="N264" t="str">
        <f t="shared" si="4"/>
        <v>0</v>
      </c>
      <c r="O264" s="6" t="str" cm="1">
        <f t="array" ref="O264">_xlfn.TEXTJOIN(", ",TRUE,
_xlfn.UNIQUE(
_xlfn._xlws.FILTER($S$2:$S$200,
ISNUMBER(SEARCH(LOWER($R$2:$R$200),LOWER(B264)))
)
))</f>
        <v/>
      </c>
      <c r="P264" cm="1">
        <f t="array" aca="1" ref="P264" ca="1">IFERROR(
    IF(N264=0, 0,
        SUMPRODUCT(
            N(
                _xlfn.IFNA(
                    VLOOKUP(
                        TRIM(MID(SUBSTITUTE(M264,",",REPT(" ",100)),
                        (ROW(INDIRECT("1:" &amp; LEN(M264)-LEN(SUBSTITUTE(M264,",","")) + 1))-1)*100 + 1, 100)),
                        $R$2:$T$101, 3, FALSE
                    ), 0)
            )
        ) / N264
    ),
0)</f>
        <v>0</v>
      </c>
    </row>
    <row r="265" spans="1:16" ht="30.75">
      <c r="A265">
        <v>264</v>
      </c>
      <c r="B265" s="4" t="s">
        <v>509</v>
      </c>
      <c r="C265" s="1">
        <v>0</v>
      </c>
      <c r="D265" s="1">
        <v>0</v>
      </c>
      <c r="E265" s="1">
        <v>0</v>
      </c>
      <c r="F265" s="1">
        <v>0</v>
      </c>
      <c r="G265" s="1">
        <v>0</v>
      </c>
      <c r="H265" s="1">
        <v>0</v>
      </c>
      <c r="I265" s="1">
        <v>0</v>
      </c>
      <c r="J265" s="1">
        <v>0</v>
      </c>
      <c r="K265" s="1">
        <v>0</v>
      </c>
      <c r="L265" s="1">
        <v>0</v>
      </c>
      <c r="N265" t="str">
        <f t="shared" si="4"/>
        <v>0</v>
      </c>
      <c r="O265" s="6" t="str" cm="1">
        <f t="array" ref="O265">_xlfn.TEXTJOIN(", ",TRUE,
_xlfn.UNIQUE(
_xlfn._xlws.FILTER($S$2:$S$200,
ISNUMBER(SEARCH(LOWER($R$2:$R$200),LOWER(B265)))
)
))</f>
        <v/>
      </c>
      <c r="P265" cm="1">
        <f t="array" aca="1" ref="P265" ca="1">IFERROR(
    IF(N265=0, 0,
        SUMPRODUCT(
            N(
                _xlfn.IFNA(
                    VLOOKUP(
                        TRIM(MID(SUBSTITUTE(M265,",",REPT(" ",100)),
                        (ROW(INDIRECT("1:" &amp; LEN(M265)-LEN(SUBSTITUTE(M265,",","")) + 1))-1)*100 + 1, 100)),
                        $R$2:$T$101, 3, FALSE
                    ), 0)
            )
        ) / N265
    ),
0)</f>
        <v>0</v>
      </c>
    </row>
    <row r="266" spans="1:16" ht="45.75">
      <c r="A266">
        <v>265</v>
      </c>
      <c r="B266" s="4" t="s">
        <v>511</v>
      </c>
      <c r="C266" s="1">
        <v>0</v>
      </c>
      <c r="D266" s="1">
        <v>0</v>
      </c>
      <c r="E266" s="1">
        <v>0</v>
      </c>
      <c r="F266" s="1">
        <v>0</v>
      </c>
      <c r="G266" s="1">
        <v>0</v>
      </c>
      <c r="H266" s="1">
        <v>0</v>
      </c>
      <c r="I266" s="1">
        <v>0</v>
      </c>
      <c r="J266" s="1">
        <v>0</v>
      </c>
      <c r="K266" s="1">
        <v>0</v>
      </c>
      <c r="L266" s="1">
        <v>0</v>
      </c>
      <c r="M266" s="6" t="str" cm="1">
        <f t="array" ref="M266">_xlfn.TEXTJOIN(", ",TRUE,
_xlfn._xlws.FILTER($R$2:$R$101,
ISNUMBER(SEARCH(LOWER($R$2:$R$101),LOWER(B266)))
))</f>
        <v>brother, guilty</v>
      </c>
      <c r="N266">
        <f t="shared" si="4"/>
        <v>2</v>
      </c>
      <c r="O266" s="6" t="str" cm="1">
        <f t="array" ref="O266">_xlfn.TEXTJOIN(", ",TRUE,
_xlfn.UNIQUE(
_xlfn._xlws.FILTER($S$2:$S$200,
ISNUMBER(SEARCH(LOWER($R$2:$R$200),LOWER(B266)))
)
))</f>
        <v>Familial based, Legality based</v>
      </c>
      <c r="P266" cm="1">
        <f t="array" aca="1" ref="P266" ca="1">IFERROR(
    IF(N266=0, 0,
        SUMPRODUCT(
            N(
                _xlfn.IFNA(
                    VLOOKUP(
                        TRIM(MID(SUBSTITUTE(M266,",",REPT(" ",100)),
                        (ROW(INDIRECT("1:" &amp; LEN(M266)-LEN(SUBSTITUTE(M266,",","")) + 1))-1)*100 + 1, 100)),
                        $R$2:$T$101, 3, FALSE
                    ), 0)
            )
        ) / N266
    ),
0)</f>
        <v>0</v>
      </c>
    </row>
    <row r="267" spans="1:16">
      <c r="A267">
        <v>266</v>
      </c>
      <c r="B267" s="4" t="s">
        <v>513</v>
      </c>
      <c r="C267" s="1">
        <v>0</v>
      </c>
      <c r="D267" s="1">
        <v>0</v>
      </c>
      <c r="E267" s="1">
        <v>0</v>
      </c>
      <c r="F267" s="1">
        <v>0</v>
      </c>
      <c r="G267" s="1">
        <v>0</v>
      </c>
      <c r="H267" s="1">
        <v>0</v>
      </c>
      <c r="I267" s="1">
        <v>0</v>
      </c>
      <c r="J267" s="1">
        <v>0</v>
      </c>
      <c r="K267" s="1">
        <v>0</v>
      </c>
      <c r="L267" s="1">
        <v>0</v>
      </c>
      <c r="N267" t="str">
        <f t="shared" si="4"/>
        <v>0</v>
      </c>
      <c r="O267" s="6" t="str" cm="1">
        <f t="array" ref="O267">_xlfn.TEXTJOIN(", ",TRUE,
_xlfn.UNIQUE(
_xlfn._xlws.FILTER($S$2:$S$200,
ISNUMBER(SEARCH(LOWER($R$2:$R$200),LOWER(B267)))
)
))</f>
        <v/>
      </c>
      <c r="P267" cm="1">
        <f t="array" aca="1" ref="P267" ca="1">IFERROR(
    IF(N267=0, 0,
        SUMPRODUCT(
            N(
                _xlfn.IFNA(
                    VLOOKUP(
                        TRIM(MID(SUBSTITUTE(M267,",",REPT(" ",100)),
                        (ROW(INDIRECT("1:" &amp; LEN(M267)-LEN(SUBSTITUTE(M267,",","")) + 1))-1)*100 + 1, 100)),
                        $R$2:$T$101, 3, FALSE
                    ), 0)
            )
        ) / N267
    ),
0)</f>
        <v>0</v>
      </c>
    </row>
    <row r="268" spans="1:16">
      <c r="A268">
        <v>267</v>
      </c>
      <c r="B268" s="4" t="s">
        <v>515</v>
      </c>
      <c r="C268" s="1">
        <v>1.5</v>
      </c>
      <c r="D268" s="1">
        <v>4.5</v>
      </c>
      <c r="E268" s="1">
        <v>0</v>
      </c>
      <c r="F268" s="1">
        <v>0</v>
      </c>
      <c r="G268" s="1">
        <v>0</v>
      </c>
      <c r="H268" s="1">
        <v>0</v>
      </c>
      <c r="I268" s="1">
        <v>3</v>
      </c>
      <c r="J268" s="1">
        <v>0</v>
      </c>
      <c r="K268" s="1">
        <v>0</v>
      </c>
      <c r="L268" s="1">
        <v>0</v>
      </c>
      <c r="M268" s="6" t="str" cm="1">
        <f t="array" ref="M268">_xlfn.TEXTJOIN(", ",TRUE,
_xlfn._xlws.FILTER($R$2:$R$101,
ISNUMBER(SEARCH(LOWER($R$2:$R$101),LOWER(B268)))
))</f>
        <v>sister, bogan</v>
      </c>
      <c r="N268">
        <f t="shared" si="4"/>
        <v>2</v>
      </c>
      <c r="O268" s="6" t="str" cm="1">
        <f t="array" ref="O268">_xlfn.TEXTJOIN(", ",TRUE,
_xlfn.UNIQUE(
_xlfn._xlws.FILTER($S$2:$S$200,
ISNUMBER(SEARCH(LOWER($R$2:$R$200),LOWER(B268)))
)
))</f>
        <v>Familial based, Class based</v>
      </c>
      <c r="P268" cm="1">
        <f t="array" aca="1" ref="P268" ca="1">IFERROR(
    IF(N268=0, 0,
        SUMPRODUCT(
            N(
                _xlfn.IFNA(
                    VLOOKUP(
                        TRIM(MID(SUBSTITUTE(M268,",",REPT(" ",100)),
                        (ROW(INDIRECT("1:" &amp; LEN(M268)-LEN(SUBSTITUTE(M268,",","")) + 1))-1)*100 + 1, 100)),
                        $R$2:$T$101, 3, FALSE
                    ), 0)
            )
        ) / N268
    ),
0)</f>
        <v>1.5</v>
      </c>
    </row>
    <row r="269" spans="1:16" ht="76.5">
      <c r="A269">
        <v>268</v>
      </c>
      <c r="B269" s="4" t="s">
        <v>517</v>
      </c>
      <c r="C269" s="10">
        <v>1</v>
      </c>
      <c r="D269" s="1">
        <v>3</v>
      </c>
      <c r="E269" s="1">
        <v>0</v>
      </c>
      <c r="F269" s="1">
        <v>0</v>
      </c>
      <c r="G269" s="1">
        <v>3</v>
      </c>
      <c r="H269" s="1">
        <v>0</v>
      </c>
      <c r="I269" s="1">
        <v>0</v>
      </c>
      <c r="J269" s="1">
        <v>0</v>
      </c>
      <c r="K269" s="1">
        <v>0</v>
      </c>
      <c r="L269" s="1">
        <v>0</v>
      </c>
      <c r="M269" s="6" t="str" cm="1">
        <f t="array" ref="M269">_xlfn.TEXTJOIN(", ",TRUE,
_xlfn._xlws.FILTER($R$2:$R$101,
ISNUMBER(SEARCH(LOWER($R$2:$R$101),LOWER(B269)))
))</f>
        <v>dumb, innocent</v>
      </c>
      <c r="N269">
        <f t="shared" si="4"/>
        <v>2</v>
      </c>
      <c r="O269" s="6" t="str" cm="1">
        <f t="array" ref="O269">_xlfn.TEXTJOIN(", ",TRUE,
_xlfn.UNIQUE(
_xlfn._xlws.FILTER($S$2:$S$200,
ISNUMBER(SEARCH(LOWER($R$2:$R$200),LOWER(B269)))
)
))</f>
        <v>Intelligence based, Legality based</v>
      </c>
      <c r="P269" cm="1">
        <f t="array" aca="1" ref="P269" ca="1">IFERROR(
    IF(N269=0, 0,
        SUMPRODUCT(
            N(
                _xlfn.IFNA(
                    VLOOKUP(
                        TRIM(MID(SUBSTITUTE(M269,",",REPT(" ",100)),
                        (ROW(INDIRECT("1:" &amp; LEN(M269)-LEN(SUBSTITUTE(M269,",","")) + 1))-1)*100 + 1, 100)),
                        $R$2:$T$101, 3, FALSE
                    ), 0)
            )
        ) / N269
    ),
0)</f>
        <v>1.5</v>
      </c>
    </row>
    <row r="270" spans="1:16" ht="213">
      <c r="A270">
        <v>269</v>
      </c>
      <c r="B270" s="4" t="s">
        <v>519</v>
      </c>
      <c r="C270" s="10">
        <v>0.33333333300000001</v>
      </c>
      <c r="D270" s="1">
        <v>0.222222222</v>
      </c>
      <c r="E270" s="1">
        <v>0</v>
      </c>
      <c r="F270" s="1">
        <v>1</v>
      </c>
      <c r="G270" s="1">
        <v>0</v>
      </c>
      <c r="H270" s="1">
        <v>0</v>
      </c>
      <c r="I270" s="1">
        <v>0</v>
      </c>
      <c r="J270" s="1">
        <v>2</v>
      </c>
      <c r="K270" s="1">
        <v>0</v>
      </c>
      <c r="L270" s="1">
        <v>0</v>
      </c>
      <c r="M270" s="6" t="str" cm="1">
        <f t="array" ref="M270">_xlfn.TEXTJOIN(", ",TRUE,
_xlfn._xlws.FILTER($R$2:$R$101,
ISNUMBER(SEARCH(LOWER($R$2:$R$101),LOWER(B270)))
))</f>
        <v xml:space="preserve">australian, australia, criminal, brother, Corrupt, guilty, served, sentence </v>
      </c>
      <c r="N270">
        <f t="shared" si="4"/>
        <v>8</v>
      </c>
      <c r="O270" s="6" t="str" cm="1">
        <f t="array" ref="O270">_xlfn.TEXTJOIN(", ",TRUE,
_xlfn.UNIQUE(
_xlfn._xlws.FILTER($S$2:$S$200,
ISNUMBER(SEARCH(LOWER($R$2:$R$200),LOWER(B270)))
)
))</f>
        <v>Case Related, Crime based, Familial based, Authority based, Legality based</v>
      </c>
      <c r="P270" cm="1">
        <f t="array" aca="1" ref="P270" ca="1">IFERROR(
    IF(N270=0, 0,
        SUMPRODUCT(
            N(
                _xlfn.IFNA(
                    VLOOKUP(
                        TRIM(MID(SUBSTITUTE(M270,",",REPT(" ",100)),
                        (ROW(INDIRECT("1:" &amp; LEN(M270)-LEN(SUBSTITUTE(M270,",","")) + 1))-1)*100 + 1, 100)),
                        $R$2:$T$101, 3, FALSE
                    ), 0)
            )
        ) / N270
    ),
0)</f>
        <v>0.375</v>
      </c>
    </row>
    <row r="271" spans="1:16" ht="198">
      <c r="A271">
        <v>270</v>
      </c>
      <c r="B271" s="4" t="s">
        <v>521</v>
      </c>
      <c r="C271" s="1">
        <v>8.3333332999999996E-2</v>
      </c>
      <c r="D271" s="1">
        <v>0</v>
      </c>
      <c r="E271" s="1">
        <v>0</v>
      </c>
      <c r="F271" s="1">
        <v>0.25</v>
      </c>
      <c r="G271" s="1">
        <v>0</v>
      </c>
      <c r="H271" s="1">
        <v>0</v>
      </c>
      <c r="I271" s="1">
        <v>0</v>
      </c>
      <c r="J271" s="1">
        <v>0</v>
      </c>
      <c r="K271" s="1">
        <v>0</v>
      </c>
      <c r="L271" s="1">
        <v>0</v>
      </c>
      <c r="M271" s="6" t="str" cm="1">
        <f t="array" ref="M271">_xlfn.TEXTJOIN(", ",TRUE,
_xlfn._xlws.FILTER($R$2:$R$101,
ISNUMBER(SEARCH(LOWER($R$2:$R$101),LOWER(B271)))
))</f>
        <v>australian, indonesia , australia, criminal, possession, marijuana , narcotics, sentence , Indonesian law, law , import, export</v>
      </c>
      <c r="N271">
        <f t="shared" si="4"/>
        <v>12</v>
      </c>
      <c r="O271" s="6" t="str" cm="1">
        <f t="array" ref="O271">_xlfn.TEXTJOIN(", ",TRUE,
_xlfn.UNIQUE(
_xlfn._xlws.FILTER($S$2:$S$200,
ISNUMBER(SEARCH(LOWER($R$2:$R$200),LOWER(B271)))
)
))</f>
        <v>Case Related, Crime based, Legality based</v>
      </c>
      <c r="P271" cm="1">
        <f t="array" aca="1" ref="P271" ca="1">IFERROR(
    IF(N271=0, 0,
        SUMPRODUCT(
            N(
                _xlfn.IFNA(
                    VLOOKUP(
                        TRIM(MID(SUBSTITUTE(M271,",",REPT(" ",100)),
                        (ROW(INDIRECT("1:" &amp; LEN(M271)-LEN(SUBSTITUTE(M271,",","")) + 1))-1)*100 + 1, 100)),
                        $R$2:$T$101, 3, FALSE
                    ), 0)
            )
        ) / N271
    ),
0)</f>
        <v>8.3333333333333329E-2</v>
      </c>
    </row>
    <row r="272" spans="1:16" ht="30.75">
      <c r="A272">
        <v>271</v>
      </c>
      <c r="B272" s="4" t="s">
        <v>523</v>
      </c>
      <c r="C272" s="1">
        <v>0</v>
      </c>
      <c r="D272" s="1">
        <v>0</v>
      </c>
      <c r="E272" s="1">
        <v>0</v>
      </c>
      <c r="F272" s="1">
        <v>0</v>
      </c>
      <c r="G272" s="1">
        <v>0</v>
      </c>
      <c r="H272" s="1">
        <v>0</v>
      </c>
      <c r="I272" s="1">
        <v>0</v>
      </c>
      <c r="J272" s="1">
        <v>0</v>
      </c>
      <c r="K272" s="1">
        <v>0</v>
      </c>
      <c r="L272" s="1">
        <v>0</v>
      </c>
      <c r="M272" s="6" t="str" cm="1">
        <f t="array" ref="M272">_xlfn.TEXTJOIN(", ",TRUE,
_xlfn._xlws.FILTER($R$2:$R$101,
ISNUMBER(SEARCH(LOWER($R$2:$R$101),LOWER(B272)))
))</f>
        <v>corby</v>
      </c>
      <c r="N272">
        <f t="shared" si="4"/>
        <v>1</v>
      </c>
      <c r="O272" s="6" t="str" cm="1">
        <f t="array" ref="O272">_xlfn.TEXTJOIN(", ",TRUE,
_xlfn.UNIQUE(
_xlfn._xlws.FILTER($S$2:$S$200,
ISNUMBER(SEARCH(LOWER($R$2:$R$200),LOWER(B272)))
)
))</f>
        <v>Familial based</v>
      </c>
      <c r="P272" cm="1">
        <f t="array" aca="1" ref="P272" ca="1">IFERROR(
    IF(N272=0, 0,
        SUMPRODUCT(
            N(
                _xlfn.IFNA(
                    VLOOKUP(
                        TRIM(MID(SUBSTITUTE(M272,",",REPT(" ",100)),
                        (ROW(INDIRECT("1:" &amp; LEN(M272)-LEN(SUBSTITUTE(M272,",","")) + 1))-1)*100 + 1, 100)),
                        $R$2:$T$101, 3, FALSE
                    ), 0)
            )
        ) / N272
    ),
0)</f>
        <v>0</v>
      </c>
    </row>
    <row r="273" spans="1:16">
      <c r="A273">
        <v>272</v>
      </c>
      <c r="B273" s="4" t="s">
        <v>525</v>
      </c>
      <c r="C273" s="1">
        <v>0</v>
      </c>
      <c r="D273" s="1">
        <v>0</v>
      </c>
      <c r="E273" s="1">
        <v>0</v>
      </c>
      <c r="F273" s="1">
        <v>0</v>
      </c>
      <c r="G273" s="1">
        <v>0</v>
      </c>
      <c r="H273" s="1">
        <v>0</v>
      </c>
      <c r="I273" s="1">
        <v>0</v>
      </c>
      <c r="J273" s="1">
        <v>0</v>
      </c>
      <c r="K273" s="1">
        <v>0</v>
      </c>
      <c r="L273" s="1">
        <v>0</v>
      </c>
      <c r="N273" t="str">
        <f t="shared" si="4"/>
        <v>0</v>
      </c>
      <c r="O273" s="6" t="str" cm="1">
        <f t="array" ref="O273">_xlfn.TEXTJOIN(", ",TRUE,
_xlfn.UNIQUE(
_xlfn._xlws.FILTER($S$2:$S$200,
ISNUMBER(SEARCH(LOWER($R$2:$R$200),LOWER(B273)))
)
))</f>
        <v/>
      </c>
      <c r="P273" cm="1">
        <f t="array" aca="1" ref="P273" ca="1">IFERROR(
    IF(N273=0, 0,
        SUMPRODUCT(
            N(
                _xlfn.IFNA(
                    VLOOKUP(
                        TRIM(MID(SUBSTITUTE(M273,",",REPT(" ",100)),
                        (ROW(INDIRECT("1:" &amp; LEN(M273)-LEN(SUBSTITUTE(M273,",","")) + 1))-1)*100 + 1, 100)),
                        $R$2:$T$101, 3, FALSE
                    ), 0)
            )
        ) / N273
    ),
0)</f>
        <v>0</v>
      </c>
    </row>
    <row r="274" spans="1:16" ht="16.5">
      <c r="A274">
        <v>273</v>
      </c>
      <c r="B274" s="4" t="s">
        <v>527</v>
      </c>
      <c r="C274" s="1">
        <v>0</v>
      </c>
      <c r="D274" s="1">
        <v>0</v>
      </c>
      <c r="E274" s="1">
        <v>0</v>
      </c>
      <c r="F274" s="1">
        <v>0</v>
      </c>
      <c r="G274" s="1">
        <v>0</v>
      </c>
      <c r="H274" s="1">
        <v>0</v>
      </c>
      <c r="I274" s="1">
        <v>0</v>
      </c>
      <c r="J274" s="1">
        <v>0</v>
      </c>
      <c r="K274" s="1">
        <v>0</v>
      </c>
      <c r="L274" s="1">
        <v>0</v>
      </c>
      <c r="M274" s="6" t="str" cm="1">
        <f t="array" ref="M274">_xlfn.TEXTJOIN(", ",TRUE,
_xlfn._xlws.FILTER($R$2:$R$101,
ISNUMBER(SEARCH(LOWER($R$2:$R$101),LOWER(B274)))
))</f>
        <v>mercedes</v>
      </c>
      <c r="N274">
        <f t="shared" si="4"/>
        <v>1</v>
      </c>
      <c r="O274" s="6" t="str" cm="1">
        <f t="array" ref="O274">_xlfn.TEXTJOIN(", ",TRUE,
_xlfn.UNIQUE(
_xlfn._xlws.FILTER($S$2:$S$200,
ISNUMBER(SEARCH(LOWER($R$2:$R$200),LOWER(B274)))
)
))</f>
        <v>Familial based</v>
      </c>
      <c r="P274" cm="1">
        <f t="array" aca="1" ref="P274" ca="1">IFERROR(
    IF(N274=0, 0,
        SUMPRODUCT(
            N(
                _xlfn.IFNA(
                    VLOOKUP(
                        TRIM(MID(SUBSTITUTE(M274,",",REPT(" ",100)),
                        (ROW(INDIRECT("1:" &amp; LEN(M274)-LEN(SUBSTITUTE(M274,",","")) + 1))-1)*100 + 1, 100)),
                        $R$2:$T$101, 3, FALSE
                    ), 0)
            )
        ) / N274
    ),
0)</f>
        <v>0</v>
      </c>
    </row>
    <row r="275" spans="1:16" ht="30.75">
      <c r="A275">
        <v>274</v>
      </c>
      <c r="B275" s="4" t="s">
        <v>529</v>
      </c>
      <c r="C275" s="1">
        <v>0</v>
      </c>
      <c r="D275" s="1">
        <v>0</v>
      </c>
      <c r="E275" s="1">
        <v>0</v>
      </c>
      <c r="F275" s="1">
        <v>0</v>
      </c>
      <c r="G275" s="1">
        <v>0</v>
      </c>
      <c r="H275" s="1">
        <v>0</v>
      </c>
      <c r="I275" s="1">
        <v>0</v>
      </c>
      <c r="J275" s="1">
        <v>0</v>
      </c>
      <c r="K275" s="1">
        <v>0</v>
      </c>
      <c r="L275" s="1">
        <v>0</v>
      </c>
      <c r="N275" t="str">
        <f t="shared" si="4"/>
        <v>0</v>
      </c>
      <c r="O275" s="6" t="str" cm="1">
        <f t="array" ref="O275">_xlfn.TEXTJOIN(", ",TRUE,
_xlfn.UNIQUE(
_xlfn._xlws.FILTER($S$2:$S$200,
ISNUMBER(SEARCH(LOWER($R$2:$R$200),LOWER(B275)))
)
))</f>
        <v/>
      </c>
      <c r="P275" cm="1">
        <f t="array" aca="1" ref="P275" ca="1">IFERROR(
    IF(N275=0, 0,
        SUMPRODUCT(
            N(
                _xlfn.IFNA(
                    VLOOKUP(
                        TRIM(MID(SUBSTITUTE(M275,",",REPT(" ",100)),
                        (ROW(INDIRECT("1:" &amp; LEN(M275)-LEN(SUBSTITUTE(M275,",","")) + 1))-1)*100 + 1, 100)),
                        $R$2:$T$101, 3, FALSE
                    ), 0)
            )
        ) / N275
    ),
0)</f>
        <v>0</v>
      </c>
    </row>
    <row r="276" spans="1:16" ht="30.75">
      <c r="A276">
        <v>275</v>
      </c>
      <c r="B276" s="4" t="s">
        <v>531</v>
      </c>
      <c r="C276" s="1">
        <v>0</v>
      </c>
      <c r="D276" s="1">
        <v>0</v>
      </c>
      <c r="E276" s="1">
        <v>0</v>
      </c>
      <c r="F276" s="1">
        <v>0</v>
      </c>
      <c r="G276" s="1">
        <v>0</v>
      </c>
      <c r="H276" s="1">
        <v>0</v>
      </c>
      <c r="I276" s="1">
        <v>0</v>
      </c>
      <c r="J276" s="1">
        <v>0</v>
      </c>
      <c r="K276" s="1">
        <v>0</v>
      </c>
      <c r="L276" s="1">
        <v>0</v>
      </c>
      <c r="N276" t="str">
        <f t="shared" si="4"/>
        <v>0</v>
      </c>
      <c r="O276" s="6" t="str" cm="1">
        <f t="array" ref="O276">_xlfn.TEXTJOIN(", ",TRUE,
_xlfn.UNIQUE(
_xlfn._xlws.FILTER($S$2:$S$200,
ISNUMBER(SEARCH(LOWER($R$2:$R$200),LOWER(B276)))
)
))</f>
        <v/>
      </c>
      <c r="P276" cm="1">
        <f t="array" aca="1" ref="P276" ca="1">IFERROR(
    IF(N276=0, 0,
        SUMPRODUCT(
            N(
                _xlfn.IFNA(
                    VLOOKUP(
                        TRIM(MID(SUBSTITUTE(M276,",",REPT(" ",100)),
                        (ROW(INDIRECT("1:" &amp; LEN(M276)-LEN(SUBSTITUTE(M276,",","")) + 1))-1)*100 + 1, 100)),
                        $R$2:$T$101, 3, FALSE
                    ), 0)
            )
        ) / N276
    ),
0)</f>
        <v>0</v>
      </c>
    </row>
    <row r="277" spans="1:16">
      <c r="A277">
        <v>276</v>
      </c>
      <c r="B277" s="4" t="s">
        <v>533</v>
      </c>
      <c r="C277" s="1">
        <v>0</v>
      </c>
      <c r="D277" s="1">
        <v>0</v>
      </c>
      <c r="E277" s="1">
        <v>0</v>
      </c>
      <c r="F277" s="1">
        <v>0</v>
      </c>
      <c r="G277" s="1">
        <v>0</v>
      </c>
      <c r="H277" s="1">
        <v>0</v>
      </c>
      <c r="I277" s="1">
        <v>0</v>
      </c>
      <c r="J277" s="1">
        <v>0</v>
      </c>
      <c r="K277" s="1">
        <v>0</v>
      </c>
      <c r="L277" s="1">
        <v>0</v>
      </c>
      <c r="N277" t="str">
        <f t="shared" si="4"/>
        <v>0</v>
      </c>
      <c r="O277" s="6" t="str" cm="1">
        <f t="array" ref="O277">_xlfn.TEXTJOIN(", ",TRUE,
_xlfn.UNIQUE(
_xlfn._xlws.FILTER($S$2:$S$200,
ISNUMBER(SEARCH(LOWER($R$2:$R$200),LOWER(B277)))
)
))</f>
        <v/>
      </c>
      <c r="P277" cm="1">
        <f t="array" aca="1" ref="P277" ca="1">IFERROR(
    IF(N277=0, 0,
        SUMPRODUCT(
            N(
                _xlfn.IFNA(
                    VLOOKUP(
                        TRIM(MID(SUBSTITUTE(M277,",",REPT(" ",100)),
                        (ROW(INDIRECT("1:" &amp; LEN(M277)-LEN(SUBSTITUTE(M277,",","")) + 1))-1)*100 + 1, 100)),
                        $R$2:$T$101, 3, FALSE
                    ), 0)
            )
        ) / N277
    ),
0)</f>
        <v>0</v>
      </c>
    </row>
    <row r="278" spans="1:16">
      <c r="A278">
        <v>277</v>
      </c>
      <c r="B278" s="4" t="s">
        <v>535</v>
      </c>
      <c r="C278" s="1">
        <v>0</v>
      </c>
      <c r="D278" s="1">
        <v>0</v>
      </c>
      <c r="E278" s="1">
        <v>0</v>
      </c>
      <c r="F278" s="1">
        <v>0</v>
      </c>
      <c r="G278" s="1">
        <v>0</v>
      </c>
      <c r="H278" s="1">
        <v>0</v>
      </c>
      <c r="I278" s="1">
        <v>0</v>
      </c>
      <c r="J278" s="1">
        <v>0</v>
      </c>
      <c r="K278" s="1">
        <v>0</v>
      </c>
      <c r="L278" s="1">
        <v>0</v>
      </c>
      <c r="N278" t="str">
        <f t="shared" si="4"/>
        <v>0</v>
      </c>
      <c r="O278" s="6" t="str" cm="1">
        <f t="array" ref="O278">_xlfn.TEXTJOIN(", ",TRUE,
_xlfn.UNIQUE(
_xlfn._xlws.FILTER($S$2:$S$200,
ISNUMBER(SEARCH(LOWER($R$2:$R$200),LOWER(B278)))
)
))</f>
        <v/>
      </c>
      <c r="P278" cm="1">
        <f t="array" aca="1" ref="P278" ca="1">IFERROR(
    IF(N278=0, 0,
        SUMPRODUCT(
            N(
                _xlfn.IFNA(
                    VLOOKUP(
                        TRIM(MID(SUBSTITUTE(M278,",",REPT(" ",100)),
                        (ROW(INDIRECT("1:" &amp; LEN(M278)-LEN(SUBSTITUTE(M278,",","")) + 1))-1)*100 + 1, 100)),
                        $R$2:$T$101, 3, FALSE
                    ), 0)
            )
        ) / N278
    ),
0)</f>
        <v>0</v>
      </c>
    </row>
    <row r="279" spans="1:16" ht="16.5">
      <c r="A279">
        <v>278</v>
      </c>
      <c r="B279" s="4" t="s">
        <v>537</v>
      </c>
      <c r="C279" s="1">
        <v>0</v>
      </c>
      <c r="D279" s="1">
        <v>0</v>
      </c>
      <c r="E279" s="1">
        <v>0</v>
      </c>
      <c r="F279" s="1">
        <v>0</v>
      </c>
      <c r="G279" s="1">
        <v>0</v>
      </c>
      <c r="H279" s="1">
        <v>0</v>
      </c>
      <c r="I279" s="1">
        <v>0</v>
      </c>
      <c r="J279" s="1">
        <v>0</v>
      </c>
      <c r="K279" s="1">
        <v>0</v>
      </c>
      <c r="L279" s="1">
        <v>0</v>
      </c>
      <c r="N279" t="str">
        <f t="shared" si="4"/>
        <v>0</v>
      </c>
      <c r="O279" s="6" t="str" cm="1">
        <f t="array" ref="O279">_xlfn.TEXTJOIN(", ",TRUE,
_xlfn.UNIQUE(
_xlfn._xlws.FILTER($S$2:$S$200,
ISNUMBER(SEARCH(LOWER($R$2:$R$200),LOWER(B279)))
)
))</f>
        <v/>
      </c>
      <c r="P279" cm="1">
        <f t="array" aca="1" ref="P279" ca="1">IFERROR(
    IF(N279=0, 0,
        SUMPRODUCT(
            N(
                _xlfn.IFNA(
                    VLOOKUP(
                        TRIM(MID(SUBSTITUTE(M279,",",REPT(" ",100)),
                        (ROW(INDIRECT("1:" &amp; LEN(M279)-LEN(SUBSTITUTE(M279,",","")) + 1))-1)*100 + 1, 100)),
                        $R$2:$T$101, 3, FALSE
                    ), 0)
            )
        ) / N279
    ),
0)</f>
        <v>0</v>
      </c>
    </row>
    <row r="280" spans="1:16">
      <c r="A280">
        <v>279</v>
      </c>
      <c r="B280" s="4" t="s">
        <v>539</v>
      </c>
      <c r="C280" s="1">
        <v>0</v>
      </c>
      <c r="D280" s="1">
        <v>0</v>
      </c>
      <c r="E280" s="1">
        <v>0</v>
      </c>
      <c r="F280" s="1">
        <v>0</v>
      </c>
      <c r="G280" s="1">
        <v>0</v>
      </c>
      <c r="H280" s="1">
        <v>0</v>
      </c>
      <c r="I280" s="1">
        <v>0</v>
      </c>
      <c r="J280" s="1">
        <v>0</v>
      </c>
      <c r="K280" s="1">
        <v>0</v>
      </c>
      <c r="L280" s="1">
        <v>0</v>
      </c>
      <c r="N280" t="str">
        <f t="shared" si="4"/>
        <v>0</v>
      </c>
      <c r="O280" s="6" t="str" cm="1">
        <f t="array" ref="O280">_xlfn.TEXTJOIN(", ",TRUE,
_xlfn.UNIQUE(
_xlfn._xlws.FILTER($S$2:$S$200,
ISNUMBER(SEARCH(LOWER($R$2:$R$200),LOWER(B280)))
)
))</f>
        <v/>
      </c>
      <c r="P280" cm="1">
        <f t="array" aca="1" ref="P280" ca="1">IFERROR(
    IF(N280=0, 0,
        SUMPRODUCT(
            N(
                _xlfn.IFNA(
                    VLOOKUP(
                        TRIM(MID(SUBSTITUTE(M280,",",REPT(" ",100)),
                        (ROW(INDIRECT("1:" &amp; LEN(M280)-LEN(SUBSTITUTE(M280,",","")) + 1))-1)*100 + 1, 100)),
                        $R$2:$T$101, 3, FALSE
                    ), 0)
            )
        ) / N280
    ),
0)</f>
        <v>0</v>
      </c>
    </row>
    <row r="281" spans="1:16">
      <c r="A281">
        <v>280</v>
      </c>
      <c r="B281" s="4" t="s">
        <v>541</v>
      </c>
      <c r="C281" s="1">
        <v>0</v>
      </c>
      <c r="D281" s="1">
        <v>0</v>
      </c>
      <c r="E281" s="1">
        <v>0</v>
      </c>
      <c r="F281" s="1">
        <v>0</v>
      </c>
      <c r="G281" s="1">
        <v>0</v>
      </c>
      <c r="H281" s="1">
        <v>0</v>
      </c>
      <c r="I281" s="1">
        <v>0</v>
      </c>
      <c r="J281" s="1">
        <v>0</v>
      </c>
      <c r="K281" s="1">
        <v>0</v>
      </c>
      <c r="L281" s="1">
        <v>0</v>
      </c>
      <c r="N281" t="str">
        <f t="shared" si="4"/>
        <v>0</v>
      </c>
      <c r="O281" s="6" t="str" cm="1">
        <f t="array" ref="O281">_xlfn.TEXTJOIN(", ",TRUE,
_xlfn.UNIQUE(
_xlfn._xlws.FILTER($S$2:$S$200,
ISNUMBER(SEARCH(LOWER($R$2:$R$200),LOWER(B281)))
)
))</f>
        <v/>
      </c>
      <c r="P281" cm="1">
        <f t="array" aca="1" ref="P281" ca="1">IFERROR(
    IF(N281=0, 0,
        SUMPRODUCT(
            N(
                _xlfn.IFNA(
                    VLOOKUP(
                        TRIM(MID(SUBSTITUTE(M281,",",REPT(" ",100)),
                        (ROW(INDIRECT("1:" &amp; LEN(M281)-LEN(SUBSTITUTE(M281,",","")) + 1))-1)*100 + 1, 100)),
                        $R$2:$T$101, 3, FALSE
                    ), 0)
            )
        ) / N281
    ),
0)</f>
        <v>0</v>
      </c>
    </row>
    <row r="282" spans="1:16">
      <c r="A282">
        <v>281</v>
      </c>
      <c r="B282" s="4" t="s">
        <v>543</v>
      </c>
      <c r="C282" s="1">
        <v>3</v>
      </c>
      <c r="D282" s="1">
        <v>9</v>
      </c>
      <c r="E282" s="1">
        <v>0</v>
      </c>
      <c r="F282" s="1">
        <v>0</v>
      </c>
      <c r="G282" s="1">
        <v>0</v>
      </c>
      <c r="H282" s="1">
        <v>0</v>
      </c>
      <c r="I282" s="1">
        <v>3</v>
      </c>
      <c r="J282" s="1">
        <v>0</v>
      </c>
      <c r="K282" s="1">
        <v>0</v>
      </c>
      <c r="L282" s="1">
        <v>0</v>
      </c>
      <c r="M282" s="6" t="str" cm="1">
        <f t="array" ref="M282">_xlfn.TEXTJOIN(", ",TRUE,
_xlfn._xlws.FILTER($R$2:$R$101,
ISNUMBER(SEARCH(LOWER($R$2:$R$101),LOWER(B282)))
))</f>
        <v>bogan</v>
      </c>
      <c r="N282">
        <f t="shared" si="4"/>
        <v>1</v>
      </c>
      <c r="O282" s="6" t="str" cm="1">
        <f t="array" ref="O282">_xlfn.TEXTJOIN(", ",TRUE,
_xlfn.UNIQUE(
_xlfn._xlws.FILTER($S$2:$S$200,
ISNUMBER(SEARCH(LOWER($R$2:$R$200),LOWER(B282)))
)
))</f>
        <v>Class based</v>
      </c>
      <c r="P282" cm="1">
        <f t="array" aca="1" ref="P282" ca="1">IFERROR(
    IF(N282=0, 0,
        SUMPRODUCT(
            N(
                _xlfn.IFNA(
                    VLOOKUP(
                        TRIM(MID(SUBSTITUTE(M282,",",REPT(" ",100)),
                        (ROW(INDIRECT("1:" &amp; LEN(M282)-LEN(SUBSTITUTE(M282,",","")) + 1))-1)*100 + 1, 100)),
                        $R$2:$T$101, 3, FALSE
                    ), 0)
            )
        ) / N282
    ),
0)</f>
        <v>3</v>
      </c>
    </row>
    <row r="283" spans="1:16" ht="16.5">
      <c r="A283">
        <v>282</v>
      </c>
      <c r="B283" s="4" t="s">
        <v>545</v>
      </c>
      <c r="C283" s="1">
        <v>3</v>
      </c>
      <c r="D283" s="1">
        <v>9</v>
      </c>
      <c r="E283" s="1">
        <v>0</v>
      </c>
      <c r="F283" s="1">
        <v>0</v>
      </c>
      <c r="G283" s="1">
        <v>0</v>
      </c>
      <c r="H283" s="1">
        <v>0</v>
      </c>
      <c r="I283" s="1">
        <v>3</v>
      </c>
      <c r="J283" s="1">
        <v>0</v>
      </c>
      <c r="K283" s="1">
        <v>0</v>
      </c>
      <c r="L283" s="1">
        <v>0</v>
      </c>
      <c r="M283" s="6" t="str" cm="1">
        <f t="array" ref="M283">_xlfn.TEXTJOIN(", ",TRUE,
_xlfn._xlws.FILTER($R$2:$R$101,
ISNUMBER(SEARCH(LOWER($R$2:$R$101),LOWER(B283)))
))</f>
        <v>bogan</v>
      </c>
      <c r="N283">
        <f t="shared" si="4"/>
        <v>1</v>
      </c>
      <c r="O283" s="6" t="str" cm="1">
        <f t="array" ref="O283">_xlfn.TEXTJOIN(", ",TRUE,
_xlfn.UNIQUE(
_xlfn._xlws.FILTER($S$2:$S$200,
ISNUMBER(SEARCH(LOWER($R$2:$R$200),LOWER(B283)))
)
))</f>
        <v>Class based</v>
      </c>
      <c r="P283" cm="1">
        <f t="array" aca="1" ref="P283" ca="1">IFERROR(
    IF(N283=0, 0,
        SUMPRODUCT(
            N(
                _xlfn.IFNA(
                    VLOOKUP(
                        TRIM(MID(SUBSTITUTE(M283,",",REPT(" ",100)),
                        (ROW(INDIRECT("1:" &amp; LEN(M283)-LEN(SUBSTITUTE(M283,",","")) + 1))-1)*100 + 1, 100)),
                        $R$2:$T$101, 3, FALSE
                    ), 0)
            )
        ) / N283
    ),
0)</f>
        <v>3</v>
      </c>
    </row>
    <row r="284" spans="1:16" ht="16.5">
      <c r="A284">
        <v>283</v>
      </c>
      <c r="B284" s="4" t="s">
        <v>547</v>
      </c>
      <c r="C284" s="1">
        <v>0</v>
      </c>
      <c r="D284" s="1">
        <v>0</v>
      </c>
      <c r="E284" s="1">
        <v>0</v>
      </c>
      <c r="F284" s="1">
        <v>0</v>
      </c>
      <c r="G284" s="1">
        <v>0</v>
      </c>
      <c r="H284" s="1">
        <v>0</v>
      </c>
      <c r="I284" s="1">
        <v>0</v>
      </c>
      <c r="J284" s="1">
        <v>0</v>
      </c>
      <c r="K284" s="1">
        <v>0</v>
      </c>
      <c r="L284" s="1">
        <v>0</v>
      </c>
      <c r="M284" s="6" t="str" cm="1">
        <f t="array" ref="M284">_xlfn.TEXTJOIN(", ",TRUE,
_xlfn._xlws.FILTER($R$2:$R$101,
ISNUMBER(SEARCH(LOWER($R$2:$R$101),LOWER(B284)))
))</f>
        <v>sister</v>
      </c>
      <c r="N284">
        <f t="shared" si="4"/>
        <v>1</v>
      </c>
      <c r="O284" s="6" t="str" cm="1">
        <f t="array" ref="O284">_xlfn.TEXTJOIN(", ",TRUE,
_xlfn.UNIQUE(
_xlfn._xlws.FILTER($S$2:$S$200,
ISNUMBER(SEARCH(LOWER($R$2:$R$200),LOWER(B284)))
)
))</f>
        <v>Familial based</v>
      </c>
      <c r="P284" cm="1">
        <f t="array" aca="1" ref="P284" ca="1">IFERROR(
    IF(N284=0, 0,
        SUMPRODUCT(
            N(
                _xlfn.IFNA(
                    VLOOKUP(
                        TRIM(MID(SUBSTITUTE(M284,",",REPT(" ",100)),
                        (ROW(INDIRECT("1:" &amp; LEN(M284)-LEN(SUBSTITUTE(M284,",","")) + 1))-1)*100 + 1, 100)),
                        $R$2:$T$101, 3, FALSE
                    ), 0)
            )
        ) / N284
    ),
0)</f>
        <v>0</v>
      </c>
    </row>
    <row r="285" spans="1:16" ht="30.75">
      <c r="A285">
        <v>284</v>
      </c>
      <c r="B285" s="4" t="s">
        <v>549</v>
      </c>
      <c r="C285" s="1">
        <v>0</v>
      </c>
      <c r="D285" s="1">
        <v>0</v>
      </c>
      <c r="E285" s="1">
        <v>0</v>
      </c>
      <c r="F285" s="1">
        <v>0</v>
      </c>
      <c r="G285" s="1">
        <v>0</v>
      </c>
      <c r="H285" s="1">
        <v>0</v>
      </c>
      <c r="I285" s="1">
        <v>0</v>
      </c>
      <c r="J285" s="1">
        <v>0</v>
      </c>
      <c r="K285" s="1">
        <v>0</v>
      </c>
      <c r="L285" s="1">
        <v>0</v>
      </c>
      <c r="N285" t="str">
        <f t="shared" si="4"/>
        <v>0</v>
      </c>
      <c r="O285" s="6" t="str" cm="1">
        <f t="array" ref="O285">_xlfn.TEXTJOIN(", ",TRUE,
_xlfn.UNIQUE(
_xlfn._xlws.FILTER($S$2:$S$200,
ISNUMBER(SEARCH(LOWER($R$2:$R$200),LOWER(B285)))
)
))</f>
        <v/>
      </c>
      <c r="P285" cm="1">
        <f t="array" aca="1" ref="P285" ca="1">IFERROR(
    IF(N285=0, 0,
        SUMPRODUCT(
            N(
                _xlfn.IFNA(
                    VLOOKUP(
                        TRIM(MID(SUBSTITUTE(M285,",",REPT(" ",100)),
                        (ROW(INDIRECT("1:" &amp; LEN(M285)-LEN(SUBSTITUTE(M285,",","")) + 1))-1)*100 + 1, 100)),
                        $R$2:$T$101, 3, FALSE
                    ), 0)
            )
        ) / N285
    ),
0)</f>
        <v>0</v>
      </c>
    </row>
    <row r="286" spans="1:16" ht="30.75">
      <c r="A286">
        <v>285</v>
      </c>
      <c r="B286" s="4" t="s">
        <v>551</v>
      </c>
      <c r="C286" s="1">
        <v>0</v>
      </c>
      <c r="D286" s="1">
        <v>0</v>
      </c>
      <c r="E286" s="1">
        <v>0</v>
      </c>
      <c r="F286" s="1">
        <v>0</v>
      </c>
      <c r="G286" s="1">
        <v>0</v>
      </c>
      <c r="H286" s="1">
        <v>0</v>
      </c>
      <c r="I286" s="1">
        <v>0</v>
      </c>
      <c r="J286" s="1">
        <v>0</v>
      </c>
      <c r="K286" s="1">
        <v>0</v>
      </c>
      <c r="L286" s="1">
        <v>0</v>
      </c>
      <c r="N286" t="str">
        <f t="shared" si="4"/>
        <v>0</v>
      </c>
      <c r="O286" s="6" t="str" cm="1">
        <f t="array" ref="O286">_xlfn.TEXTJOIN(", ",TRUE,
_xlfn.UNIQUE(
_xlfn._xlws.FILTER($S$2:$S$200,
ISNUMBER(SEARCH(LOWER($R$2:$R$200),LOWER(B286)))
)
))</f>
        <v/>
      </c>
      <c r="P286" cm="1">
        <f t="array" aca="1" ref="P286" ca="1">IFERROR(
    IF(N286=0, 0,
        SUMPRODUCT(
            N(
                _xlfn.IFNA(
                    VLOOKUP(
                        TRIM(MID(SUBSTITUTE(M286,",",REPT(" ",100)),
                        (ROW(INDIRECT("1:" &amp; LEN(M286)-LEN(SUBSTITUTE(M286,",","")) + 1))-1)*100 + 1, 100)),
                        $R$2:$T$101, 3, FALSE
                    ), 0)
            )
        ) / N286
    ),
0)</f>
        <v>0</v>
      </c>
    </row>
    <row r="287" spans="1:16" ht="30.75">
      <c r="A287">
        <v>286</v>
      </c>
      <c r="B287" s="4" t="s">
        <v>553</v>
      </c>
      <c r="C287" s="1">
        <v>0</v>
      </c>
      <c r="D287" s="1">
        <v>0</v>
      </c>
      <c r="E287" s="1">
        <v>0</v>
      </c>
      <c r="F287" s="1">
        <v>0</v>
      </c>
      <c r="G287" s="1">
        <v>0</v>
      </c>
      <c r="H287" s="1">
        <v>0</v>
      </c>
      <c r="I287" s="1">
        <v>0</v>
      </c>
      <c r="J287" s="1">
        <v>0</v>
      </c>
      <c r="K287" s="1">
        <v>0</v>
      </c>
      <c r="L287" s="1">
        <v>0</v>
      </c>
      <c r="N287" t="str">
        <f t="shared" si="4"/>
        <v>0</v>
      </c>
      <c r="O287" s="6" t="str" cm="1">
        <f t="array" ref="O287">_xlfn.TEXTJOIN(", ",TRUE,
_xlfn.UNIQUE(
_xlfn._xlws.FILTER($S$2:$S$200,
ISNUMBER(SEARCH(LOWER($R$2:$R$200),LOWER(B287)))
)
))</f>
        <v/>
      </c>
      <c r="P287" cm="1">
        <f t="array" aca="1" ref="P287" ca="1">IFERROR(
    IF(N287=0, 0,
        SUMPRODUCT(
            N(
                _xlfn.IFNA(
                    VLOOKUP(
                        TRIM(MID(SUBSTITUTE(M287,",",REPT(" ",100)),
                        (ROW(INDIRECT("1:" &amp; LEN(M287)-LEN(SUBSTITUTE(M287,",","")) + 1))-1)*100 + 1, 100)),
                        $R$2:$T$101, 3, FALSE
                    ), 0)
            )
        ) / N287
    ),
0)</f>
        <v>0</v>
      </c>
    </row>
    <row r="288" spans="1:16">
      <c r="A288">
        <v>287</v>
      </c>
      <c r="B288" s="4" t="s">
        <v>555</v>
      </c>
      <c r="C288" s="1">
        <v>0</v>
      </c>
      <c r="D288" s="1">
        <v>0</v>
      </c>
      <c r="E288" s="1">
        <v>0</v>
      </c>
      <c r="F288" s="1">
        <v>0</v>
      </c>
      <c r="G288" s="1">
        <v>0</v>
      </c>
      <c r="H288" s="1">
        <v>0</v>
      </c>
      <c r="I288" s="1">
        <v>0</v>
      </c>
      <c r="J288" s="1">
        <v>0</v>
      </c>
      <c r="K288" s="1">
        <v>0</v>
      </c>
      <c r="L288" s="1">
        <v>0</v>
      </c>
      <c r="N288" t="str">
        <f t="shared" si="4"/>
        <v>0</v>
      </c>
      <c r="O288" s="6" t="str" cm="1">
        <f t="array" ref="O288">_xlfn.TEXTJOIN(", ",TRUE,
_xlfn.UNIQUE(
_xlfn._xlws.FILTER($S$2:$S$200,
ISNUMBER(SEARCH(LOWER($R$2:$R$200),LOWER(B288)))
)
))</f>
        <v/>
      </c>
      <c r="P288" cm="1">
        <f t="array" aca="1" ref="P288" ca="1">IFERROR(
    IF(N288=0, 0,
        SUMPRODUCT(
            N(
                _xlfn.IFNA(
                    VLOOKUP(
                        TRIM(MID(SUBSTITUTE(M288,",",REPT(" ",100)),
                        (ROW(INDIRECT("1:" &amp; LEN(M288)-LEN(SUBSTITUTE(M288,",","")) + 1))-1)*100 + 1, 100)),
                        $R$2:$T$101, 3, FALSE
                    ), 0)
            )
        ) / N288
    ),
0)</f>
        <v>0</v>
      </c>
    </row>
    <row r="289" spans="1:16" ht="30.75">
      <c r="A289">
        <v>288</v>
      </c>
      <c r="B289" s="4" t="s">
        <v>557</v>
      </c>
      <c r="C289" s="1">
        <v>0</v>
      </c>
      <c r="D289" s="1">
        <v>0</v>
      </c>
      <c r="E289" s="1">
        <v>0</v>
      </c>
      <c r="F289" s="1">
        <v>0</v>
      </c>
      <c r="G289" s="1">
        <v>0</v>
      </c>
      <c r="H289" s="1">
        <v>0</v>
      </c>
      <c r="I289" s="1">
        <v>0</v>
      </c>
      <c r="J289" s="1">
        <v>0</v>
      </c>
      <c r="K289" s="1">
        <v>0</v>
      </c>
      <c r="L289" s="1">
        <v>0</v>
      </c>
      <c r="M289" s="6" t="str" cm="1">
        <f t="array" ref="M289">_xlfn.TEXTJOIN(", ",TRUE,
_xlfn._xlws.FILTER($R$2:$R$101,
ISNUMBER(SEARCH(LOWER($R$2:$R$101),LOWER(B289)))
))</f>
        <v>brother</v>
      </c>
      <c r="N289">
        <f t="shared" si="4"/>
        <v>1</v>
      </c>
      <c r="O289" s="6" t="str" cm="1">
        <f t="array" ref="O289">_xlfn.TEXTJOIN(", ",TRUE,
_xlfn.UNIQUE(
_xlfn._xlws.FILTER($S$2:$S$200,
ISNUMBER(SEARCH(LOWER($R$2:$R$200),LOWER(B289)))
)
))</f>
        <v>Familial based</v>
      </c>
      <c r="P289" cm="1">
        <f t="array" aca="1" ref="P289" ca="1">IFERROR(
    IF(N289=0, 0,
        SUMPRODUCT(
            N(
                _xlfn.IFNA(
                    VLOOKUP(
                        TRIM(MID(SUBSTITUTE(M289,",",REPT(" ",100)),
                        (ROW(INDIRECT("1:" &amp; LEN(M289)-LEN(SUBSTITUTE(M289,",","")) + 1))-1)*100 + 1, 100)),
                        $R$2:$T$101, 3, FALSE
                    ), 0)
            )
        ) / N289
    ),
0)</f>
        <v>0</v>
      </c>
    </row>
    <row r="290" spans="1:16">
      <c r="A290">
        <v>289</v>
      </c>
      <c r="B290" s="4" t="s">
        <v>559</v>
      </c>
      <c r="C290" s="1">
        <v>0.33333333300000001</v>
      </c>
      <c r="D290" s="1">
        <v>1</v>
      </c>
      <c r="E290" s="1">
        <v>0</v>
      </c>
      <c r="F290" s="1">
        <v>0</v>
      </c>
      <c r="G290" s="1">
        <v>1</v>
      </c>
      <c r="H290" s="1">
        <v>0</v>
      </c>
      <c r="I290" s="1">
        <v>0</v>
      </c>
      <c r="J290" s="1">
        <v>0</v>
      </c>
      <c r="K290" s="1">
        <v>0</v>
      </c>
      <c r="L290" s="1">
        <v>0</v>
      </c>
      <c r="M290" s="6" t="str" cm="1">
        <f t="array" ref="M290">_xlfn.TEXTJOIN(", ",TRUE,
_xlfn._xlws.FILTER($R$2:$R$101,
ISNUMBER(SEARCH(LOWER($R$2:$R$101),LOWER(B290)))
))</f>
        <v>australian, australia, af</v>
      </c>
      <c r="N290">
        <f t="shared" si="4"/>
        <v>3</v>
      </c>
      <c r="O290" s="6" t="str" cm="1">
        <f t="array" ref="O290">_xlfn.TEXTJOIN(", ",TRUE,
_xlfn.UNIQUE(
_xlfn._xlws.FILTER($S$2:$S$200,
ISNUMBER(SEARCH(LOWER($R$2:$R$200),LOWER(B290)))
)
))</f>
        <v>Case Related, Intelligence based</v>
      </c>
      <c r="P290" cm="1">
        <f t="array" aca="1" ref="P290" ca="1">IFERROR(
    IF(N290=0, 0,
        SUMPRODUCT(
            N(
                _xlfn.IFNA(
                    VLOOKUP(
                        TRIM(MID(SUBSTITUTE(M290,",",REPT(" ",100)),
                        (ROW(INDIRECT("1:" &amp; LEN(M290)-LEN(SUBSTITUTE(M290,",","")) + 1))-1)*100 + 1, 100)),
                        $R$2:$T$101, 3, FALSE
                    ), 0)
            )
        ) / N290
    ),
0)</f>
        <v>0.33333333333333331</v>
      </c>
    </row>
    <row r="291" spans="1:16" ht="45.75">
      <c r="A291">
        <v>290</v>
      </c>
      <c r="B291" s="4" t="s">
        <v>561</v>
      </c>
      <c r="C291" s="1">
        <v>0</v>
      </c>
      <c r="D291" s="1">
        <v>0</v>
      </c>
      <c r="E291" s="1">
        <v>0</v>
      </c>
      <c r="F291" s="1">
        <v>0</v>
      </c>
      <c r="G291" s="1">
        <v>0</v>
      </c>
      <c r="H291" s="1">
        <v>0</v>
      </c>
      <c r="I291" s="1">
        <v>0</v>
      </c>
      <c r="J291" s="1">
        <v>0</v>
      </c>
      <c r="K291" s="1">
        <v>0</v>
      </c>
      <c r="L291" s="1">
        <v>0</v>
      </c>
      <c r="N291" t="str">
        <f t="shared" si="4"/>
        <v>0</v>
      </c>
      <c r="O291" s="6" t="str" cm="1">
        <f t="array" ref="O291">_xlfn.TEXTJOIN(", ",TRUE,
_xlfn.UNIQUE(
_xlfn._xlws.FILTER($S$2:$S$200,
ISNUMBER(SEARCH(LOWER($R$2:$R$200),LOWER(B291)))
)
))</f>
        <v/>
      </c>
      <c r="P291" cm="1">
        <f t="array" aca="1" ref="P291" ca="1">IFERROR(
    IF(N291=0, 0,
        SUMPRODUCT(
            N(
                _xlfn.IFNA(
                    VLOOKUP(
                        TRIM(MID(SUBSTITUTE(M291,",",REPT(" ",100)),
                        (ROW(INDIRECT("1:" &amp; LEN(M291)-LEN(SUBSTITUTE(M291,",","")) + 1))-1)*100 + 1, 100)),
                        $R$2:$T$101, 3, FALSE
                    ), 0)
            )
        ) / N291
    ),
0)</f>
        <v>0</v>
      </c>
    </row>
    <row r="292" spans="1:16" ht="45.75">
      <c r="A292">
        <v>291</v>
      </c>
      <c r="B292" s="4" t="s">
        <v>563</v>
      </c>
      <c r="C292" s="1">
        <v>0</v>
      </c>
      <c r="D292" s="1">
        <v>0</v>
      </c>
      <c r="E292" s="1">
        <v>0</v>
      </c>
      <c r="F292" s="1">
        <v>0</v>
      </c>
      <c r="G292" s="1">
        <v>0</v>
      </c>
      <c r="H292" s="1">
        <v>0</v>
      </c>
      <c r="I292" s="1">
        <v>0</v>
      </c>
      <c r="J292" s="1">
        <v>0</v>
      </c>
      <c r="K292" s="1">
        <v>0</v>
      </c>
      <c r="L292" s="1">
        <v>0</v>
      </c>
      <c r="M292" s="6" t="str" cm="1">
        <f t="array" ref="M292">_xlfn.TEXTJOIN(", ",TRUE,
_xlfn._xlws.FILTER($R$2:$R$101,
ISNUMBER(SEARCH(LOWER($R$2:$R$101),LOWER(B292)))
))</f>
        <v>schapelle corby, sister, corby, brother</v>
      </c>
      <c r="N292">
        <f t="shared" si="4"/>
        <v>4</v>
      </c>
      <c r="O292" s="6" t="str" cm="1">
        <f t="array" ref="O292">_xlfn.TEXTJOIN(", ",TRUE,
_xlfn.UNIQUE(
_xlfn._xlws.FILTER($S$2:$S$200,
ISNUMBER(SEARCH(LOWER($R$2:$R$200),LOWER(B292)))
)
))</f>
        <v>Case Related, Familial based</v>
      </c>
      <c r="P292" cm="1">
        <f t="array" aca="1" ref="P292" ca="1">IFERROR(
    IF(N292=0, 0,
        SUMPRODUCT(
            N(
                _xlfn.IFNA(
                    VLOOKUP(
                        TRIM(MID(SUBSTITUTE(M292,",",REPT(" ",100)),
                        (ROW(INDIRECT("1:" &amp; LEN(M292)-LEN(SUBSTITUTE(M292,",","")) + 1))-1)*100 + 1, 100)),
                        $R$2:$T$101, 3, FALSE
                    ), 0)
            )
        ) / N292
    ),
0)</f>
        <v>0</v>
      </c>
    </row>
    <row r="293" spans="1:16" ht="60.75">
      <c r="A293">
        <v>292</v>
      </c>
      <c r="B293" s="4" t="s">
        <v>565</v>
      </c>
      <c r="C293" s="10">
        <v>2</v>
      </c>
      <c r="D293" s="1">
        <v>6</v>
      </c>
      <c r="E293" s="1">
        <v>0</v>
      </c>
      <c r="F293" s="1">
        <v>0</v>
      </c>
      <c r="G293" s="1">
        <v>0</v>
      </c>
      <c r="H293" s="1">
        <v>0</v>
      </c>
      <c r="I293" s="1">
        <v>4</v>
      </c>
      <c r="J293" s="1">
        <v>0</v>
      </c>
      <c r="K293" s="1">
        <v>0</v>
      </c>
      <c r="L293" s="1">
        <v>0</v>
      </c>
      <c r="M293" s="6" t="str" cm="1">
        <f t="array" ref="M293">_xlfn.TEXTJOIN(", ",TRUE,
_xlfn._xlws.FILTER($R$2:$R$101,
ISNUMBER(SEARCH(LOWER($R$2:$R$101),LOWER(B293)))
))</f>
        <v>whole family, trashy, guilty</v>
      </c>
      <c r="N293">
        <f t="shared" si="4"/>
        <v>3</v>
      </c>
      <c r="O293" s="6" t="str" cm="1">
        <f t="array" ref="O293">_xlfn.TEXTJOIN(", ",TRUE,
_xlfn.UNIQUE(
_xlfn._xlws.FILTER($S$2:$S$200,
ISNUMBER(SEARCH(LOWER($R$2:$R$200),LOWER(B293)))
)
))</f>
        <v>Familial based, Class based, Legality based</v>
      </c>
      <c r="P293" cm="1">
        <f t="array" aca="1" ref="P293" ca="1">IFERROR(
    IF(N293=0, 0,
        SUMPRODUCT(
            N(
                _xlfn.IFNA(
                    VLOOKUP(
                        TRIM(MID(SUBSTITUTE(M293,",",REPT(" ",100)),
                        (ROW(INDIRECT("1:" &amp; LEN(M293)-LEN(SUBSTITUTE(M293,",","")) + 1))-1)*100 + 1, 100)),
                        $R$2:$T$101, 3, FALSE
                    ), 0)
            )
        ) / N293
    ),
0)</f>
        <v>1.3333333333333333</v>
      </c>
    </row>
    <row r="294" spans="1:16" ht="106.5">
      <c r="A294">
        <v>293</v>
      </c>
      <c r="B294" s="4" t="s">
        <v>567</v>
      </c>
      <c r="C294" s="1">
        <v>0.5</v>
      </c>
      <c r="D294" s="1">
        <v>1.5</v>
      </c>
      <c r="E294" s="1">
        <v>0</v>
      </c>
      <c r="F294" s="1">
        <v>0</v>
      </c>
      <c r="G294" s="1">
        <v>0</v>
      </c>
      <c r="H294" s="1">
        <v>0</v>
      </c>
      <c r="I294" s="1">
        <v>0</v>
      </c>
      <c r="J294" s="1">
        <v>0</v>
      </c>
      <c r="K294" s="1">
        <v>3</v>
      </c>
      <c r="L294" s="1">
        <v>0</v>
      </c>
      <c r="M294" s="6" t="str" cm="1">
        <f t="array" ref="M294">_xlfn.TEXTJOIN(", ",TRUE,
_xlfn._xlws.FILTER($R$2:$R$101,
ISNUMBER(SEARCH(LOWER($R$2:$R$101),LOWER(B294)))
))</f>
        <v xml:space="preserve">australia, marijuana , brother, disgusting, served, sentence </v>
      </c>
      <c r="N294">
        <f t="shared" si="4"/>
        <v>6</v>
      </c>
      <c r="O294" s="6" t="str" cm="1">
        <f t="array" ref="O294">_xlfn.TEXTJOIN(", ",TRUE,
_xlfn.UNIQUE(
_xlfn._xlws.FILTER($S$2:$S$200,
ISNUMBER(SEARCH(LOWER($R$2:$R$200),LOWER(B294)))
)
))</f>
        <v>Case Related, Crime based, Familial based, Moral condemnation, Legality based</v>
      </c>
      <c r="P294" cm="1">
        <f t="array" aca="1" ref="P294" ca="1">IFERROR(
    IF(N294=0, 0,
        SUMPRODUCT(
            N(
                _xlfn.IFNA(
                    VLOOKUP(
                        TRIM(MID(SUBSTITUTE(M294,",",REPT(" ",100)),
                        (ROW(INDIRECT("1:" &amp; LEN(M294)-LEN(SUBSTITUTE(M294,",","")) + 1))-1)*100 + 1, 100)),
                        $R$2:$T$101, 3, FALSE
                    ), 0)
            )
        ) / N294
    ),
0)</f>
        <v>0.5</v>
      </c>
    </row>
    <row r="295" spans="1:16" ht="137.25">
      <c r="A295">
        <v>294</v>
      </c>
      <c r="B295" s="4" t="s">
        <v>569</v>
      </c>
      <c r="C295" s="1">
        <v>1</v>
      </c>
      <c r="D295" s="1">
        <v>3</v>
      </c>
      <c r="E295" s="1">
        <v>0</v>
      </c>
      <c r="F295" s="1">
        <v>0</v>
      </c>
      <c r="G295" s="1">
        <v>1</v>
      </c>
      <c r="H295" s="1">
        <v>0</v>
      </c>
      <c r="I295" s="1">
        <v>0</v>
      </c>
      <c r="J295" s="1">
        <v>0</v>
      </c>
      <c r="K295" s="1">
        <v>3</v>
      </c>
      <c r="L295" s="1">
        <v>0</v>
      </c>
      <c r="M295" s="6" t="str" cm="1">
        <f t="array" ref="M295">_xlfn.TEXTJOIN(", ",TRUE,
_xlfn._xlws.FILTER($R$2:$R$101,
ISNUMBER(SEARCH(LOWER($R$2:$R$101),LOWER(B295)))
))</f>
        <v>af, disgusting, served, charged</v>
      </c>
      <c r="N295">
        <f t="shared" si="4"/>
        <v>4</v>
      </c>
      <c r="O295" s="6" t="str" cm="1">
        <f t="array" ref="O295">_xlfn.TEXTJOIN(", ",TRUE,
_xlfn.UNIQUE(
_xlfn._xlws.FILTER($S$2:$S$200,
ISNUMBER(SEARCH(LOWER($R$2:$R$200),LOWER(B295)))
)
))</f>
        <v>Intelligence based, Moral condemnation, Legality based</v>
      </c>
      <c r="P295" cm="1">
        <f t="array" aca="1" ref="P295" ca="1">IFERROR(
    IF(N295=0, 0,
        SUMPRODUCT(
            N(
                _xlfn.IFNA(
                    VLOOKUP(
                        TRIM(MID(SUBSTITUTE(M295,",",REPT(" ",100)),
                        (ROW(INDIRECT("1:" &amp; LEN(M295)-LEN(SUBSTITUTE(M295,",","")) + 1))-1)*100 + 1, 100)),
                        $R$2:$T$101, 3, FALSE
                    ), 0)
            )
        ) / N295
    ),
0)</f>
        <v>1</v>
      </c>
    </row>
    <row r="296" spans="1:16">
      <c r="A296">
        <v>295</v>
      </c>
      <c r="B296" s="4" t="s">
        <v>571</v>
      </c>
      <c r="C296" s="1">
        <v>0</v>
      </c>
      <c r="D296" s="1">
        <v>0</v>
      </c>
      <c r="E296" s="1">
        <v>0</v>
      </c>
      <c r="F296" s="1">
        <v>0</v>
      </c>
      <c r="G296" s="1">
        <v>0</v>
      </c>
      <c r="H296" s="1">
        <v>0</v>
      </c>
      <c r="I296" s="1">
        <v>0</v>
      </c>
      <c r="J296" s="1">
        <v>0</v>
      </c>
      <c r="K296" s="1">
        <v>0</v>
      </c>
      <c r="L296" s="1">
        <v>0</v>
      </c>
      <c r="M296" s="6" t="str" cm="1">
        <f t="array" ref="M296">_xlfn.TEXTJOIN(", ",TRUE,
_xlfn._xlws.FILTER($R$2:$R$101,
ISNUMBER(SEARCH(LOWER($R$2:$R$101),LOWER(B296)))
))</f>
        <v>Mercedes Corby, mercedes, corby</v>
      </c>
      <c r="N296">
        <f t="shared" si="4"/>
        <v>3</v>
      </c>
      <c r="O296" s="6" t="str" cm="1">
        <f t="array" ref="O296">_xlfn.TEXTJOIN(", ",TRUE,
_xlfn.UNIQUE(
_xlfn._xlws.FILTER($S$2:$S$200,
ISNUMBER(SEARCH(LOWER($R$2:$R$200),LOWER(B296)))
)
))</f>
        <v>Familial based</v>
      </c>
      <c r="P296" cm="1">
        <f t="array" aca="1" ref="P296" ca="1">IFERROR(
    IF(N296=0, 0,
        SUMPRODUCT(
            N(
                _xlfn.IFNA(
                    VLOOKUP(
                        TRIM(MID(SUBSTITUTE(M296,",",REPT(" ",100)),
                        (ROW(INDIRECT("1:" &amp; LEN(M296)-LEN(SUBSTITUTE(M296,",","")) + 1))-1)*100 + 1, 100)),
                        $R$2:$T$101, 3, FALSE
                    ), 0)
            )
        ) / N296
    ),
0)</f>
        <v>0</v>
      </c>
    </row>
    <row r="297" spans="1:16" ht="60.75">
      <c r="A297">
        <v>296</v>
      </c>
      <c r="B297" s="4" t="s">
        <v>573</v>
      </c>
      <c r="C297" s="1">
        <v>0</v>
      </c>
      <c r="D297" s="1">
        <v>0</v>
      </c>
      <c r="E297" s="1">
        <v>0</v>
      </c>
      <c r="F297" s="1">
        <v>0</v>
      </c>
      <c r="G297" s="1">
        <v>0</v>
      </c>
      <c r="H297" s="1">
        <v>0</v>
      </c>
      <c r="I297" s="1">
        <v>0</v>
      </c>
      <c r="J297" s="1">
        <v>0</v>
      </c>
      <c r="K297" s="1">
        <v>0</v>
      </c>
      <c r="L297" s="1">
        <v>0</v>
      </c>
      <c r="M297" s="6" t="str" cm="1">
        <f t="array" ref="M297">_xlfn.TEXTJOIN(", ",TRUE,
_xlfn._xlws.FILTER($R$2:$R$101,
ISNUMBER(SEARCH(LOWER($R$2:$R$101),LOWER(B297)))
))</f>
        <v>guilty</v>
      </c>
      <c r="N297">
        <f t="shared" si="4"/>
        <v>1</v>
      </c>
      <c r="O297" s="6" t="str" cm="1">
        <f t="array" ref="O297">_xlfn.TEXTJOIN(", ",TRUE,
_xlfn.UNIQUE(
_xlfn._xlws.FILTER($S$2:$S$200,
ISNUMBER(SEARCH(LOWER($R$2:$R$200),LOWER(B297)))
)
))</f>
        <v>Legality based</v>
      </c>
      <c r="P297" cm="1">
        <f t="array" aca="1" ref="P297" ca="1">IFERROR(
    IF(N297=0, 0,
        SUMPRODUCT(
            N(
                _xlfn.IFNA(
                    VLOOKUP(
                        TRIM(MID(SUBSTITUTE(M297,",",REPT(" ",100)),
                        (ROW(INDIRECT("1:" &amp; LEN(M297)-LEN(SUBSTITUTE(M297,",","")) + 1))-1)*100 + 1, 100)),
                        $R$2:$T$101, 3, FALSE
                    ), 0)
            )
        ) / N297
    ),
0)</f>
        <v>0</v>
      </c>
    </row>
    <row r="298" spans="1:16" ht="30.75">
      <c r="A298">
        <v>297</v>
      </c>
      <c r="B298" s="4" t="s">
        <v>575</v>
      </c>
      <c r="C298" s="1">
        <v>1</v>
      </c>
      <c r="D298" s="1">
        <v>3</v>
      </c>
      <c r="E298" s="1">
        <v>0</v>
      </c>
      <c r="F298" s="1">
        <v>0</v>
      </c>
      <c r="G298" s="1">
        <v>1</v>
      </c>
      <c r="H298" s="1">
        <v>0</v>
      </c>
      <c r="I298" s="1">
        <v>0</v>
      </c>
      <c r="J298" s="1">
        <v>0</v>
      </c>
      <c r="K298" s="1">
        <v>0</v>
      </c>
      <c r="L298" s="1">
        <v>0</v>
      </c>
      <c r="M298" s="6" t="str" cm="1">
        <f t="array" ref="M298">_xlfn.TEXTJOIN(", ",TRUE,
_xlfn._xlws.FILTER($R$2:$R$101,
ISNUMBER(SEARCH(LOWER($R$2:$R$101),LOWER(B298)))
))</f>
        <v>af</v>
      </c>
      <c r="N298">
        <f t="shared" si="4"/>
        <v>1</v>
      </c>
      <c r="O298" s="6" t="str" cm="1">
        <f t="array" ref="O298">_xlfn.TEXTJOIN(", ",TRUE,
_xlfn.UNIQUE(
_xlfn._xlws.FILTER($S$2:$S$200,
ISNUMBER(SEARCH(LOWER($R$2:$R$200),LOWER(B298)))
)
))</f>
        <v>Intelligence based</v>
      </c>
      <c r="P298" cm="1">
        <f t="array" aca="1" ref="P298" ca="1">IFERROR(
    IF(N298=0, 0,
        SUMPRODUCT(
            N(
                _xlfn.IFNA(
                    VLOOKUP(
                        TRIM(MID(SUBSTITUTE(M298,",",REPT(" ",100)),
                        (ROW(INDIRECT("1:" &amp; LEN(M298)-LEN(SUBSTITUTE(M298,",","")) + 1))-1)*100 + 1, 100)),
                        $R$2:$T$101, 3, FALSE
                    ), 0)
            )
        ) / N298
    ),
0)</f>
        <v>1</v>
      </c>
    </row>
    <row r="299" spans="1:16">
      <c r="A299">
        <v>298</v>
      </c>
      <c r="B299" s="4" t="s">
        <v>577</v>
      </c>
      <c r="C299" s="1">
        <v>0</v>
      </c>
      <c r="D299" s="1">
        <v>0</v>
      </c>
      <c r="E299" s="1">
        <v>0</v>
      </c>
      <c r="F299" s="1">
        <v>0</v>
      </c>
      <c r="G299" s="1">
        <v>0</v>
      </c>
      <c r="H299" s="1">
        <v>0</v>
      </c>
      <c r="I299" s="1">
        <v>0</v>
      </c>
      <c r="J299" s="1">
        <v>0</v>
      </c>
      <c r="K299" s="1">
        <v>0</v>
      </c>
      <c r="L299" s="1">
        <v>0</v>
      </c>
      <c r="N299" t="str">
        <f t="shared" si="4"/>
        <v>0</v>
      </c>
      <c r="O299" s="6" t="str" cm="1">
        <f t="array" ref="O299">_xlfn.TEXTJOIN(", ",TRUE,
_xlfn.UNIQUE(
_xlfn._xlws.FILTER($S$2:$S$200,
ISNUMBER(SEARCH(LOWER($R$2:$R$200),LOWER(B299)))
)
))</f>
        <v/>
      </c>
      <c r="P299" cm="1">
        <f t="array" aca="1" ref="P299" ca="1">IFERROR(
    IF(N299=0, 0,
        SUMPRODUCT(
            N(
                _xlfn.IFNA(
                    VLOOKUP(
                        TRIM(MID(SUBSTITUTE(M299,",",REPT(" ",100)),
                        (ROW(INDIRECT("1:" &amp; LEN(M299)-LEN(SUBSTITUTE(M299,",","")) + 1))-1)*100 + 1, 100)),
                        $R$2:$T$101, 3, FALSE
                    ), 0)
            )
        ) / N299
    ),
0)</f>
        <v>0</v>
      </c>
    </row>
    <row r="300" spans="1:16" ht="60.75">
      <c r="A300">
        <v>299</v>
      </c>
      <c r="B300" s="4" t="s">
        <v>579</v>
      </c>
      <c r="C300" s="1">
        <v>1.5</v>
      </c>
      <c r="D300" s="1">
        <v>1.5</v>
      </c>
      <c r="E300" s="1">
        <v>0</v>
      </c>
      <c r="F300" s="1">
        <v>2</v>
      </c>
      <c r="G300" s="1">
        <v>1</v>
      </c>
      <c r="H300" s="1">
        <v>0</v>
      </c>
      <c r="I300" s="1">
        <v>0</v>
      </c>
      <c r="J300" s="1">
        <v>0</v>
      </c>
      <c r="K300" s="1">
        <v>0</v>
      </c>
      <c r="L300" s="1">
        <v>0</v>
      </c>
      <c r="M300" s="6" t="str" cm="1">
        <f t="array" ref="M300">_xlfn.TEXTJOIN(", ",TRUE,
_xlfn._xlws.FILTER($R$2:$R$101,
ISNUMBER(SEARCH(LOWER($R$2:$R$101),LOWER(B300)))
))</f>
        <v>trafficker, af</v>
      </c>
      <c r="N300">
        <f t="shared" si="4"/>
        <v>2</v>
      </c>
      <c r="O300" s="6" t="str" cm="1">
        <f t="array" ref="O300">_xlfn.TEXTJOIN(", ",TRUE,
_xlfn.UNIQUE(
_xlfn._xlws.FILTER($S$2:$S$200,
ISNUMBER(SEARCH(LOWER($R$2:$R$200),LOWER(B300)))
)
))</f>
        <v>Crime based, Intelligence based</v>
      </c>
      <c r="P300" cm="1">
        <f t="array" aca="1" ref="P300" ca="1">IFERROR(
    IF(N300=0, 0,
        SUMPRODUCT(
            N(
                _xlfn.IFNA(
                    VLOOKUP(
                        TRIM(MID(SUBSTITUTE(M300,",",REPT(" ",100)),
                        (ROW(INDIRECT("1:" &amp; LEN(M300)-LEN(SUBSTITUTE(M300,",","")) + 1))-1)*100 + 1, 100)),
                        $R$2:$T$101, 3, FALSE
                    ), 0)
            )
        ) / N300
    ),
0)</f>
        <v>1.5</v>
      </c>
    </row>
    <row r="301" spans="1:16">
      <c r="A301">
        <v>300</v>
      </c>
      <c r="B301" s="4" t="s">
        <v>581</v>
      </c>
      <c r="C301" s="1">
        <v>0</v>
      </c>
      <c r="D301" s="1">
        <v>0</v>
      </c>
      <c r="E301" s="1">
        <v>0</v>
      </c>
      <c r="F301" s="1">
        <v>0</v>
      </c>
      <c r="G301" s="1">
        <v>0</v>
      </c>
      <c r="H301" s="1">
        <v>0</v>
      </c>
      <c r="I301" s="1">
        <v>0</v>
      </c>
      <c r="J301" s="1">
        <v>0</v>
      </c>
      <c r="K301" s="1">
        <v>0</v>
      </c>
      <c r="L301" s="1">
        <v>0</v>
      </c>
      <c r="M301" s="6" t="str" cm="1">
        <f t="array" ref="M301">_xlfn.TEXTJOIN(", ",TRUE,
_xlfn._xlws.FILTER($R$2:$R$101,
ISNUMBER(SEARCH(LOWER($R$2:$R$101),LOWER(B301)))
))</f>
        <v>sister</v>
      </c>
      <c r="N301">
        <f t="shared" si="4"/>
        <v>1</v>
      </c>
      <c r="O301" s="6" t="str" cm="1">
        <f t="array" ref="O301">_xlfn.TEXTJOIN(", ",TRUE,
_xlfn.UNIQUE(
_xlfn._xlws.FILTER($S$2:$S$200,
ISNUMBER(SEARCH(LOWER($R$2:$R$200),LOWER(B301)))
)
))</f>
        <v>Familial based</v>
      </c>
      <c r="P301" cm="1">
        <f t="array" aca="1" ref="P301" ca="1">IFERROR(
    IF(N301=0, 0,
        SUMPRODUCT(
            N(
                _xlfn.IFNA(
                    VLOOKUP(
                        TRIM(MID(SUBSTITUTE(M301,",",REPT(" ",100)),
                        (ROW(INDIRECT("1:" &amp; LEN(M301)-LEN(SUBSTITUTE(M301,",","")) + 1))-1)*100 + 1, 100)),
                        $R$2:$T$101, 3, FALSE
                    ), 0)
            )
        ) / N301
    ),
0)</f>
        <v>0</v>
      </c>
    </row>
    <row r="302" spans="1:16">
      <c r="A302">
        <v>301</v>
      </c>
      <c r="B302" s="4" t="s">
        <v>583</v>
      </c>
      <c r="C302" s="1">
        <v>0</v>
      </c>
      <c r="D302" s="1">
        <v>0</v>
      </c>
      <c r="E302" s="1">
        <v>0</v>
      </c>
      <c r="F302" s="1">
        <v>0</v>
      </c>
      <c r="G302" s="1">
        <v>0</v>
      </c>
      <c r="H302" s="1">
        <v>0</v>
      </c>
      <c r="I302" s="1">
        <v>0</v>
      </c>
      <c r="J302" s="1">
        <v>0</v>
      </c>
      <c r="K302" s="1">
        <v>0</v>
      </c>
      <c r="L302" s="1">
        <v>0</v>
      </c>
      <c r="N302" t="str">
        <f t="shared" si="4"/>
        <v>0</v>
      </c>
      <c r="O302" s="6" t="str" cm="1">
        <f t="array" ref="O302">_xlfn.TEXTJOIN(", ",TRUE,
_xlfn.UNIQUE(
_xlfn._xlws.FILTER($S$2:$S$200,
ISNUMBER(SEARCH(LOWER($R$2:$R$200),LOWER(B302)))
)
))</f>
        <v/>
      </c>
      <c r="P302" cm="1">
        <f t="array" aca="1" ref="P302" ca="1">IFERROR(
    IF(N302=0, 0,
        SUMPRODUCT(
            N(
                _xlfn.IFNA(
                    VLOOKUP(
                        TRIM(MID(SUBSTITUTE(M302,",",REPT(" ",100)),
                        (ROW(INDIRECT("1:" &amp; LEN(M302)-LEN(SUBSTITUTE(M302,",","")) + 1))-1)*100 + 1, 100)),
                        $R$2:$T$101, 3, FALSE
                    ), 0)
            )
        ) / N302
    ),
0)</f>
        <v>0</v>
      </c>
    </row>
    <row r="303" spans="1:16">
      <c r="A303">
        <v>302</v>
      </c>
      <c r="B303" s="4" t="s">
        <v>585</v>
      </c>
      <c r="C303" s="1">
        <v>0</v>
      </c>
      <c r="D303" s="1">
        <v>0</v>
      </c>
      <c r="E303" s="1">
        <v>0</v>
      </c>
      <c r="F303" s="1">
        <v>0</v>
      </c>
      <c r="G303" s="1">
        <v>0</v>
      </c>
      <c r="H303" s="1">
        <v>0</v>
      </c>
      <c r="I303" s="1">
        <v>0</v>
      </c>
      <c r="J303" s="1">
        <v>0</v>
      </c>
      <c r="K303" s="1">
        <v>0</v>
      </c>
      <c r="L303" s="1">
        <v>0</v>
      </c>
      <c r="N303" t="str">
        <f t="shared" si="4"/>
        <v>0</v>
      </c>
      <c r="O303" s="6" t="str" cm="1">
        <f t="array" ref="O303">_xlfn.TEXTJOIN(", ",TRUE,
_xlfn.UNIQUE(
_xlfn._xlws.FILTER($S$2:$S$200,
ISNUMBER(SEARCH(LOWER($R$2:$R$200),LOWER(B303)))
)
))</f>
        <v/>
      </c>
      <c r="P303" cm="1">
        <f t="array" aca="1" ref="P303" ca="1">IFERROR(
    IF(N303=0, 0,
        SUMPRODUCT(
            N(
                _xlfn.IFNA(
                    VLOOKUP(
                        TRIM(MID(SUBSTITUTE(M303,",",REPT(" ",100)),
                        (ROW(INDIRECT("1:" &amp; LEN(M303)-LEN(SUBSTITUTE(M303,",","")) + 1))-1)*100 + 1, 100)),
                        $R$2:$T$101, 3, FALSE
                    ), 0)
            )
        ) / N303
    ),
0)</f>
        <v>0</v>
      </c>
    </row>
    <row r="304" spans="1:16">
      <c r="A304">
        <v>303</v>
      </c>
      <c r="B304" s="4" t="s">
        <v>587</v>
      </c>
      <c r="C304" s="1">
        <v>0</v>
      </c>
      <c r="D304" s="1">
        <v>0</v>
      </c>
      <c r="E304" s="1">
        <v>0</v>
      </c>
      <c r="F304" s="1">
        <v>0</v>
      </c>
      <c r="G304" s="1">
        <v>0</v>
      </c>
      <c r="H304" s="1">
        <v>0</v>
      </c>
      <c r="I304" s="1">
        <v>0</v>
      </c>
      <c r="J304" s="1">
        <v>0</v>
      </c>
      <c r="K304" s="1">
        <v>0</v>
      </c>
      <c r="L304" s="1">
        <v>0</v>
      </c>
      <c r="M304" s="6" t="str" cm="1">
        <f t="array" ref="M304">_xlfn.TEXTJOIN(", ",TRUE,
_xlfn._xlws.FILTER($R$2:$R$101,
ISNUMBER(SEARCH(LOWER($R$2:$R$101),LOWER(B304)))
))</f>
        <v>whole family, guilty</v>
      </c>
      <c r="N304">
        <f t="shared" si="4"/>
        <v>2</v>
      </c>
      <c r="O304" s="6" t="str" cm="1">
        <f t="array" ref="O304">_xlfn.TEXTJOIN(", ",TRUE,
_xlfn.UNIQUE(
_xlfn._xlws.FILTER($S$2:$S$200,
ISNUMBER(SEARCH(LOWER($R$2:$R$200),LOWER(B304)))
)
))</f>
        <v>Familial based, Legality based</v>
      </c>
      <c r="P304" cm="1">
        <f t="array" aca="1" ref="P304" ca="1">IFERROR(
    IF(N304=0, 0,
        SUMPRODUCT(
            N(
                _xlfn.IFNA(
                    VLOOKUP(
                        TRIM(MID(SUBSTITUTE(M304,",",REPT(" ",100)),
                        (ROW(INDIRECT("1:" &amp; LEN(M304)-LEN(SUBSTITUTE(M304,",","")) + 1))-1)*100 + 1, 100)),
                        $R$2:$T$101, 3, FALSE
                    ), 0)
            )
        ) / N304
    ),
0)</f>
        <v>0</v>
      </c>
    </row>
    <row r="305" spans="1:16">
      <c r="A305">
        <v>304</v>
      </c>
      <c r="B305" s="4" t="s">
        <v>589</v>
      </c>
      <c r="C305" s="1">
        <v>0</v>
      </c>
      <c r="D305" s="1">
        <v>0</v>
      </c>
      <c r="E305" s="1">
        <v>0</v>
      </c>
      <c r="F305" s="1">
        <v>0</v>
      </c>
      <c r="G305" s="1">
        <v>0</v>
      </c>
      <c r="H305" s="1">
        <v>0</v>
      </c>
      <c r="I305" s="1">
        <v>0</v>
      </c>
      <c r="J305" s="1">
        <v>0</v>
      </c>
      <c r="K305" s="1">
        <v>0</v>
      </c>
      <c r="L305" s="1">
        <v>0</v>
      </c>
      <c r="N305" t="str">
        <f t="shared" si="4"/>
        <v>0</v>
      </c>
      <c r="O305" s="6" t="str" cm="1">
        <f t="array" ref="O305">_xlfn.TEXTJOIN(", ",TRUE,
_xlfn.UNIQUE(
_xlfn._xlws.FILTER($S$2:$S$200,
ISNUMBER(SEARCH(LOWER($R$2:$R$200),LOWER(B305)))
)
))</f>
        <v/>
      </c>
      <c r="P305" cm="1">
        <f t="array" aca="1" ref="P305" ca="1">IFERROR(
    IF(N305=0, 0,
        SUMPRODUCT(
            N(
                _xlfn.IFNA(
                    VLOOKUP(
                        TRIM(MID(SUBSTITUTE(M305,",",REPT(" ",100)),
                        (ROW(INDIRECT("1:" &amp; LEN(M305)-LEN(SUBSTITUTE(M305,",","")) + 1))-1)*100 + 1, 100)),
                        $R$2:$T$101, 3, FALSE
                    ), 0)
            )
        ) / N305
    ),
0)</f>
        <v>0</v>
      </c>
    </row>
    <row r="306" spans="1:16" ht="30.75">
      <c r="A306">
        <v>305</v>
      </c>
      <c r="B306" s="4" t="s">
        <v>591</v>
      </c>
      <c r="C306" s="1">
        <v>0</v>
      </c>
      <c r="D306" s="1">
        <v>0</v>
      </c>
      <c r="E306" s="1">
        <v>0</v>
      </c>
      <c r="F306" s="1">
        <v>0</v>
      </c>
      <c r="G306" s="1">
        <v>0</v>
      </c>
      <c r="H306" s="1">
        <v>0</v>
      </c>
      <c r="I306" s="1">
        <v>0</v>
      </c>
      <c r="J306" s="1">
        <v>0</v>
      </c>
      <c r="K306" s="1">
        <v>0</v>
      </c>
      <c r="L306" s="1">
        <v>0</v>
      </c>
      <c r="M306" s="6" t="str" cm="1">
        <f t="array" ref="M306">_xlfn.TEXTJOIN(", ",TRUE,
_xlfn._xlws.FILTER($R$2:$R$101,
ISNUMBER(SEARCH(LOWER($R$2:$R$101),LOWER(B306)))
))</f>
        <v>weed, brother</v>
      </c>
      <c r="N306">
        <f t="shared" si="4"/>
        <v>2</v>
      </c>
      <c r="O306" s="6" t="str" cm="1">
        <f t="array" ref="O306">_xlfn.TEXTJOIN(", ",TRUE,
_xlfn.UNIQUE(
_xlfn._xlws.FILTER($S$2:$S$200,
ISNUMBER(SEARCH(LOWER($R$2:$R$200),LOWER(B306)))
)
))</f>
        <v>Crime based, Familial based</v>
      </c>
      <c r="P306" cm="1">
        <f t="array" aca="1" ref="P306" ca="1">IFERROR(
    IF(N306=0, 0,
        SUMPRODUCT(
            N(
                _xlfn.IFNA(
                    VLOOKUP(
                        TRIM(MID(SUBSTITUTE(M306,",",REPT(" ",100)),
                        (ROW(INDIRECT("1:" &amp; LEN(M306)-LEN(SUBSTITUTE(M306,",","")) + 1))-1)*100 + 1, 100)),
                        $R$2:$T$101, 3, FALSE
                    ), 0)
            )
        ) / N306
    ),
0)</f>
        <v>0</v>
      </c>
    </row>
    <row r="307" spans="1:16">
      <c r="A307">
        <v>306</v>
      </c>
      <c r="B307" s="4" t="s">
        <v>593</v>
      </c>
      <c r="C307" s="1">
        <v>0.5</v>
      </c>
      <c r="D307" s="1">
        <v>0</v>
      </c>
      <c r="E307" s="1">
        <v>0</v>
      </c>
      <c r="F307" s="1">
        <v>1</v>
      </c>
      <c r="G307" s="1">
        <v>0</v>
      </c>
      <c r="H307" s="1">
        <v>0</v>
      </c>
      <c r="I307" s="1">
        <v>0</v>
      </c>
      <c r="J307" s="1">
        <v>0</v>
      </c>
      <c r="K307" s="1">
        <v>0</v>
      </c>
      <c r="L307" s="1">
        <v>0</v>
      </c>
      <c r="M307" s="6" t="str" cm="1">
        <f t="array" ref="M307">_xlfn.TEXTJOIN(", ",TRUE,
_xlfn._xlws.FILTER($R$2:$R$101,
ISNUMBER(SEARCH(LOWER($R$2:$R$101),LOWER(B307)))
))</f>
        <v>drug dealers, whole family</v>
      </c>
      <c r="N307">
        <f t="shared" si="4"/>
        <v>2</v>
      </c>
      <c r="O307" s="6" t="str" cm="1">
        <f t="array" ref="O307">_xlfn.TEXTJOIN(", ",TRUE,
_xlfn.UNIQUE(
_xlfn._xlws.FILTER($S$2:$S$200,
ISNUMBER(SEARCH(LOWER($R$2:$R$200),LOWER(B307)))
)
))</f>
        <v>Crime based, Familial based</v>
      </c>
      <c r="P307" cm="1">
        <f t="array" aca="1" ref="P307" ca="1">IFERROR(
    IF(N307=0, 0,
        SUMPRODUCT(
            N(
                _xlfn.IFNA(
                    VLOOKUP(
                        TRIM(MID(SUBSTITUTE(M307,",",REPT(" ",100)),
                        (ROW(INDIRECT("1:" &amp; LEN(M307)-LEN(SUBSTITUTE(M307,",","")) + 1))-1)*100 + 1, 100)),
                        $R$2:$T$101, 3, FALSE
                    ), 0)
            )
        ) / N307
    ),
0)</f>
        <v>0.5</v>
      </c>
    </row>
    <row r="308" spans="1:16" ht="30.75">
      <c r="A308">
        <v>307</v>
      </c>
      <c r="B308" s="4" t="s">
        <v>595</v>
      </c>
      <c r="C308" s="1">
        <v>1</v>
      </c>
      <c r="D308" s="1">
        <v>3</v>
      </c>
      <c r="E308" s="1">
        <v>0</v>
      </c>
      <c r="F308" s="1">
        <v>0</v>
      </c>
      <c r="G308" s="1">
        <v>0</v>
      </c>
      <c r="H308" s="1">
        <v>0</v>
      </c>
      <c r="I308" s="1">
        <v>4</v>
      </c>
      <c r="J308" s="1">
        <v>0</v>
      </c>
      <c r="K308" s="1">
        <v>0</v>
      </c>
      <c r="L308" s="1">
        <v>0</v>
      </c>
      <c r="M308" s="6" t="str" cm="1">
        <f t="array" ref="M308">_xlfn.TEXTJOIN(", ",TRUE,
_xlfn._xlws.FILTER($R$2:$R$101,
ISNUMBER(SEARCH(LOWER($R$2:$R$101),LOWER(B308)))
))</f>
        <v>marijuana , brother, father, feral</v>
      </c>
      <c r="N308">
        <f t="shared" si="4"/>
        <v>4</v>
      </c>
      <c r="O308" s="6" t="str" cm="1">
        <f t="array" ref="O308">_xlfn.TEXTJOIN(", ",TRUE,
_xlfn.UNIQUE(
_xlfn._xlws.FILTER($S$2:$S$200,
ISNUMBER(SEARCH(LOWER($R$2:$R$200),LOWER(B308)))
)
))</f>
        <v>Crime based, Familial based, Class based</v>
      </c>
      <c r="P308" cm="1">
        <f t="array" aca="1" ref="P308" ca="1">IFERROR(
    IF(N308=0, 0,
        SUMPRODUCT(
            N(
                _xlfn.IFNA(
                    VLOOKUP(
                        TRIM(MID(SUBSTITUTE(M308,",",REPT(" ",100)),
                        (ROW(INDIRECT("1:" &amp; LEN(M308)-LEN(SUBSTITUTE(M308,",","")) + 1))-1)*100 + 1, 100)),
                        $R$2:$T$101, 3, FALSE
                    ), 0)
            )
        ) / N308
    ),
0)</f>
        <v>1</v>
      </c>
    </row>
    <row r="309" spans="1:16">
      <c r="A309">
        <v>308</v>
      </c>
      <c r="B309" s="4" t="s">
        <v>597</v>
      </c>
      <c r="C309" s="1">
        <v>0</v>
      </c>
      <c r="D309" s="1">
        <v>0</v>
      </c>
      <c r="E309" s="1">
        <v>0</v>
      </c>
      <c r="F309" s="1">
        <v>0</v>
      </c>
      <c r="G309" s="1">
        <v>0</v>
      </c>
      <c r="H309" s="1">
        <v>0</v>
      </c>
      <c r="I309" s="1">
        <v>0</v>
      </c>
      <c r="J309" s="1">
        <v>0</v>
      </c>
      <c r="K309" s="1">
        <v>0</v>
      </c>
      <c r="L309" s="1">
        <v>0</v>
      </c>
      <c r="N309" t="str">
        <f t="shared" si="4"/>
        <v>0</v>
      </c>
      <c r="O309" s="6" t="str" cm="1">
        <f t="array" ref="O309">_xlfn.TEXTJOIN(", ",TRUE,
_xlfn.UNIQUE(
_xlfn._xlws.FILTER($S$2:$S$200,
ISNUMBER(SEARCH(LOWER($R$2:$R$200),LOWER(B309)))
)
))</f>
        <v/>
      </c>
      <c r="P309" cm="1">
        <f t="array" aca="1" ref="P309" ca="1">IFERROR(
    IF(N309=0, 0,
        SUMPRODUCT(
            N(
                _xlfn.IFNA(
                    VLOOKUP(
                        TRIM(MID(SUBSTITUTE(M309,",",REPT(" ",100)),
                        (ROW(INDIRECT("1:" &amp; LEN(M309)-LEN(SUBSTITUTE(M309,",","")) + 1))-1)*100 + 1, 100)),
                        $R$2:$T$101, 3, FALSE
                    ), 0)
            )
        ) / N309
    ),
0)</f>
        <v>0</v>
      </c>
    </row>
    <row r="310" spans="1:16" ht="45.75">
      <c r="A310">
        <v>309</v>
      </c>
      <c r="B310" s="4" t="s">
        <v>599</v>
      </c>
      <c r="C310" s="1">
        <v>0.75</v>
      </c>
      <c r="D310" s="1">
        <v>2.25</v>
      </c>
      <c r="E310" s="1">
        <v>0</v>
      </c>
      <c r="F310" s="1">
        <v>0</v>
      </c>
      <c r="G310" s="1">
        <v>0</v>
      </c>
      <c r="H310" s="1">
        <v>0</v>
      </c>
      <c r="I310" s="1">
        <v>3</v>
      </c>
      <c r="J310" s="1">
        <v>0</v>
      </c>
      <c r="K310" s="1">
        <v>0</v>
      </c>
      <c r="L310" s="1">
        <v>0</v>
      </c>
      <c r="M310" s="6" t="str" cm="1">
        <f t="array" ref="M310">_xlfn.TEXTJOIN(", ",TRUE,
_xlfn._xlws.FILTER($R$2:$R$101,
ISNUMBER(SEARCH(LOWER($R$2:$R$101),LOWER(B310)))
))</f>
        <v>drugs, sister, bogan, parole</v>
      </c>
      <c r="N310">
        <f t="shared" si="4"/>
        <v>4</v>
      </c>
      <c r="O310" s="6" t="str" cm="1">
        <f t="array" ref="O310">_xlfn.TEXTJOIN(", ",TRUE,
_xlfn.UNIQUE(
_xlfn._xlws.FILTER($S$2:$S$200,
ISNUMBER(SEARCH(LOWER($R$2:$R$200),LOWER(B310)))
)
))</f>
        <v>Crime based, Familial based, Class based, Legality based</v>
      </c>
      <c r="P310" cm="1">
        <f t="array" aca="1" ref="P310" ca="1">IFERROR(
    IF(N310=0, 0,
        SUMPRODUCT(
            N(
                _xlfn.IFNA(
                    VLOOKUP(
                        TRIM(MID(SUBSTITUTE(M310,",",REPT(" ",100)),
                        (ROW(INDIRECT("1:" &amp; LEN(M310)-LEN(SUBSTITUTE(M310,",","")) + 1))-1)*100 + 1, 100)),
                        $R$2:$T$101, 3, FALSE
                    ), 0)
            )
        ) / N310
    ),
0)</f>
        <v>0.75</v>
      </c>
    </row>
    <row r="311" spans="1:16" ht="45.75">
      <c r="A311">
        <v>310</v>
      </c>
      <c r="B311" s="4" t="s">
        <v>601</v>
      </c>
      <c r="C311" s="1">
        <v>0.5</v>
      </c>
      <c r="D311" s="1">
        <v>0.75</v>
      </c>
      <c r="E311" s="1">
        <v>0</v>
      </c>
      <c r="F311" s="1">
        <v>0.5</v>
      </c>
      <c r="G311" s="1">
        <v>1</v>
      </c>
      <c r="H311" s="1">
        <v>0</v>
      </c>
      <c r="I311" s="1">
        <v>0</v>
      </c>
      <c r="J311" s="1">
        <v>0</v>
      </c>
      <c r="K311" s="1">
        <v>0</v>
      </c>
      <c r="L311" s="1">
        <v>0</v>
      </c>
      <c r="M311" s="6" t="str" cm="1">
        <f t="array" ref="M311">_xlfn.TEXTJOIN(", ",TRUE,
_xlfn._xlws.FILTER($R$2:$R$101,
ISNUMBER(SEARCH(LOWER($R$2:$R$101),LOWER(B311)))
))</f>
        <v>convicted drug smuggler, drug smuggler, af, convicted</v>
      </c>
      <c r="N311">
        <f t="shared" si="4"/>
        <v>4</v>
      </c>
      <c r="O311" s="6" t="str" cm="1">
        <f t="array" ref="O311">_xlfn.TEXTJOIN(", ",TRUE,
_xlfn.UNIQUE(
_xlfn._xlws.FILTER($S$2:$S$200,
ISNUMBER(SEARCH(LOWER($R$2:$R$200),LOWER(B311)))
)
))</f>
        <v>Crime based, Intelligence based, Legality based</v>
      </c>
      <c r="P311" cm="1">
        <f t="array" aca="1" ref="P311" ca="1">IFERROR(
    IF(N311=0, 0,
        SUMPRODUCT(
            N(
                _xlfn.IFNA(
                    VLOOKUP(
                        TRIM(MID(SUBSTITUTE(M311,",",REPT(" ",100)),
                        (ROW(INDIRECT("1:" &amp; LEN(M311)-LEN(SUBSTITUTE(M311,",","")) + 1))-1)*100 + 1, 100)),
                        $R$2:$T$101, 3, FALSE
                    ), 0)
            )
        ) / N311
    ),
0)</f>
        <v>0.5</v>
      </c>
    </row>
    <row r="312" spans="1:16">
      <c r="A312">
        <v>311</v>
      </c>
      <c r="B312" s="4" t="s">
        <v>603</v>
      </c>
      <c r="C312" s="1">
        <v>3</v>
      </c>
      <c r="D312" s="1">
        <v>9</v>
      </c>
      <c r="E312" s="1">
        <v>0</v>
      </c>
      <c r="F312" s="1">
        <v>0</v>
      </c>
      <c r="G312" s="1">
        <v>0</v>
      </c>
      <c r="H312" s="1">
        <v>0</v>
      </c>
      <c r="I312" s="1">
        <v>3</v>
      </c>
      <c r="J312" s="1">
        <v>0</v>
      </c>
      <c r="K312" s="1">
        <v>0</v>
      </c>
      <c r="L312" s="1">
        <v>0</v>
      </c>
      <c r="M312" s="6" t="str" cm="1">
        <f t="array" ref="M312">_xlfn.TEXTJOIN(", ",TRUE,
_xlfn._xlws.FILTER($R$2:$R$101,
ISNUMBER(SEARCH(LOWER($R$2:$R$101),LOWER(B312)))
))</f>
        <v>bogan</v>
      </c>
      <c r="N312">
        <f t="shared" si="4"/>
        <v>1</v>
      </c>
      <c r="O312" s="6" t="str" cm="1">
        <f t="array" ref="O312">_xlfn.TEXTJOIN(", ",TRUE,
_xlfn.UNIQUE(
_xlfn._xlws.FILTER($S$2:$S$200,
ISNUMBER(SEARCH(LOWER($R$2:$R$200),LOWER(B312)))
)
))</f>
        <v>Class based</v>
      </c>
      <c r="P312" cm="1">
        <f t="array" aca="1" ref="P312" ca="1">IFERROR(
    IF(N312=0, 0,
        SUMPRODUCT(
            N(
                _xlfn.IFNA(
                    VLOOKUP(
                        TRIM(MID(SUBSTITUTE(M312,",",REPT(" ",100)),
                        (ROW(INDIRECT("1:" &amp; LEN(M312)-LEN(SUBSTITUTE(M312,",","")) + 1))-1)*100 + 1, 100)),
                        $R$2:$T$101, 3, FALSE
                    ), 0)
            )
        ) / N312
    ),
0)</f>
        <v>3</v>
      </c>
    </row>
    <row r="313" spans="1:16" ht="30.75">
      <c r="A313">
        <v>312</v>
      </c>
      <c r="B313" s="4" t="s">
        <v>605</v>
      </c>
      <c r="C313" s="1">
        <v>0</v>
      </c>
      <c r="D313" s="1">
        <v>0</v>
      </c>
      <c r="E313" s="1">
        <v>0</v>
      </c>
      <c r="F313" s="1">
        <v>0</v>
      </c>
      <c r="G313" s="1">
        <v>0</v>
      </c>
      <c r="H313" s="1">
        <v>0</v>
      </c>
      <c r="I313" s="1">
        <v>0</v>
      </c>
      <c r="J313" s="1">
        <v>0</v>
      </c>
      <c r="K313" s="1">
        <v>0</v>
      </c>
      <c r="L313" s="1">
        <v>0</v>
      </c>
      <c r="N313" t="str">
        <f t="shared" si="4"/>
        <v>0</v>
      </c>
      <c r="O313" s="6" t="str" cm="1">
        <f t="array" ref="O313">_xlfn.TEXTJOIN(", ",TRUE,
_xlfn.UNIQUE(
_xlfn._xlws.FILTER($S$2:$S$200,
ISNUMBER(SEARCH(LOWER($R$2:$R$200),LOWER(B313)))
)
))</f>
        <v/>
      </c>
      <c r="P313" cm="1">
        <f t="array" aca="1" ref="P313" ca="1">IFERROR(
    IF(N313=0, 0,
        SUMPRODUCT(
            N(
                _xlfn.IFNA(
                    VLOOKUP(
                        TRIM(MID(SUBSTITUTE(M313,",",REPT(" ",100)),
                        (ROW(INDIRECT("1:" &amp; LEN(M313)-LEN(SUBSTITUTE(M313,",","")) + 1))-1)*100 + 1, 100)),
                        $R$2:$T$101, 3, FALSE
                    ), 0)
            )
        ) / N313
    ),
0)</f>
        <v>0</v>
      </c>
    </row>
    <row r="314" spans="1:16" ht="16.5">
      <c r="A314">
        <v>313</v>
      </c>
      <c r="B314" s="4" t="s">
        <v>607</v>
      </c>
      <c r="C314" s="1">
        <v>0</v>
      </c>
      <c r="D314" s="1">
        <v>0</v>
      </c>
      <c r="E314" s="1">
        <v>0</v>
      </c>
      <c r="F314" s="1">
        <v>0</v>
      </c>
      <c r="G314" s="1">
        <v>0</v>
      </c>
      <c r="H314" s="1">
        <v>0</v>
      </c>
      <c r="I314" s="1">
        <v>0</v>
      </c>
      <c r="J314" s="1">
        <v>0</v>
      </c>
      <c r="K314" s="1">
        <v>0</v>
      </c>
      <c r="L314" s="1">
        <v>0</v>
      </c>
      <c r="N314" t="str">
        <f t="shared" si="4"/>
        <v>0</v>
      </c>
      <c r="O314" s="6" t="str" cm="1">
        <f t="array" ref="O314">_xlfn.TEXTJOIN(", ",TRUE,
_xlfn.UNIQUE(
_xlfn._xlws.FILTER($S$2:$S$200,
ISNUMBER(SEARCH(LOWER($R$2:$R$200),LOWER(B314)))
)
))</f>
        <v/>
      </c>
      <c r="P314" cm="1">
        <f t="array" aca="1" ref="P314" ca="1">IFERROR(
    IF(N314=0, 0,
        SUMPRODUCT(
            N(
                _xlfn.IFNA(
                    VLOOKUP(
                        TRIM(MID(SUBSTITUTE(M314,",",REPT(" ",100)),
                        (ROW(INDIRECT("1:" &amp; LEN(M314)-LEN(SUBSTITUTE(M314,",","")) + 1))-1)*100 + 1, 100)),
                        $R$2:$T$101, 3, FALSE
                    ), 0)
            )
        ) / N314
    ),
0)</f>
        <v>0</v>
      </c>
    </row>
    <row r="315" spans="1:16" ht="30.75">
      <c r="A315">
        <v>314</v>
      </c>
      <c r="B315" s="4" t="s">
        <v>609</v>
      </c>
      <c r="C315" s="1">
        <v>0</v>
      </c>
      <c r="D315" s="1">
        <v>0</v>
      </c>
      <c r="E315" s="1">
        <v>0</v>
      </c>
      <c r="F315" s="1">
        <v>0</v>
      </c>
      <c r="G315" s="1">
        <v>0</v>
      </c>
      <c r="H315" s="1">
        <v>0</v>
      </c>
      <c r="I315" s="1">
        <v>0</v>
      </c>
      <c r="J315" s="1">
        <v>0</v>
      </c>
      <c r="K315" s="1">
        <v>0</v>
      </c>
      <c r="L315" s="1">
        <v>0</v>
      </c>
      <c r="N315" t="str">
        <f t="shared" si="4"/>
        <v>0</v>
      </c>
      <c r="O315" s="6" t="str" cm="1">
        <f t="array" ref="O315">_xlfn.TEXTJOIN(", ",TRUE,
_xlfn.UNIQUE(
_xlfn._xlws.FILTER($S$2:$S$200,
ISNUMBER(SEARCH(LOWER($R$2:$R$200),LOWER(B315)))
)
))</f>
        <v/>
      </c>
      <c r="P315" cm="1">
        <f t="array" aca="1" ref="P315" ca="1">IFERROR(
    IF(N315=0, 0,
        SUMPRODUCT(
            N(
                _xlfn.IFNA(
                    VLOOKUP(
                        TRIM(MID(SUBSTITUTE(M315,",",REPT(" ",100)),
                        (ROW(INDIRECT("1:" &amp; LEN(M315)-LEN(SUBSTITUTE(M315,",","")) + 1))-1)*100 + 1, 100)),
                        $R$2:$T$101, 3, FALSE
                    ), 0)
            )
        ) / N315
    ),
0)</f>
        <v>0</v>
      </c>
    </row>
    <row r="316" spans="1:16">
      <c r="A316">
        <v>315</v>
      </c>
      <c r="B316" s="4" t="s">
        <v>611</v>
      </c>
      <c r="C316" s="1">
        <v>0</v>
      </c>
      <c r="D316" s="1">
        <v>0</v>
      </c>
      <c r="E316" s="1">
        <v>0</v>
      </c>
      <c r="F316" s="1">
        <v>0</v>
      </c>
      <c r="G316" s="1">
        <v>0</v>
      </c>
      <c r="H316" s="1">
        <v>0</v>
      </c>
      <c r="I316" s="1">
        <v>0</v>
      </c>
      <c r="J316" s="1">
        <v>0</v>
      </c>
      <c r="K316" s="1">
        <v>0</v>
      </c>
      <c r="L316" s="1">
        <v>0</v>
      </c>
      <c r="N316" t="str">
        <f t="shared" si="4"/>
        <v>0</v>
      </c>
      <c r="O316" s="6" t="str" cm="1">
        <f t="array" ref="O316">_xlfn.TEXTJOIN(", ",TRUE,
_xlfn.UNIQUE(
_xlfn._xlws.FILTER($S$2:$S$200,
ISNUMBER(SEARCH(LOWER($R$2:$R$200),LOWER(B316)))
)
))</f>
        <v/>
      </c>
      <c r="P316" cm="1">
        <f t="array" aca="1" ref="P316" ca="1">IFERROR(
    IF(N316=0, 0,
        SUMPRODUCT(
            N(
                _xlfn.IFNA(
                    VLOOKUP(
                        TRIM(MID(SUBSTITUTE(M316,",",REPT(" ",100)),
                        (ROW(INDIRECT("1:" &amp; LEN(M316)-LEN(SUBSTITUTE(M316,",","")) + 1))-1)*100 + 1, 100)),
                        $R$2:$T$101, 3, FALSE
                    ), 0)
            )
        ) / N316
    ),
0)</f>
        <v>0</v>
      </c>
    </row>
    <row r="317" spans="1:16">
      <c r="A317">
        <v>316</v>
      </c>
      <c r="B317" s="4" t="s">
        <v>613</v>
      </c>
      <c r="C317" s="1">
        <v>0</v>
      </c>
      <c r="D317" s="1">
        <v>0</v>
      </c>
      <c r="E317" s="1">
        <v>0</v>
      </c>
      <c r="F317" s="1">
        <v>0</v>
      </c>
      <c r="G317" s="1">
        <v>0</v>
      </c>
      <c r="H317" s="1">
        <v>0</v>
      </c>
      <c r="I317" s="1">
        <v>0</v>
      </c>
      <c r="J317" s="1">
        <v>0</v>
      </c>
      <c r="K317" s="1">
        <v>0</v>
      </c>
      <c r="L317" s="1">
        <v>0</v>
      </c>
      <c r="N317" t="str">
        <f t="shared" si="4"/>
        <v>0</v>
      </c>
      <c r="O317" s="6" t="str" cm="1">
        <f t="array" ref="O317">_xlfn.TEXTJOIN(", ",TRUE,
_xlfn.UNIQUE(
_xlfn._xlws.FILTER($S$2:$S$200,
ISNUMBER(SEARCH(LOWER($R$2:$R$200),LOWER(B317)))
)
))</f>
        <v/>
      </c>
      <c r="P317" cm="1">
        <f t="array" aca="1" ref="P317" ca="1">IFERROR(
    IF(N317=0, 0,
        SUMPRODUCT(
            N(
                _xlfn.IFNA(
                    VLOOKUP(
                        TRIM(MID(SUBSTITUTE(M317,",",REPT(" ",100)),
                        (ROW(INDIRECT("1:" &amp; LEN(M317)-LEN(SUBSTITUTE(M317,",","")) + 1))-1)*100 + 1, 100)),
                        $R$2:$T$101, 3, FALSE
                    ), 0)
            )
        ) / N317
    ),
0)</f>
        <v>0</v>
      </c>
    </row>
    <row r="318" spans="1:16">
      <c r="A318">
        <v>317</v>
      </c>
      <c r="B318" s="4" t="s">
        <v>615</v>
      </c>
      <c r="C318" s="1">
        <v>0</v>
      </c>
      <c r="D318" s="1">
        <v>0</v>
      </c>
      <c r="E318" s="1">
        <v>0</v>
      </c>
      <c r="F318" s="1">
        <v>0</v>
      </c>
      <c r="G318" s="1">
        <v>0</v>
      </c>
      <c r="H318" s="1">
        <v>0</v>
      </c>
      <c r="I318" s="1">
        <v>0</v>
      </c>
      <c r="J318" s="1">
        <v>0</v>
      </c>
      <c r="K318" s="1">
        <v>0</v>
      </c>
      <c r="L318" s="1">
        <v>0</v>
      </c>
      <c r="N318" t="str">
        <f t="shared" si="4"/>
        <v>0</v>
      </c>
      <c r="O318" s="6" t="str" cm="1">
        <f t="array" ref="O318">_xlfn.TEXTJOIN(", ",TRUE,
_xlfn.UNIQUE(
_xlfn._xlws.FILTER($S$2:$S$200,
ISNUMBER(SEARCH(LOWER($R$2:$R$200),LOWER(B318)))
)
))</f>
        <v/>
      </c>
      <c r="P318" cm="1">
        <f t="array" aca="1" ref="P318" ca="1">IFERROR(
    IF(N318=0, 0,
        SUMPRODUCT(
            N(
                _xlfn.IFNA(
                    VLOOKUP(
                        TRIM(MID(SUBSTITUTE(M318,",",REPT(" ",100)),
                        (ROW(INDIRECT("1:" &amp; LEN(M318)-LEN(SUBSTITUTE(M318,",","")) + 1))-1)*100 + 1, 100)),
                        $R$2:$T$101, 3, FALSE
                    ), 0)
            )
        ) / N318
    ),
0)</f>
        <v>0</v>
      </c>
    </row>
    <row r="319" spans="1:16">
      <c r="A319">
        <v>318</v>
      </c>
      <c r="B319" s="4" t="s">
        <v>617</v>
      </c>
      <c r="C319" s="1">
        <v>0</v>
      </c>
      <c r="D319" s="1">
        <v>0</v>
      </c>
      <c r="E319" s="1">
        <v>0</v>
      </c>
      <c r="F319" s="1">
        <v>0</v>
      </c>
      <c r="G319" s="1">
        <v>0</v>
      </c>
      <c r="H319" s="1">
        <v>0</v>
      </c>
      <c r="I319" s="1">
        <v>0</v>
      </c>
      <c r="J319" s="1">
        <v>0</v>
      </c>
      <c r="K319" s="1">
        <v>0</v>
      </c>
      <c r="L319" s="1">
        <v>0</v>
      </c>
      <c r="N319" t="str">
        <f t="shared" si="4"/>
        <v>0</v>
      </c>
      <c r="O319" s="6" t="str" cm="1">
        <f t="array" ref="O319">_xlfn.TEXTJOIN(", ",TRUE,
_xlfn.UNIQUE(
_xlfn._xlws.FILTER($S$2:$S$200,
ISNUMBER(SEARCH(LOWER($R$2:$R$200),LOWER(B319)))
)
))</f>
        <v/>
      </c>
      <c r="P319" cm="1">
        <f t="array" aca="1" ref="P319" ca="1">IFERROR(
    IF(N319=0, 0,
        SUMPRODUCT(
            N(
                _xlfn.IFNA(
                    VLOOKUP(
                        TRIM(MID(SUBSTITUTE(M319,",",REPT(" ",100)),
                        (ROW(INDIRECT("1:" &amp; LEN(M319)-LEN(SUBSTITUTE(M319,",","")) + 1))-1)*100 + 1, 100)),
                        $R$2:$T$101, 3, FALSE
                    ), 0)
            )
        ) / N319
    ),
0)</f>
        <v>0</v>
      </c>
    </row>
    <row r="320" spans="1:16">
      <c r="A320">
        <v>319</v>
      </c>
      <c r="B320" s="4" t="s">
        <v>619</v>
      </c>
      <c r="C320" s="1">
        <v>0</v>
      </c>
      <c r="D320" s="1">
        <v>0</v>
      </c>
      <c r="E320" s="1">
        <v>0</v>
      </c>
      <c r="F320" s="1">
        <v>0</v>
      </c>
      <c r="G320" s="1">
        <v>0</v>
      </c>
      <c r="H320" s="1">
        <v>0</v>
      </c>
      <c r="I320" s="1">
        <v>0</v>
      </c>
      <c r="J320" s="1">
        <v>0</v>
      </c>
      <c r="K320" s="1">
        <v>0</v>
      </c>
      <c r="L320" s="1">
        <v>0</v>
      </c>
      <c r="N320" t="str">
        <f t="shared" si="4"/>
        <v>0</v>
      </c>
      <c r="O320" s="6" t="str" cm="1">
        <f t="array" ref="O320">_xlfn.TEXTJOIN(", ",TRUE,
_xlfn.UNIQUE(
_xlfn._xlws.FILTER($S$2:$S$200,
ISNUMBER(SEARCH(LOWER($R$2:$R$200),LOWER(B320)))
)
))</f>
        <v/>
      </c>
      <c r="P320" cm="1">
        <f t="array" aca="1" ref="P320" ca="1">IFERROR(
    IF(N320=0, 0,
        SUMPRODUCT(
            N(
                _xlfn.IFNA(
                    VLOOKUP(
                        TRIM(MID(SUBSTITUTE(M320,",",REPT(" ",100)),
                        (ROW(INDIRECT("1:" &amp; LEN(M320)-LEN(SUBSTITUTE(M320,",","")) + 1))-1)*100 + 1, 100)),
                        $R$2:$T$101, 3, FALSE
                    ), 0)
            )
        ) / N320
    ),
0)</f>
        <v>0</v>
      </c>
    </row>
    <row r="321" spans="1:16" ht="30.75">
      <c r="A321">
        <v>320</v>
      </c>
      <c r="B321" s="4" t="s">
        <v>621</v>
      </c>
      <c r="C321" s="1">
        <v>0</v>
      </c>
      <c r="D321" s="1">
        <v>0</v>
      </c>
      <c r="E321" s="1">
        <v>0</v>
      </c>
      <c r="F321" s="1">
        <v>0</v>
      </c>
      <c r="G321" s="1">
        <v>0</v>
      </c>
      <c r="H321" s="1">
        <v>0</v>
      </c>
      <c r="I321" s="1">
        <v>0</v>
      </c>
      <c r="J321" s="1">
        <v>0</v>
      </c>
      <c r="K321" s="1">
        <v>0</v>
      </c>
      <c r="L321" s="1">
        <v>0</v>
      </c>
      <c r="M321" s="6" t="str" cm="1">
        <f t="array" ref="M321">_xlfn.TEXTJOIN(", ",TRUE,
_xlfn._xlws.FILTER($R$2:$R$101,
ISNUMBER(SEARCH(LOWER($R$2:$R$101),LOWER(B321)))
))</f>
        <v xml:space="preserve">corby, law </v>
      </c>
      <c r="N321">
        <f t="shared" si="4"/>
        <v>2</v>
      </c>
      <c r="O321" s="6" t="str" cm="1">
        <f t="array" ref="O321">_xlfn.TEXTJOIN(", ",TRUE,
_xlfn.UNIQUE(
_xlfn._xlws.FILTER($S$2:$S$200,
ISNUMBER(SEARCH(LOWER($R$2:$R$200),LOWER(B321)))
)
))</f>
        <v>Familial based, Legality based</v>
      </c>
      <c r="P321" cm="1">
        <f t="array" aca="1" ref="P321" ca="1">IFERROR(
    IF(N321=0, 0,
        SUMPRODUCT(
            N(
                _xlfn.IFNA(
                    VLOOKUP(
                        TRIM(MID(SUBSTITUTE(M321,",",REPT(" ",100)),
                        (ROW(INDIRECT("1:" &amp; LEN(M321)-LEN(SUBSTITUTE(M321,",","")) + 1))-1)*100 + 1, 100)),
                        $R$2:$T$101, 3, FALSE
                    ), 0)
            )
        ) / N321
    ),
0)</f>
        <v>0</v>
      </c>
    </row>
    <row r="322" spans="1:16">
      <c r="A322">
        <v>321</v>
      </c>
      <c r="B322" s="4" t="s">
        <v>623</v>
      </c>
      <c r="C322" s="1">
        <v>0</v>
      </c>
      <c r="D322" s="1">
        <v>0</v>
      </c>
      <c r="E322" s="1">
        <v>0</v>
      </c>
      <c r="F322" s="1">
        <v>0</v>
      </c>
      <c r="G322" s="1">
        <v>0</v>
      </c>
      <c r="H322" s="1">
        <v>0</v>
      </c>
      <c r="I322" s="1">
        <v>0</v>
      </c>
      <c r="J322" s="1">
        <v>0</v>
      </c>
      <c r="K322" s="1">
        <v>0</v>
      </c>
      <c r="L322" s="1">
        <v>0</v>
      </c>
      <c r="N322" t="str">
        <f t="shared" si="4"/>
        <v>0</v>
      </c>
      <c r="O322" s="6" t="str" cm="1">
        <f t="array" ref="O322">_xlfn.TEXTJOIN(", ",TRUE,
_xlfn.UNIQUE(
_xlfn._xlws.FILTER($S$2:$S$200,
ISNUMBER(SEARCH(LOWER($R$2:$R$200),LOWER(B322)))
)
))</f>
        <v/>
      </c>
      <c r="P322" cm="1">
        <f t="array" aca="1" ref="P322" ca="1">IFERROR(
    IF(N322=0, 0,
        SUMPRODUCT(
            N(
                _xlfn.IFNA(
                    VLOOKUP(
                        TRIM(MID(SUBSTITUTE(M322,",",REPT(" ",100)),
                        (ROW(INDIRECT("1:" &amp; LEN(M322)-LEN(SUBSTITUTE(M322,",","")) + 1))-1)*100 + 1, 100)),
                        $R$2:$T$101, 3, FALSE
                    ), 0)
            )
        ) / N322
    ),
0)</f>
        <v>0</v>
      </c>
    </row>
    <row r="323" spans="1:16">
      <c r="A323">
        <v>322</v>
      </c>
      <c r="B323" s="4" t="s">
        <v>625</v>
      </c>
      <c r="C323" s="1">
        <v>0</v>
      </c>
      <c r="D323" s="1">
        <v>0</v>
      </c>
      <c r="E323" s="1">
        <v>0</v>
      </c>
      <c r="F323" s="1">
        <v>0</v>
      </c>
      <c r="G323" s="1">
        <v>0</v>
      </c>
      <c r="H323" s="1">
        <v>0</v>
      </c>
      <c r="I323" s="1">
        <v>0</v>
      </c>
      <c r="J323" s="1">
        <v>0</v>
      </c>
      <c r="K323" s="1">
        <v>0</v>
      </c>
      <c r="L323" s="1">
        <v>0</v>
      </c>
      <c r="N323" t="str">
        <f t="shared" ref="N323:N386" si="5">IF(M323="","0",LEN(M323)-LEN(SUBSTITUTE(M323,",",""))+1)</f>
        <v>0</v>
      </c>
      <c r="O323" s="6" t="str" cm="1">
        <f t="array" ref="O323">_xlfn.TEXTJOIN(", ",TRUE,
_xlfn.UNIQUE(
_xlfn._xlws.FILTER($S$2:$S$200,
ISNUMBER(SEARCH(LOWER($R$2:$R$200),LOWER(B323)))
)
))</f>
        <v/>
      </c>
      <c r="P323" cm="1">
        <f t="array" aca="1" ref="P323" ca="1">IFERROR(
    IF(N323=0, 0,
        SUMPRODUCT(
            N(
                _xlfn.IFNA(
                    VLOOKUP(
                        TRIM(MID(SUBSTITUTE(M323,",",REPT(" ",100)),
                        (ROW(INDIRECT("1:" &amp; LEN(M323)-LEN(SUBSTITUTE(M323,",","")) + 1))-1)*100 + 1, 100)),
                        $R$2:$T$101, 3, FALSE
                    ), 0)
            )
        ) / N323
    ),
0)</f>
        <v>0</v>
      </c>
    </row>
    <row r="324" spans="1:16">
      <c r="A324">
        <v>323</v>
      </c>
      <c r="B324" s="4" t="s">
        <v>627</v>
      </c>
      <c r="C324" s="1">
        <v>0</v>
      </c>
      <c r="D324" s="1">
        <v>0</v>
      </c>
      <c r="E324" s="1">
        <v>0</v>
      </c>
      <c r="F324" s="1">
        <v>0</v>
      </c>
      <c r="G324" s="1">
        <v>0</v>
      </c>
      <c r="H324" s="1">
        <v>0</v>
      </c>
      <c r="I324" s="1">
        <v>0</v>
      </c>
      <c r="J324" s="1">
        <v>0</v>
      </c>
      <c r="K324" s="1">
        <v>0</v>
      </c>
      <c r="L324" s="1">
        <v>0</v>
      </c>
      <c r="N324" t="str">
        <f t="shared" si="5"/>
        <v>0</v>
      </c>
      <c r="O324" s="6" t="str" cm="1">
        <f t="array" ref="O324">_xlfn.TEXTJOIN(", ",TRUE,
_xlfn.UNIQUE(
_xlfn._xlws.FILTER($S$2:$S$200,
ISNUMBER(SEARCH(LOWER($R$2:$R$200),LOWER(B324)))
)
))</f>
        <v/>
      </c>
      <c r="P324" cm="1">
        <f t="array" aca="1" ref="P324" ca="1">IFERROR(
    IF(N324=0, 0,
        SUMPRODUCT(
            N(
                _xlfn.IFNA(
                    VLOOKUP(
                        TRIM(MID(SUBSTITUTE(M324,",",REPT(" ",100)),
                        (ROW(INDIRECT("1:" &amp; LEN(M324)-LEN(SUBSTITUTE(M324,",","")) + 1))-1)*100 + 1, 100)),
                        $R$2:$T$101, 3, FALSE
                    ), 0)
            )
        ) / N324
    ),
0)</f>
        <v>0</v>
      </c>
    </row>
    <row r="325" spans="1:16">
      <c r="A325">
        <v>324</v>
      </c>
      <c r="B325" s="4" t="s">
        <v>629</v>
      </c>
      <c r="C325" s="1">
        <v>0</v>
      </c>
      <c r="D325" s="1">
        <v>0</v>
      </c>
      <c r="E325" s="1">
        <v>0</v>
      </c>
      <c r="F325" s="1">
        <v>0</v>
      </c>
      <c r="G325" s="1">
        <v>0</v>
      </c>
      <c r="H325" s="1">
        <v>0</v>
      </c>
      <c r="I325" s="1">
        <v>0</v>
      </c>
      <c r="J325" s="1">
        <v>0</v>
      </c>
      <c r="K325" s="1">
        <v>0</v>
      </c>
      <c r="L325" s="1">
        <v>0</v>
      </c>
      <c r="N325" t="str">
        <f t="shared" si="5"/>
        <v>0</v>
      </c>
      <c r="O325" s="6" t="str" cm="1">
        <f t="array" ref="O325">_xlfn.TEXTJOIN(", ",TRUE,
_xlfn.UNIQUE(
_xlfn._xlws.FILTER($S$2:$S$200,
ISNUMBER(SEARCH(LOWER($R$2:$R$200),LOWER(B325)))
)
))</f>
        <v/>
      </c>
      <c r="P325" cm="1">
        <f t="array" aca="1" ref="P325" ca="1">IFERROR(
    IF(N325=0, 0,
        SUMPRODUCT(
            N(
                _xlfn.IFNA(
                    VLOOKUP(
                        TRIM(MID(SUBSTITUTE(M325,",",REPT(" ",100)),
                        (ROW(INDIRECT("1:" &amp; LEN(M325)-LEN(SUBSTITUTE(M325,",","")) + 1))-1)*100 + 1, 100)),
                        $R$2:$T$101, 3, FALSE
                    ), 0)
            )
        ) / N325
    ),
0)</f>
        <v>0</v>
      </c>
    </row>
    <row r="326" spans="1:16">
      <c r="A326">
        <v>325</v>
      </c>
      <c r="B326" s="4" t="s">
        <v>631</v>
      </c>
      <c r="C326" s="1">
        <v>3</v>
      </c>
      <c r="D326" s="1">
        <v>9</v>
      </c>
      <c r="E326" s="1">
        <v>0</v>
      </c>
      <c r="F326" s="1">
        <v>0</v>
      </c>
      <c r="G326" s="1">
        <v>0</v>
      </c>
      <c r="H326" s="1">
        <v>0</v>
      </c>
      <c r="I326" s="1">
        <v>3</v>
      </c>
      <c r="J326" s="1">
        <v>0</v>
      </c>
      <c r="K326" s="1">
        <v>0</v>
      </c>
      <c r="L326" s="1">
        <v>0</v>
      </c>
      <c r="M326" s="6" t="str" cm="1">
        <f t="array" ref="M326">_xlfn.TEXTJOIN(", ",TRUE,
_xlfn._xlws.FILTER($R$2:$R$101,
ISNUMBER(SEARCH(LOWER($R$2:$R$101),LOWER(B326)))
))</f>
        <v>bogan</v>
      </c>
      <c r="N326">
        <f t="shared" si="5"/>
        <v>1</v>
      </c>
      <c r="O326" s="6" t="str" cm="1">
        <f t="array" ref="O326">_xlfn.TEXTJOIN(", ",TRUE,
_xlfn.UNIQUE(
_xlfn._xlws.FILTER($S$2:$S$200,
ISNUMBER(SEARCH(LOWER($R$2:$R$200),LOWER(B326)))
)
))</f>
        <v>Class based</v>
      </c>
      <c r="P326" cm="1">
        <f t="array" aca="1" ref="P326" ca="1">IFERROR(
    IF(N326=0, 0,
        SUMPRODUCT(
            N(
                _xlfn.IFNA(
                    VLOOKUP(
                        TRIM(MID(SUBSTITUTE(M326,",",REPT(" ",100)),
                        (ROW(INDIRECT("1:" &amp; LEN(M326)-LEN(SUBSTITUTE(M326,",","")) + 1))-1)*100 + 1, 100)),
                        $R$2:$T$101, 3, FALSE
                    ), 0)
            )
        ) / N326
    ),
0)</f>
        <v>3</v>
      </c>
    </row>
    <row r="327" spans="1:16">
      <c r="A327">
        <v>326</v>
      </c>
      <c r="B327" s="4" t="s">
        <v>633</v>
      </c>
      <c r="C327" s="1">
        <v>0</v>
      </c>
      <c r="D327" s="1">
        <v>0</v>
      </c>
      <c r="E327" s="1">
        <v>0</v>
      </c>
      <c r="F327" s="1">
        <v>0</v>
      </c>
      <c r="G327" s="1">
        <v>0</v>
      </c>
      <c r="H327" s="1">
        <v>0</v>
      </c>
      <c r="I327" s="1">
        <v>0</v>
      </c>
      <c r="J327" s="1">
        <v>0</v>
      </c>
      <c r="K327" s="1">
        <v>0</v>
      </c>
      <c r="L327" s="1">
        <v>0</v>
      </c>
      <c r="N327" t="str">
        <f t="shared" si="5"/>
        <v>0</v>
      </c>
      <c r="O327" s="6" t="str" cm="1">
        <f t="array" ref="O327">_xlfn.TEXTJOIN(", ",TRUE,
_xlfn.UNIQUE(
_xlfn._xlws.FILTER($S$2:$S$200,
ISNUMBER(SEARCH(LOWER($R$2:$R$200),LOWER(B327)))
)
))</f>
        <v/>
      </c>
      <c r="P327" cm="1">
        <f t="array" aca="1" ref="P327" ca="1">IFERROR(
    IF(N327=0, 0,
        SUMPRODUCT(
            N(
                _xlfn.IFNA(
                    VLOOKUP(
                        TRIM(MID(SUBSTITUTE(M327,",",REPT(" ",100)),
                        (ROW(INDIRECT("1:" &amp; LEN(M327)-LEN(SUBSTITUTE(M327,",","")) + 1))-1)*100 + 1, 100)),
                        $R$2:$T$101, 3, FALSE
                    ), 0)
            )
        ) / N327
    ),
0)</f>
        <v>0</v>
      </c>
    </row>
    <row r="328" spans="1:16">
      <c r="A328">
        <v>327</v>
      </c>
      <c r="B328" s="4" t="s">
        <v>635</v>
      </c>
      <c r="C328" s="1">
        <v>3</v>
      </c>
      <c r="D328" s="1">
        <v>9</v>
      </c>
      <c r="E328" s="1">
        <v>0</v>
      </c>
      <c r="F328" s="1">
        <v>0</v>
      </c>
      <c r="G328" s="1">
        <v>0</v>
      </c>
      <c r="H328" s="1">
        <v>0</v>
      </c>
      <c r="I328" s="1">
        <v>3</v>
      </c>
      <c r="J328" s="1">
        <v>0</v>
      </c>
      <c r="K328" s="1">
        <v>0</v>
      </c>
      <c r="L328" s="1">
        <v>0</v>
      </c>
      <c r="M328" s="6" t="str" cm="1">
        <f t="array" ref="M328">_xlfn.TEXTJOIN(", ",TRUE,
_xlfn._xlws.FILTER($R$2:$R$101,
ISNUMBER(SEARCH(LOWER($R$2:$R$101),LOWER(B328)))
))</f>
        <v>bogan, redneck</v>
      </c>
      <c r="N328">
        <f t="shared" si="5"/>
        <v>2</v>
      </c>
      <c r="O328" s="6" t="str" cm="1">
        <f t="array" ref="O328">_xlfn.TEXTJOIN(", ",TRUE,
_xlfn.UNIQUE(
_xlfn._xlws.FILTER($S$2:$S$200,
ISNUMBER(SEARCH(LOWER($R$2:$R$200),LOWER(B328)))
)
))</f>
        <v>Class based</v>
      </c>
      <c r="P328" cm="1">
        <f t="array" aca="1" ref="P328" ca="1">IFERROR(
    IF(N328=0, 0,
        SUMPRODUCT(
            N(
                _xlfn.IFNA(
                    VLOOKUP(
                        TRIM(MID(SUBSTITUTE(M328,",",REPT(" ",100)),
                        (ROW(INDIRECT("1:" &amp; LEN(M328)-LEN(SUBSTITUTE(M328,",","")) + 1))-1)*100 + 1, 100)),
                        $R$2:$T$101, 3, FALSE
                    ), 0)
            )
        ) / N328
    ),
0)</f>
        <v>3</v>
      </c>
    </row>
    <row r="329" spans="1:16" ht="30.75">
      <c r="A329">
        <v>328</v>
      </c>
      <c r="B329" s="4" t="s">
        <v>637</v>
      </c>
      <c r="C329" s="1">
        <v>0</v>
      </c>
      <c r="D329" s="1">
        <v>0</v>
      </c>
      <c r="E329" s="1">
        <v>0</v>
      </c>
      <c r="F329" s="1">
        <v>0</v>
      </c>
      <c r="G329" s="1">
        <v>0</v>
      </c>
      <c r="H329" s="1">
        <v>0</v>
      </c>
      <c r="I329" s="1">
        <v>0</v>
      </c>
      <c r="J329" s="1">
        <v>0</v>
      </c>
      <c r="K329" s="1">
        <v>0</v>
      </c>
      <c r="L329" s="1">
        <v>0</v>
      </c>
      <c r="N329" t="str">
        <f t="shared" si="5"/>
        <v>0</v>
      </c>
      <c r="O329" s="6" t="str" cm="1">
        <f t="array" ref="O329">_xlfn.TEXTJOIN(", ",TRUE,
_xlfn.UNIQUE(
_xlfn._xlws.FILTER($S$2:$S$200,
ISNUMBER(SEARCH(LOWER($R$2:$R$200),LOWER(B329)))
)
))</f>
        <v/>
      </c>
      <c r="P329" cm="1">
        <f t="array" aca="1" ref="P329" ca="1">IFERROR(
    IF(N329=0, 0,
        SUMPRODUCT(
            N(
                _xlfn.IFNA(
                    VLOOKUP(
                        TRIM(MID(SUBSTITUTE(M329,",",REPT(" ",100)),
                        (ROW(INDIRECT("1:" &amp; LEN(M329)-LEN(SUBSTITUTE(M329,",","")) + 1))-1)*100 + 1, 100)),
                        $R$2:$T$101, 3, FALSE
                    ), 0)
            )
        ) / N329
    ),
0)</f>
        <v>0</v>
      </c>
    </row>
    <row r="330" spans="1:16">
      <c r="A330">
        <v>329</v>
      </c>
      <c r="B330" s="4" t="s">
        <v>639</v>
      </c>
      <c r="C330" s="1">
        <v>0</v>
      </c>
      <c r="D330" s="1">
        <v>0</v>
      </c>
      <c r="E330" s="1">
        <v>0</v>
      </c>
      <c r="F330" s="1">
        <v>0</v>
      </c>
      <c r="G330" s="1">
        <v>0</v>
      </c>
      <c r="H330" s="1">
        <v>0</v>
      </c>
      <c r="I330" s="1">
        <v>0</v>
      </c>
      <c r="J330" s="1">
        <v>0</v>
      </c>
      <c r="K330" s="1">
        <v>0</v>
      </c>
      <c r="L330" s="1">
        <v>0</v>
      </c>
      <c r="M330" s="6" t="str" cm="1">
        <f t="array" ref="M330">_xlfn.TEXTJOIN(", ",TRUE,
_xlfn._xlws.FILTER($R$2:$R$101,
ISNUMBER(SEARCH(LOWER($R$2:$R$101),LOWER(B330)))
))</f>
        <v>mercedes</v>
      </c>
      <c r="N330">
        <f t="shared" si="5"/>
        <v>1</v>
      </c>
      <c r="O330" s="6" t="str" cm="1">
        <f t="array" ref="O330">_xlfn.TEXTJOIN(", ",TRUE,
_xlfn.UNIQUE(
_xlfn._xlws.FILTER($S$2:$S$200,
ISNUMBER(SEARCH(LOWER($R$2:$R$200),LOWER(B330)))
)
))</f>
        <v>Familial based</v>
      </c>
      <c r="P330" cm="1">
        <f t="array" aca="1" ref="P330" ca="1">IFERROR(
    IF(N330=0, 0,
        SUMPRODUCT(
            N(
                _xlfn.IFNA(
                    VLOOKUP(
                        TRIM(MID(SUBSTITUTE(M330,",",REPT(" ",100)),
                        (ROW(INDIRECT("1:" &amp; LEN(M330)-LEN(SUBSTITUTE(M330,",","")) + 1))-1)*100 + 1, 100)),
                        $R$2:$T$101, 3, FALSE
                    ), 0)
            )
        ) / N330
    ),
0)</f>
        <v>0</v>
      </c>
    </row>
    <row r="331" spans="1:16" ht="32.25">
      <c r="A331">
        <v>330</v>
      </c>
      <c r="B331" s="4" t="s">
        <v>641</v>
      </c>
      <c r="C331" s="1">
        <v>0</v>
      </c>
      <c r="D331" s="1">
        <v>0</v>
      </c>
      <c r="E331" s="1">
        <v>0</v>
      </c>
      <c r="F331" s="1">
        <v>0</v>
      </c>
      <c r="G331" s="1">
        <v>0</v>
      </c>
      <c r="H331" s="1">
        <v>0</v>
      </c>
      <c r="I331" s="1">
        <v>0</v>
      </c>
      <c r="J331" s="1">
        <v>0</v>
      </c>
      <c r="K331" s="1">
        <v>0</v>
      </c>
      <c r="L331" s="1">
        <v>0</v>
      </c>
      <c r="M331" s="6" t="str" cm="1">
        <f t="array" ref="M331">_xlfn.TEXTJOIN(", ",TRUE,
_xlfn._xlws.FILTER($R$2:$R$101,
ISNUMBER(SEARCH(LOWER($R$2:$R$101),LOWER(B331)))
))</f>
        <v>Mercedes Corby, mercedes, corby</v>
      </c>
      <c r="N331">
        <f t="shared" si="5"/>
        <v>3</v>
      </c>
      <c r="O331" s="6" t="str" cm="1">
        <f t="array" ref="O331">_xlfn.TEXTJOIN(", ",TRUE,
_xlfn.UNIQUE(
_xlfn._xlws.FILTER($S$2:$S$200,
ISNUMBER(SEARCH(LOWER($R$2:$R$200),LOWER(B331)))
)
))</f>
        <v>Familial based</v>
      </c>
      <c r="P331" cm="1">
        <f t="array" aca="1" ref="P331" ca="1">IFERROR(
    IF(N331=0, 0,
        SUMPRODUCT(
            N(
                _xlfn.IFNA(
                    VLOOKUP(
                        TRIM(MID(SUBSTITUTE(M331,",",REPT(" ",100)),
                        (ROW(INDIRECT("1:" &amp; LEN(M331)-LEN(SUBSTITUTE(M331,",","")) + 1))-1)*100 + 1, 100)),
                        $R$2:$T$101, 3, FALSE
                    ), 0)
            )
        ) / N331
    ),
0)</f>
        <v>0</v>
      </c>
    </row>
    <row r="332" spans="1:16" ht="30.75">
      <c r="A332">
        <v>331</v>
      </c>
      <c r="B332" s="4" t="s">
        <v>643</v>
      </c>
      <c r="C332" s="1">
        <v>1.5</v>
      </c>
      <c r="D332" s="1">
        <v>2.5</v>
      </c>
      <c r="E332" s="1">
        <v>0</v>
      </c>
      <c r="F332" s="1">
        <v>0</v>
      </c>
      <c r="G332" s="1">
        <v>1</v>
      </c>
      <c r="H332" s="1">
        <v>0</v>
      </c>
      <c r="I332" s="1">
        <v>0</v>
      </c>
      <c r="J332" s="1">
        <v>2</v>
      </c>
      <c r="K332" s="1">
        <v>0</v>
      </c>
      <c r="L332" s="1">
        <v>0</v>
      </c>
      <c r="M332" s="6" t="str" cm="1">
        <f t="array" ref="M332">_xlfn.TEXTJOIN(", ",TRUE,
_xlfn._xlws.FILTER($R$2:$R$101,
ISNUMBER(SEARCH(LOWER($R$2:$R$101),LOWER(B332)))
))</f>
        <v>af, Corrupt</v>
      </c>
      <c r="N332">
        <f t="shared" si="5"/>
        <v>2</v>
      </c>
      <c r="O332" s="6" t="str" cm="1">
        <f t="array" ref="O332">_xlfn.TEXTJOIN(", ",TRUE,
_xlfn.UNIQUE(
_xlfn._xlws.FILTER($S$2:$S$200,
ISNUMBER(SEARCH(LOWER($R$2:$R$200),LOWER(B332)))
)
))</f>
        <v>Intelligence based, Authority based</v>
      </c>
      <c r="P332" cm="1">
        <f t="array" aca="1" ref="P332" ca="1">IFERROR(
    IF(N332=0, 0,
        SUMPRODUCT(
            N(
                _xlfn.IFNA(
                    VLOOKUP(
                        TRIM(MID(SUBSTITUTE(M332,",",REPT(" ",100)),
                        (ROW(INDIRECT("1:" &amp; LEN(M332)-LEN(SUBSTITUTE(M332,",","")) + 1))-1)*100 + 1, 100)),
                        $R$2:$T$101, 3, FALSE
                    ), 0)
            )
        ) / N332
    ),
0)</f>
        <v>1.5</v>
      </c>
    </row>
    <row r="333" spans="1:16" ht="47.25">
      <c r="A333">
        <v>332</v>
      </c>
      <c r="B333" s="4" t="s">
        <v>645</v>
      </c>
      <c r="C333" s="1">
        <v>0</v>
      </c>
      <c r="D333" s="1">
        <v>0</v>
      </c>
      <c r="E333" s="1">
        <v>0</v>
      </c>
      <c r="F333" s="1">
        <v>0</v>
      </c>
      <c r="G333" s="1">
        <v>0</v>
      </c>
      <c r="H333" s="1">
        <v>0</v>
      </c>
      <c r="I333" s="1">
        <v>0</v>
      </c>
      <c r="J333" s="1">
        <v>0</v>
      </c>
      <c r="K333" s="1">
        <v>0</v>
      </c>
      <c r="L333" s="1">
        <v>0</v>
      </c>
      <c r="M333" s="6" t="str" cm="1">
        <f t="array" ref="M333">_xlfn.TEXTJOIN(", ",TRUE,
_xlfn._xlws.FILTER($R$2:$R$101,
ISNUMBER(SEARCH(LOWER($R$2:$R$101),LOWER(B333)))
))</f>
        <v>set up</v>
      </c>
      <c r="N333">
        <f t="shared" si="5"/>
        <v>1</v>
      </c>
      <c r="O333" s="6" t="str" cm="1">
        <f t="array" ref="O333">_xlfn.TEXTJOIN(", ",TRUE,
_xlfn.UNIQUE(
_xlfn._xlws.FILTER($S$2:$S$200,
ISNUMBER(SEARCH(LOWER($R$2:$R$200),LOWER(B333)))
)
))</f>
        <v>Crime based</v>
      </c>
      <c r="P333" cm="1">
        <f t="array" aca="1" ref="P333" ca="1">IFERROR(
    IF(N333=0, 0,
        SUMPRODUCT(
            N(
                _xlfn.IFNA(
                    VLOOKUP(
                        TRIM(MID(SUBSTITUTE(M333,",",REPT(" ",100)),
                        (ROW(INDIRECT("1:" &amp; LEN(M333)-LEN(SUBSTITUTE(M333,",","")) + 1))-1)*100 + 1, 100)),
                        $R$2:$T$101, 3, FALSE
                    ), 0)
            )
        ) / N333
    ),
0)</f>
        <v>0</v>
      </c>
    </row>
    <row r="334" spans="1:16">
      <c r="A334">
        <v>333</v>
      </c>
      <c r="B334" s="4" t="s">
        <v>647</v>
      </c>
      <c r="C334" s="1">
        <v>0</v>
      </c>
      <c r="D334" s="1">
        <v>0</v>
      </c>
      <c r="E334" s="1">
        <v>0</v>
      </c>
      <c r="F334" s="1">
        <v>0</v>
      </c>
      <c r="G334" s="1">
        <v>0</v>
      </c>
      <c r="H334" s="1">
        <v>0</v>
      </c>
      <c r="I334" s="1">
        <v>0</v>
      </c>
      <c r="J334" s="1">
        <v>0</v>
      </c>
      <c r="K334" s="1">
        <v>0</v>
      </c>
      <c r="L334" s="1">
        <v>0</v>
      </c>
      <c r="N334" t="str">
        <f t="shared" si="5"/>
        <v>0</v>
      </c>
      <c r="O334" s="6" t="str" cm="1">
        <f t="array" ref="O334">_xlfn.TEXTJOIN(", ",TRUE,
_xlfn.UNIQUE(
_xlfn._xlws.FILTER($S$2:$S$200,
ISNUMBER(SEARCH(LOWER($R$2:$R$200),LOWER(B334)))
)
))</f>
        <v/>
      </c>
      <c r="P334" cm="1">
        <f t="array" aca="1" ref="P334" ca="1">IFERROR(
    IF(N334=0, 0,
        SUMPRODUCT(
            N(
                _xlfn.IFNA(
                    VLOOKUP(
                        TRIM(MID(SUBSTITUTE(M334,",",REPT(" ",100)),
                        (ROW(INDIRECT("1:" &amp; LEN(M334)-LEN(SUBSTITUTE(M334,",","")) + 1))-1)*100 + 1, 100)),
                        $R$2:$T$101, 3, FALSE
                    ), 0)
            )
        ) / N334
    ),
0)</f>
        <v>0</v>
      </c>
    </row>
    <row r="335" spans="1:16" ht="76.5">
      <c r="A335">
        <v>334</v>
      </c>
      <c r="B335" s="4" t="s">
        <v>649</v>
      </c>
      <c r="C335" s="1">
        <v>0.75</v>
      </c>
      <c r="D335" s="1">
        <v>2.25</v>
      </c>
      <c r="E335" s="1">
        <v>0</v>
      </c>
      <c r="F335" s="1">
        <v>0</v>
      </c>
      <c r="G335" s="1">
        <v>3</v>
      </c>
      <c r="H335" s="1">
        <v>0</v>
      </c>
      <c r="I335" s="1">
        <v>0</v>
      </c>
      <c r="J335" s="1">
        <v>0</v>
      </c>
      <c r="K335" s="1">
        <v>0</v>
      </c>
      <c r="L335" s="1">
        <v>0</v>
      </c>
      <c r="M335" s="6" t="str" cm="1">
        <f t="array" ref="M335">_xlfn.TEXTJOIN(", ",TRUE,
_xlfn._xlws.FILTER($R$2:$R$101,
ISNUMBER(SEARCH(LOWER($R$2:$R$101),LOWER(B335)))
))</f>
        <v>smuggling, weed, moron, served</v>
      </c>
      <c r="N335">
        <f t="shared" si="5"/>
        <v>4</v>
      </c>
      <c r="O335" s="6" t="str" cm="1">
        <f t="array" ref="O335">_xlfn.TEXTJOIN(", ",TRUE,
_xlfn.UNIQUE(
_xlfn._xlws.FILTER($S$2:$S$200,
ISNUMBER(SEARCH(LOWER($R$2:$R$200),LOWER(B335)))
)
))</f>
        <v>Case Related, Crime based, Intelligence based, Legality based</v>
      </c>
      <c r="P335" cm="1">
        <f t="array" aca="1" ref="P335" ca="1">IFERROR(
    IF(N335=0, 0,
        SUMPRODUCT(
            N(
                _xlfn.IFNA(
                    VLOOKUP(
                        TRIM(MID(SUBSTITUTE(M335,",",REPT(" ",100)),
                        (ROW(INDIRECT("1:" &amp; LEN(M335)-LEN(SUBSTITUTE(M335,",","")) + 1))-1)*100 + 1, 100)),
                        $R$2:$T$101, 3, FALSE
                    ), 0)
            )
        ) / N335
    ),
0)</f>
        <v>0.75</v>
      </c>
    </row>
    <row r="336" spans="1:16" ht="60.75">
      <c r="A336">
        <v>335</v>
      </c>
      <c r="B336" s="4" t="s">
        <v>651</v>
      </c>
      <c r="C336" s="1">
        <v>1</v>
      </c>
      <c r="D336" s="1">
        <v>3</v>
      </c>
      <c r="E336" s="1">
        <v>0</v>
      </c>
      <c r="F336" s="1">
        <v>0</v>
      </c>
      <c r="G336" s="1">
        <v>3</v>
      </c>
      <c r="H336" s="1">
        <v>0</v>
      </c>
      <c r="I336" s="1">
        <v>0</v>
      </c>
      <c r="J336" s="1">
        <v>0</v>
      </c>
      <c r="K336" s="1">
        <v>0</v>
      </c>
      <c r="L336" s="1">
        <v>0</v>
      </c>
      <c r="M336" s="6" t="str" cm="1">
        <f t="array" ref="M336">_xlfn.TEXTJOIN(", ",TRUE,
_xlfn._xlws.FILTER($R$2:$R$101,
ISNUMBER(SEARCH(LOWER($R$2:$R$101),LOWER(B336)))
))</f>
        <v>smuggling, drugs, stupid</v>
      </c>
      <c r="N336">
        <f t="shared" si="5"/>
        <v>3</v>
      </c>
      <c r="O336" s="6" t="str" cm="1">
        <f t="array" ref="O336">_xlfn.TEXTJOIN(", ",TRUE,
_xlfn.UNIQUE(
_xlfn._xlws.FILTER($S$2:$S$200,
ISNUMBER(SEARCH(LOWER($R$2:$R$200),LOWER(B336)))
)
))</f>
        <v>Case Related, Crime based, Intelligence based</v>
      </c>
      <c r="P336" cm="1">
        <f t="array" aca="1" ref="P336" ca="1">IFERROR(
    IF(N336=0, 0,
        SUMPRODUCT(
            N(
                _xlfn.IFNA(
                    VLOOKUP(
                        TRIM(MID(SUBSTITUTE(M336,",",REPT(" ",100)),
                        (ROW(INDIRECT("1:" &amp; LEN(M336)-LEN(SUBSTITUTE(M336,",","")) + 1))-1)*100 + 1, 100)),
                        $R$2:$T$101, 3, FALSE
                    ), 0)
            )
        ) / N336
    ),
0)</f>
        <v>1</v>
      </c>
    </row>
    <row r="337" spans="1:16">
      <c r="A337">
        <v>336</v>
      </c>
      <c r="B337" s="4" t="s">
        <v>653</v>
      </c>
      <c r="C337" s="1">
        <v>3</v>
      </c>
      <c r="D337" s="1">
        <v>9</v>
      </c>
      <c r="E337" s="1">
        <v>0</v>
      </c>
      <c r="F337" s="1">
        <v>0</v>
      </c>
      <c r="G337" s="1">
        <v>3</v>
      </c>
      <c r="H337" s="1">
        <v>0</v>
      </c>
      <c r="I337" s="1">
        <v>0</v>
      </c>
      <c r="J337" s="1">
        <v>0</v>
      </c>
      <c r="K337" s="1">
        <v>0</v>
      </c>
      <c r="L337" s="1">
        <v>0</v>
      </c>
      <c r="M337" s="6" t="str" cm="1">
        <f t="array" ref="M337">_xlfn.TEXTJOIN(", ",TRUE,
_xlfn._xlws.FILTER($R$2:$R$101,
ISNUMBER(SEARCH(LOWER($R$2:$R$101),LOWER(B337)))
))</f>
        <v>dumb</v>
      </c>
      <c r="N337">
        <f t="shared" si="5"/>
        <v>1</v>
      </c>
      <c r="O337" s="6" t="str" cm="1">
        <f t="array" ref="O337">_xlfn.TEXTJOIN(", ",TRUE,
_xlfn.UNIQUE(
_xlfn._xlws.FILTER($S$2:$S$200,
ISNUMBER(SEARCH(LOWER($R$2:$R$200),LOWER(B337)))
)
))</f>
        <v>Intelligence based</v>
      </c>
      <c r="P337" cm="1">
        <f t="array" aca="1" ref="P337" ca="1">IFERROR(
    IF(N337=0, 0,
        SUMPRODUCT(
            N(
                _xlfn.IFNA(
                    VLOOKUP(
                        TRIM(MID(SUBSTITUTE(M337,",",REPT(" ",100)),
                        (ROW(INDIRECT("1:" &amp; LEN(M337)-LEN(SUBSTITUTE(M337,",","")) + 1))-1)*100 + 1, 100)),
                        $R$2:$T$101, 3, FALSE
                    ), 0)
            )
        ) / N337
    ),
0)</f>
        <v>3</v>
      </c>
    </row>
    <row r="338" spans="1:16" ht="30.75">
      <c r="A338">
        <v>337</v>
      </c>
      <c r="B338" s="4" t="s">
        <v>655</v>
      </c>
      <c r="C338" s="1">
        <v>0</v>
      </c>
      <c r="D338" s="1">
        <v>0</v>
      </c>
      <c r="E338" s="1">
        <v>0</v>
      </c>
      <c r="F338" s="1">
        <v>0</v>
      </c>
      <c r="G338" s="1">
        <v>0</v>
      </c>
      <c r="H338" s="1">
        <v>0</v>
      </c>
      <c r="I338" s="1">
        <v>0</v>
      </c>
      <c r="J338" s="1">
        <v>0</v>
      </c>
      <c r="K338" s="1">
        <v>0</v>
      </c>
      <c r="L338" s="1">
        <v>0</v>
      </c>
      <c r="M338" s="6" t="str" cm="1">
        <f t="array" ref="M338">_xlfn.TEXTJOIN(", ",TRUE,
_xlfn._xlws.FILTER($R$2:$R$101,
ISNUMBER(SEARCH(LOWER($R$2:$R$101),LOWER(B338)))
))</f>
        <v>drugs</v>
      </c>
      <c r="N338">
        <f t="shared" si="5"/>
        <v>1</v>
      </c>
      <c r="O338" s="6" t="str" cm="1">
        <f t="array" ref="O338">_xlfn.TEXTJOIN(", ",TRUE,
_xlfn.UNIQUE(
_xlfn._xlws.FILTER($S$2:$S$200,
ISNUMBER(SEARCH(LOWER($R$2:$R$200),LOWER(B338)))
)
))</f>
        <v>Crime based</v>
      </c>
      <c r="P338" cm="1">
        <f t="array" aca="1" ref="P338" ca="1">IFERROR(
    IF(N338=0, 0,
        SUMPRODUCT(
            N(
                _xlfn.IFNA(
                    VLOOKUP(
                        TRIM(MID(SUBSTITUTE(M338,",",REPT(" ",100)),
                        (ROW(INDIRECT("1:" &amp; LEN(M338)-LEN(SUBSTITUTE(M338,",","")) + 1))-1)*100 + 1, 100)),
                        $R$2:$T$101, 3, FALSE
                    ), 0)
            )
        ) / N338
    ),
0)</f>
        <v>0</v>
      </c>
    </row>
    <row r="339" spans="1:16" ht="32.25">
      <c r="A339">
        <v>338</v>
      </c>
      <c r="B339" s="4" t="s">
        <v>657</v>
      </c>
      <c r="C339" s="1">
        <v>1</v>
      </c>
      <c r="D339" s="1">
        <v>0</v>
      </c>
      <c r="E339" s="1">
        <v>0</v>
      </c>
      <c r="F339" s="1">
        <v>1</v>
      </c>
      <c r="G339" s="1">
        <v>0</v>
      </c>
      <c r="H339" s="1">
        <v>0</v>
      </c>
      <c r="I339" s="1">
        <v>0</v>
      </c>
      <c r="J339" s="1">
        <v>0</v>
      </c>
      <c r="K339" s="1">
        <v>0</v>
      </c>
      <c r="L339" s="1">
        <v>0</v>
      </c>
      <c r="M339" s="6" t="str" cm="1">
        <f t="array" ref="M339">_xlfn.TEXTJOIN(", ",TRUE,
_xlfn._xlws.FILTER($R$2:$R$101,
ISNUMBER(SEARCH(LOWER($R$2:$R$101),LOWER(B339)))
))</f>
        <v>criminal</v>
      </c>
      <c r="N339">
        <f t="shared" si="5"/>
        <v>1</v>
      </c>
      <c r="O339" s="6" t="str" cm="1">
        <f t="array" ref="O339">_xlfn.TEXTJOIN(", ",TRUE,
_xlfn.UNIQUE(
_xlfn._xlws.FILTER($S$2:$S$200,
ISNUMBER(SEARCH(LOWER($R$2:$R$200),LOWER(B339)))
)
))</f>
        <v>Crime based</v>
      </c>
      <c r="P339" cm="1">
        <f t="array" aca="1" ref="P339" ca="1">IFERROR(
    IF(N339=0, 0,
        SUMPRODUCT(
            N(
                _xlfn.IFNA(
                    VLOOKUP(
                        TRIM(MID(SUBSTITUTE(M339,",",REPT(" ",100)),
                        (ROW(INDIRECT("1:" &amp; LEN(M339)-LEN(SUBSTITUTE(M339,",","")) + 1))-1)*100 + 1, 100)),
                        $R$2:$T$101, 3, FALSE
                    ), 0)
            )
        ) / N339
    ),
0)</f>
        <v>1</v>
      </c>
    </row>
    <row r="340" spans="1:16" ht="60.75">
      <c r="A340">
        <v>339</v>
      </c>
      <c r="B340" s="4" t="s">
        <v>659</v>
      </c>
      <c r="C340" s="1">
        <v>0</v>
      </c>
      <c r="D340" s="1">
        <v>0</v>
      </c>
      <c r="E340" s="1">
        <v>0</v>
      </c>
      <c r="F340" s="1">
        <v>0</v>
      </c>
      <c r="G340" s="1">
        <v>0</v>
      </c>
      <c r="H340" s="1">
        <v>0</v>
      </c>
      <c r="I340" s="1">
        <v>0</v>
      </c>
      <c r="J340" s="1">
        <v>0</v>
      </c>
      <c r="K340" s="1">
        <v>0</v>
      </c>
      <c r="L340" s="1">
        <v>0</v>
      </c>
      <c r="M340" s="6" t="str" cm="1">
        <f t="array" ref="M340">_xlfn.TEXTJOIN(", ",TRUE,
_xlfn._xlws.FILTER($R$2:$R$101,
ISNUMBER(SEARCH(LOWER($R$2:$R$101),LOWER(B340)))
))</f>
        <v>proof</v>
      </c>
      <c r="N340">
        <f t="shared" si="5"/>
        <v>1</v>
      </c>
      <c r="O340" s="6" t="str" cm="1">
        <f t="array" ref="O340">_xlfn.TEXTJOIN(", ",TRUE,
_xlfn.UNIQUE(
_xlfn._xlws.FILTER($S$2:$S$200,
ISNUMBER(SEARCH(LOWER($R$2:$R$200),LOWER(B340)))
)
))</f>
        <v>Crime based</v>
      </c>
      <c r="P340" cm="1">
        <f t="array" aca="1" ref="P340" ca="1">IFERROR(
    IF(N340=0, 0,
        SUMPRODUCT(
            N(
                _xlfn.IFNA(
                    VLOOKUP(
                        TRIM(MID(SUBSTITUTE(M340,",",REPT(" ",100)),
                        (ROW(INDIRECT("1:" &amp; LEN(M340)-LEN(SUBSTITUTE(M340,",","")) + 1))-1)*100 + 1, 100)),
                        $R$2:$T$101, 3, FALSE
                    ), 0)
            )
        ) / N340
    ),
0)</f>
        <v>0</v>
      </c>
    </row>
    <row r="341" spans="1:16" ht="76.5">
      <c r="A341">
        <v>340</v>
      </c>
      <c r="B341" s="4" t="s">
        <v>661</v>
      </c>
      <c r="C341" s="1">
        <v>1</v>
      </c>
      <c r="D341" s="1">
        <v>1</v>
      </c>
      <c r="E341" s="1">
        <v>0</v>
      </c>
      <c r="F341" s="1">
        <v>2</v>
      </c>
      <c r="G341" s="1">
        <v>1</v>
      </c>
      <c r="H341" s="1">
        <v>0</v>
      </c>
      <c r="I341" s="1">
        <v>0</v>
      </c>
      <c r="J341" s="1">
        <v>0</v>
      </c>
      <c r="K341" s="1">
        <v>0</v>
      </c>
      <c r="L341" s="1">
        <v>0</v>
      </c>
      <c r="M341" s="6" t="str" cm="1">
        <f t="array" ref="M341">_xlfn.TEXTJOIN(", ",TRUE,
_xlfn._xlws.FILTER($R$2:$R$101,
ISNUMBER(SEARCH(LOWER($R$2:$R$101),LOWER(B341)))
))</f>
        <v>trafficker, af, AFP</v>
      </c>
      <c r="N341">
        <f t="shared" si="5"/>
        <v>3</v>
      </c>
      <c r="O341" s="6" t="str" cm="1">
        <f t="array" ref="O341">_xlfn.TEXTJOIN(", ",TRUE,
_xlfn.UNIQUE(
_xlfn._xlws.FILTER($S$2:$S$200,
ISNUMBER(SEARCH(LOWER($R$2:$R$200),LOWER(B341)))
)
))</f>
        <v>Crime based, Intelligence based, Authority based</v>
      </c>
      <c r="P341" cm="1">
        <f t="array" aca="1" ref="P341" ca="1">IFERROR(
    IF(N341=0, 0,
        SUMPRODUCT(
            N(
                _xlfn.IFNA(
                    VLOOKUP(
                        TRIM(MID(SUBSTITUTE(M341,",",REPT(" ",100)),
                        (ROW(INDIRECT("1:" &amp; LEN(M341)-LEN(SUBSTITUTE(M341,",","")) + 1))-1)*100 + 1, 100)),
                        $R$2:$T$101, 3, FALSE
                    ), 0)
            )
        ) / N341
    ),
0)</f>
        <v>1</v>
      </c>
    </row>
    <row r="342" spans="1:16" ht="30.75">
      <c r="A342">
        <v>341</v>
      </c>
      <c r="B342" s="4" t="s">
        <v>663</v>
      </c>
      <c r="C342" s="1">
        <v>0.33333333300000001</v>
      </c>
      <c r="D342" s="1">
        <v>1</v>
      </c>
      <c r="E342" s="1">
        <v>0</v>
      </c>
      <c r="F342" s="1">
        <v>0</v>
      </c>
      <c r="G342" s="1">
        <v>1</v>
      </c>
      <c r="H342" s="1">
        <v>0</v>
      </c>
      <c r="I342" s="1">
        <v>0</v>
      </c>
      <c r="J342" s="1">
        <v>0</v>
      </c>
      <c r="K342" s="1">
        <v>0</v>
      </c>
      <c r="L342" s="1">
        <v>0</v>
      </c>
      <c r="M342" s="6" t="str" cm="1">
        <f t="array" ref="M342">_xlfn.TEXTJOIN(", ",TRUE,
_xlfn._xlws.FILTER($R$2:$R$101,
ISNUMBER(SEARCH(LOWER($R$2:$R$101),LOWER(B342)))
))</f>
        <v>af, AFP, arrested</v>
      </c>
      <c r="N342">
        <f t="shared" si="5"/>
        <v>3</v>
      </c>
      <c r="O342" s="6" t="str" cm="1">
        <f t="array" ref="O342">_xlfn.TEXTJOIN(", ",TRUE,
_xlfn.UNIQUE(
_xlfn._xlws.FILTER($S$2:$S$200,
ISNUMBER(SEARCH(LOWER($R$2:$R$200),LOWER(B342)))
)
))</f>
        <v>Intelligence based, Authority based, Legality based</v>
      </c>
      <c r="P342" cm="1">
        <f t="array" aca="1" ref="P342" ca="1">IFERROR(
    IF(N342=0, 0,
        SUMPRODUCT(
            N(
                _xlfn.IFNA(
                    VLOOKUP(
                        TRIM(MID(SUBSTITUTE(M342,",",REPT(" ",100)),
                        (ROW(INDIRECT("1:" &amp; LEN(M342)-LEN(SUBSTITUTE(M342,",","")) + 1))-1)*100 + 1, 100)),
                        $R$2:$T$101, 3, FALSE
                    ), 0)
            )
        ) / N342
    ),
0)</f>
        <v>0.33333333333333331</v>
      </c>
    </row>
    <row r="343" spans="1:16" ht="60.75">
      <c r="A343">
        <v>342</v>
      </c>
      <c r="B343" s="4" t="s">
        <v>665</v>
      </c>
      <c r="C343" s="1">
        <v>0.2</v>
      </c>
      <c r="D343" s="1">
        <v>0.6</v>
      </c>
      <c r="E343" s="1">
        <v>0</v>
      </c>
      <c r="F343" s="1">
        <v>0</v>
      </c>
      <c r="G343" s="1">
        <v>1</v>
      </c>
      <c r="H343" s="1">
        <v>0</v>
      </c>
      <c r="I343" s="1">
        <v>0</v>
      </c>
      <c r="J343" s="1">
        <v>0</v>
      </c>
      <c r="K343" s="1">
        <v>0</v>
      </c>
      <c r="L343" s="1">
        <v>0</v>
      </c>
      <c r="M343" s="6" t="str" cm="1">
        <f t="array" ref="M343">_xlfn.TEXTJOIN(", ",TRUE,
_xlfn._xlws.FILTER($R$2:$R$101,
ISNUMBER(SEARCH(LOWER($R$2:$R$101),LOWER(B343)))
))</f>
        <v xml:space="preserve">australian, australia, af, AFP, law </v>
      </c>
      <c r="N343">
        <f t="shared" si="5"/>
        <v>5</v>
      </c>
      <c r="O343" s="6" t="str" cm="1">
        <f t="array" ref="O343">_xlfn.TEXTJOIN(", ",TRUE,
_xlfn.UNIQUE(
_xlfn._xlws.FILTER($S$2:$S$200,
ISNUMBER(SEARCH(LOWER($R$2:$R$200),LOWER(B343)))
)
))</f>
        <v>Case Related, Intelligence based, Authority based, Legality based</v>
      </c>
      <c r="P343" cm="1">
        <f t="array" aca="1" ref="P343" ca="1">IFERROR(
    IF(N343=0, 0,
        SUMPRODUCT(
            N(
                _xlfn.IFNA(
                    VLOOKUP(
                        TRIM(MID(SUBSTITUTE(M343,",",REPT(" ",100)),
                        (ROW(INDIRECT("1:" &amp; LEN(M343)-LEN(SUBSTITUTE(M343,",","")) + 1))-1)*100 + 1, 100)),
                        $R$2:$T$101, 3, FALSE
                    ), 0)
            )
        ) / N343
    ),
0)</f>
        <v>0.2</v>
      </c>
    </row>
    <row r="344" spans="1:16" ht="60.75">
      <c r="A344">
        <v>343</v>
      </c>
      <c r="B344" s="4" t="s">
        <v>667</v>
      </c>
      <c r="C344" s="1">
        <v>0.2</v>
      </c>
      <c r="D344" s="1">
        <v>0</v>
      </c>
      <c r="E344" s="1">
        <v>0</v>
      </c>
      <c r="F344" s="1">
        <v>1</v>
      </c>
      <c r="G344" s="1">
        <v>0</v>
      </c>
      <c r="H344" s="1">
        <v>0</v>
      </c>
      <c r="I344" s="1">
        <v>0</v>
      </c>
      <c r="J344" s="1">
        <v>0</v>
      </c>
      <c r="K344" s="1">
        <v>0</v>
      </c>
      <c r="L344" s="1">
        <v>0</v>
      </c>
      <c r="M344" s="6" t="str" cm="1">
        <f t="array" ref="M344">_xlfn.TEXTJOIN(", ",TRUE,
_xlfn._xlws.FILTER($R$2:$R$101,
ISNUMBER(SEARCH(LOWER($R$2:$R$101),LOWER(B344)))
))</f>
        <v>australian, australia, criminal, law , import</v>
      </c>
      <c r="N344">
        <f t="shared" si="5"/>
        <v>5</v>
      </c>
      <c r="O344" s="6" t="str" cm="1">
        <f t="array" ref="O344">_xlfn.TEXTJOIN(", ",TRUE,
_xlfn.UNIQUE(
_xlfn._xlws.FILTER($S$2:$S$200,
ISNUMBER(SEARCH(LOWER($R$2:$R$200),LOWER(B344)))
)
))</f>
        <v>Case Related, Crime based, Legality based</v>
      </c>
      <c r="P344" cm="1">
        <f t="array" aca="1" ref="P344" ca="1">IFERROR(
    IF(N344=0, 0,
        SUMPRODUCT(
            N(
                _xlfn.IFNA(
                    VLOOKUP(
                        TRIM(MID(SUBSTITUTE(M344,",",REPT(" ",100)),
                        (ROW(INDIRECT("1:" &amp; LEN(M344)-LEN(SUBSTITUTE(M344,",","")) + 1))-1)*100 + 1, 100)),
                        $R$2:$T$101, 3, FALSE
                    ), 0)
            )
        ) / N344
    ),
0)</f>
        <v>0.2</v>
      </c>
    </row>
    <row r="345" spans="1:16" ht="30.75">
      <c r="A345">
        <v>344</v>
      </c>
      <c r="B345" s="4" t="s">
        <v>669</v>
      </c>
      <c r="C345" s="1">
        <v>3</v>
      </c>
      <c r="D345" s="1">
        <v>9</v>
      </c>
      <c r="E345" s="1">
        <v>0</v>
      </c>
      <c r="F345" s="1">
        <v>0</v>
      </c>
      <c r="G345" s="1">
        <v>3</v>
      </c>
      <c r="H345" s="1">
        <v>0</v>
      </c>
      <c r="I345" s="1">
        <v>0</v>
      </c>
      <c r="J345" s="1">
        <v>0</v>
      </c>
      <c r="K345" s="1">
        <v>0</v>
      </c>
      <c r="L345" s="1">
        <v>0</v>
      </c>
      <c r="M345" s="6" t="str" cm="1">
        <f t="array" ref="M345">_xlfn.TEXTJOIN(", ",TRUE,
_xlfn._xlws.FILTER($R$2:$R$101,
ISNUMBER(SEARCH(LOWER($R$2:$R$101),LOWER(B345)))
))</f>
        <v>idiot</v>
      </c>
      <c r="N345">
        <f t="shared" si="5"/>
        <v>1</v>
      </c>
      <c r="O345" s="6" t="str" cm="1">
        <f t="array" ref="O345">_xlfn.TEXTJOIN(", ",TRUE,
_xlfn.UNIQUE(
_xlfn._xlws.FILTER($S$2:$S$200,
ISNUMBER(SEARCH(LOWER($R$2:$R$200),LOWER(B345)))
)
))</f>
        <v>Intelligence based</v>
      </c>
      <c r="P345" cm="1">
        <f t="array" aca="1" ref="P345" ca="1">IFERROR(
    IF(N345=0, 0,
        SUMPRODUCT(
            N(
                _xlfn.IFNA(
                    VLOOKUP(
                        TRIM(MID(SUBSTITUTE(M345,",",REPT(" ",100)),
                        (ROW(INDIRECT("1:" &amp; LEN(M345)-LEN(SUBSTITUTE(M345,",","")) + 1))-1)*100 + 1, 100)),
                        $R$2:$T$101, 3, FALSE
                    ), 0)
            )
        ) / N345
    ),
0)</f>
        <v>3</v>
      </c>
    </row>
    <row r="346" spans="1:16" ht="45.75">
      <c r="A346">
        <v>345</v>
      </c>
      <c r="B346" s="4" t="s">
        <v>671</v>
      </c>
      <c r="C346" s="1">
        <v>3</v>
      </c>
      <c r="D346" s="1">
        <v>9</v>
      </c>
      <c r="E346" s="1">
        <v>0</v>
      </c>
      <c r="F346" s="1">
        <v>0</v>
      </c>
      <c r="G346" s="1">
        <v>3</v>
      </c>
      <c r="H346" s="1">
        <v>0</v>
      </c>
      <c r="I346" s="1">
        <v>0</v>
      </c>
      <c r="J346" s="1">
        <v>0</v>
      </c>
      <c r="K346" s="1">
        <v>0</v>
      </c>
      <c r="L346" s="1">
        <v>0</v>
      </c>
      <c r="M346" s="6" t="str" cm="1">
        <f t="array" ref="M346">_xlfn.TEXTJOIN(", ",TRUE,
_xlfn._xlws.FILTER($R$2:$R$101,
ISNUMBER(SEARCH(LOWER($R$2:$R$101),LOWER(B346)))
))</f>
        <v>idiot, idiots</v>
      </c>
      <c r="N346">
        <f t="shared" si="5"/>
        <v>2</v>
      </c>
      <c r="O346" s="6" t="str" cm="1">
        <f t="array" ref="O346">_xlfn.TEXTJOIN(", ",TRUE,
_xlfn.UNIQUE(
_xlfn._xlws.FILTER($S$2:$S$200,
ISNUMBER(SEARCH(LOWER($R$2:$R$200),LOWER(B346)))
)
))</f>
        <v>Intelligence based</v>
      </c>
      <c r="P346" cm="1">
        <f t="array" aca="1" ref="P346" ca="1">IFERROR(
    IF(N346=0, 0,
        SUMPRODUCT(
            N(
                _xlfn.IFNA(
                    VLOOKUP(
                        TRIM(MID(SUBSTITUTE(M346,",",REPT(" ",100)),
                        (ROW(INDIRECT("1:" &amp; LEN(M346)-LEN(SUBSTITUTE(M346,",","")) + 1))-1)*100 + 1, 100)),
                        $R$2:$T$101, 3, FALSE
                    ), 0)
            )
        ) / N346
    ),
0)</f>
        <v>3</v>
      </c>
    </row>
    <row r="347" spans="1:16">
      <c r="A347">
        <v>346</v>
      </c>
      <c r="B347" s="4" t="s">
        <v>673</v>
      </c>
      <c r="C347" s="1">
        <v>0</v>
      </c>
      <c r="D347" s="1">
        <v>0</v>
      </c>
      <c r="E347" s="1">
        <v>0</v>
      </c>
      <c r="F347" s="1">
        <v>0</v>
      </c>
      <c r="G347" s="1">
        <v>0</v>
      </c>
      <c r="H347" s="1">
        <v>0</v>
      </c>
      <c r="I347" s="1">
        <v>0</v>
      </c>
      <c r="J347" s="1">
        <v>0</v>
      </c>
      <c r="K347" s="1">
        <v>0</v>
      </c>
      <c r="L347" s="1">
        <v>0</v>
      </c>
      <c r="N347" t="str">
        <f t="shared" si="5"/>
        <v>0</v>
      </c>
      <c r="O347" s="6" t="str" cm="1">
        <f t="array" ref="O347">_xlfn.TEXTJOIN(", ",TRUE,
_xlfn.UNIQUE(
_xlfn._xlws.FILTER($S$2:$S$200,
ISNUMBER(SEARCH(LOWER($R$2:$R$200),LOWER(B347)))
)
))</f>
        <v/>
      </c>
      <c r="P347" cm="1">
        <f t="array" aca="1" ref="P347" ca="1">IFERROR(
    IF(N347=0, 0,
        SUMPRODUCT(
            N(
                _xlfn.IFNA(
                    VLOOKUP(
                        TRIM(MID(SUBSTITUTE(M347,",",REPT(" ",100)),
                        (ROW(INDIRECT("1:" &amp; LEN(M347)-LEN(SUBSTITUTE(M347,",","")) + 1))-1)*100 + 1, 100)),
                        $R$2:$T$101, 3, FALSE
                    ), 0)
            )
        ) / N347
    ),
0)</f>
        <v>0</v>
      </c>
    </row>
    <row r="348" spans="1:16" ht="30.75">
      <c r="A348">
        <v>347</v>
      </c>
      <c r="B348" s="4" t="s">
        <v>675</v>
      </c>
      <c r="C348" s="1">
        <v>0.5</v>
      </c>
      <c r="D348" s="1">
        <v>1.5</v>
      </c>
      <c r="E348" s="1">
        <v>0</v>
      </c>
      <c r="F348" s="1">
        <v>0</v>
      </c>
      <c r="G348" s="1">
        <v>1</v>
      </c>
      <c r="H348" s="1">
        <v>0</v>
      </c>
      <c r="I348" s="1">
        <v>0</v>
      </c>
      <c r="J348" s="1">
        <v>0</v>
      </c>
      <c r="K348" s="1">
        <v>0</v>
      </c>
      <c r="L348" s="1">
        <v>0</v>
      </c>
      <c r="M348" s="6" t="str" cm="1">
        <f t="array" ref="M348">_xlfn.TEXTJOIN(", ",TRUE,
_xlfn._xlws.FILTER($R$2:$R$101,
ISNUMBER(SEARCH(LOWER($R$2:$R$101),LOWER(B348)))
))</f>
        <v>af, AFP</v>
      </c>
      <c r="N348">
        <f t="shared" si="5"/>
        <v>2</v>
      </c>
      <c r="O348" s="6" t="str" cm="1">
        <f t="array" ref="O348">_xlfn.TEXTJOIN(", ",TRUE,
_xlfn.UNIQUE(
_xlfn._xlws.FILTER($S$2:$S$200,
ISNUMBER(SEARCH(LOWER($R$2:$R$200),LOWER(B348)))
)
))</f>
        <v>Intelligence based, Authority based</v>
      </c>
      <c r="P348" cm="1">
        <f t="array" aca="1" ref="P348" ca="1">IFERROR(
    IF(N348=0, 0,
        SUMPRODUCT(
            N(
                _xlfn.IFNA(
                    VLOOKUP(
                        TRIM(MID(SUBSTITUTE(M348,",",REPT(" ",100)),
                        (ROW(INDIRECT("1:" &amp; LEN(M348)-LEN(SUBSTITUTE(M348,",","")) + 1))-1)*100 + 1, 100)),
                        $R$2:$T$101, 3, FALSE
                    ), 0)
            )
        ) / N348
    ),
0)</f>
        <v>0.5</v>
      </c>
    </row>
    <row r="349" spans="1:16" ht="30.75">
      <c r="A349">
        <v>348</v>
      </c>
      <c r="B349" s="4" t="s">
        <v>677</v>
      </c>
      <c r="C349" s="1">
        <v>0.5</v>
      </c>
      <c r="D349" s="1">
        <v>1.5</v>
      </c>
      <c r="E349" s="1">
        <v>0</v>
      </c>
      <c r="F349" s="1">
        <v>0</v>
      </c>
      <c r="G349" s="1">
        <v>1</v>
      </c>
      <c r="H349" s="1">
        <v>0</v>
      </c>
      <c r="I349" s="1">
        <v>0</v>
      </c>
      <c r="J349" s="1">
        <v>0</v>
      </c>
      <c r="K349" s="1">
        <v>0</v>
      </c>
      <c r="L349" s="1">
        <v>0</v>
      </c>
      <c r="M349" s="6" t="str" cm="1">
        <f t="array" ref="M349">_xlfn.TEXTJOIN(", ",TRUE,
_xlfn._xlws.FILTER($R$2:$R$101,
ISNUMBER(SEARCH(LOWER($R$2:$R$101),LOWER(B349)))
))</f>
        <v>af, AFP</v>
      </c>
      <c r="N349">
        <f t="shared" si="5"/>
        <v>2</v>
      </c>
      <c r="O349" s="6" t="str" cm="1">
        <f t="array" ref="O349">_xlfn.TEXTJOIN(", ",TRUE,
_xlfn.UNIQUE(
_xlfn._xlws.FILTER($S$2:$S$200,
ISNUMBER(SEARCH(LOWER($R$2:$R$200),LOWER(B349)))
)
))</f>
        <v>Intelligence based, Authority based</v>
      </c>
      <c r="P349" cm="1">
        <f t="array" aca="1" ref="P349" ca="1">IFERROR(
    IF(N349=0, 0,
        SUMPRODUCT(
            N(
                _xlfn.IFNA(
                    VLOOKUP(
                        TRIM(MID(SUBSTITUTE(M349,",",REPT(" ",100)),
                        (ROW(INDIRECT("1:" &amp; LEN(M349)-LEN(SUBSTITUTE(M349,",","")) + 1))-1)*100 + 1, 100)),
                        $R$2:$T$101, 3, FALSE
                    ), 0)
            )
        ) / N349
    ),
0)</f>
        <v>0.5</v>
      </c>
    </row>
    <row r="350" spans="1:16">
      <c r="A350">
        <v>349</v>
      </c>
      <c r="B350" s="4" t="s">
        <v>679</v>
      </c>
      <c r="C350" s="1">
        <v>0</v>
      </c>
      <c r="D350" s="1">
        <v>0</v>
      </c>
      <c r="E350" s="1">
        <v>0</v>
      </c>
      <c r="F350" s="1">
        <v>0</v>
      </c>
      <c r="G350" s="1">
        <v>0</v>
      </c>
      <c r="H350" s="1">
        <v>0</v>
      </c>
      <c r="I350" s="1">
        <v>0</v>
      </c>
      <c r="J350" s="1">
        <v>0</v>
      </c>
      <c r="K350" s="1">
        <v>0</v>
      </c>
      <c r="L350" s="1">
        <v>0</v>
      </c>
      <c r="N350" t="str">
        <f t="shared" si="5"/>
        <v>0</v>
      </c>
      <c r="O350" s="6" t="str" cm="1">
        <f t="array" ref="O350">_xlfn.TEXTJOIN(", ",TRUE,
_xlfn.UNIQUE(
_xlfn._xlws.FILTER($S$2:$S$200,
ISNUMBER(SEARCH(LOWER($R$2:$R$200),LOWER(B350)))
)
))</f>
        <v/>
      </c>
      <c r="P350" cm="1">
        <f t="array" aca="1" ref="P350" ca="1">IFERROR(
    IF(N350=0, 0,
        SUMPRODUCT(
            N(
                _xlfn.IFNA(
                    VLOOKUP(
                        TRIM(MID(SUBSTITUTE(M350,",",REPT(" ",100)),
                        (ROW(INDIRECT("1:" &amp; LEN(M350)-LEN(SUBSTITUTE(M350,",","")) + 1))-1)*100 + 1, 100)),
                        $R$2:$T$101, 3, FALSE
                    ), 0)
            )
        ) / N350
    ),
0)</f>
        <v>0</v>
      </c>
    </row>
    <row r="351" spans="1:16">
      <c r="A351">
        <v>350</v>
      </c>
      <c r="B351" s="4" t="s">
        <v>681</v>
      </c>
      <c r="C351" s="1">
        <v>1</v>
      </c>
      <c r="D351" s="1">
        <v>3</v>
      </c>
      <c r="E351" s="1">
        <v>0</v>
      </c>
      <c r="F351" s="1">
        <v>0</v>
      </c>
      <c r="G351" s="1">
        <v>1</v>
      </c>
      <c r="H351" s="1">
        <v>0</v>
      </c>
      <c r="I351" s="1">
        <v>0</v>
      </c>
      <c r="J351" s="1">
        <v>0</v>
      </c>
      <c r="K351" s="1">
        <v>0</v>
      </c>
      <c r="L351" s="1">
        <v>0</v>
      </c>
      <c r="M351" s="6" t="str" cm="1">
        <f t="array" ref="M351">_xlfn.TEXTJOIN(", ",TRUE,
_xlfn._xlws.FILTER($R$2:$R$101,
ISNUMBER(SEARCH(LOWER($R$2:$R$101),LOWER(B351)))
))</f>
        <v>af</v>
      </c>
      <c r="N351">
        <f t="shared" si="5"/>
        <v>1</v>
      </c>
      <c r="O351" s="6" t="str" cm="1">
        <f t="array" ref="O351">_xlfn.TEXTJOIN(", ",TRUE,
_xlfn.UNIQUE(
_xlfn._xlws.FILTER($S$2:$S$200,
ISNUMBER(SEARCH(LOWER($R$2:$R$200),LOWER(B351)))
)
))</f>
        <v>Intelligence based</v>
      </c>
      <c r="P351" cm="1">
        <f t="array" aca="1" ref="P351" ca="1">IFERROR(
    IF(N351=0, 0,
        SUMPRODUCT(
            N(
                _xlfn.IFNA(
                    VLOOKUP(
                        TRIM(MID(SUBSTITUTE(M351,",",REPT(" ",100)),
                        (ROW(INDIRECT("1:" &amp; LEN(M351)-LEN(SUBSTITUTE(M351,",","")) + 1))-1)*100 + 1, 100)),
                        $R$2:$T$101, 3, FALSE
                    ), 0)
            )
        ) / N351
    ),
0)</f>
        <v>1</v>
      </c>
    </row>
    <row r="352" spans="1:16">
      <c r="A352">
        <v>351</v>
      </c>
      <c r="B352" s="4" t="s">
        <v>683</v>
      </c>
      <c r="C352" s="1">
        <v>0</v>
      </c>
      <c r="D352" s="1">
        <v>0</v>
      </c>
      <c r="E352" s="1">
        <v>0</v>
      </c>
      <c r="F352" s="1">
        <v>0</v>
      </c>
      <c r="G352" s="1">
        <v>0</v>
      </c>
      <c r="H352" s="1">
        <v>0</v>
      </c>
      <c r="I352" s="1">
        <v>0</v>
      </c>
      <c r="J352" s="1">
        <v>0</v>
      </c>
      <c r="K352" s="1">
        <v>0</v>
      </c>
      <c r="L352" s="1">
        <v>0</v>
      </c>
      <c r="N352" t="str">
        <f t="shared" si="5"/>
        <v>0</v>
      </c>
      <c r="O352" s="6" t="str" cm="1">
        <f t="array" ref="O352">_xlfn.TEXTJOIN(", ",TRUE,
_xlfn.UNIQUE(
_xlfn._xlws.FILTER($S$2:$S$200,
ISNUMBER(SEARCH(LOWER($R$2:$R$200),LOWER(B352)))
)
))</f>
        <v/>
      </c>
      <c r="P352" cm="1">
        <f t="array" aca="1" ref="P352" ca="1">IFERROR(
    IF(N352=0, 0,
        SUMPRODUCT(
            N(
                _xlfn.IFNA(
                    VLOOKUP(
                        TRIM(MID(SUBSTITUTE(M352,",",REPT(" ",100)),
                        (ROW(INDIRECT("1:" &amp; LEN(M352)-LEN(SUBSTITUTE(M352,",","")) + 1))-1)*100 + 1, 100)),
                        $R$2:$T$101, 3, FALSE
                    ), 0)
            )
        ) / N352
    ),
0)</f>
        <v>0</v>
      </c>
    </row>
    <row r="353" spans="1:16" ht="45.75">
      <c r="A353">
        <v>352</v>
      </c>
      <c r="B353" s="4" t="s">
        <v>685</v>
      </c>
      <c r="C353" s="1">
        <v>0</v>
      </c>
      <c r="D353" s="1">
        <v>0</v>
      </c>
      <c r="E353" s="1">
        <v>0</v>
      </c>
      <c r="F353" s="1">
        <v>0</v>
      </c>
      <c r="G353" s="1">
        <v>0</v>
      </c>
      <c r="H353" s="1">
        <v>0</v>
      </c>
      <c r="I353" s="1">
        <v>0</v>
      </c>
      <c r="J353" s="1">
        <v>0</v>
      </c>
      <c r="K353" s="1">
        <v>0</v>
      </c>
      <c r="L353" s="1">
        <v>0</v>
      </c>
      <c r="M353" s="6" t="str" cm="1">
        <f t="array" ref="M353">_xlfn.TEXTJOIN(", ",TRUE,
_xlfn._xlws.FILTER($R$2:$R$101,
ISNUMBER(SEARCH(LOWER($R$2:$R$101),LOWER(B353)))
))</f>
        <v>australia, drugs, corby</v>
      </c>
      <c r="N353">
        <f t="shared" si="5"/>
        <v>3</v>
      </c>
      <c r="O353" s="6" t="str" cm="1">
        <f t="array" ref="O353">_xlfn.TEXTJOIN(", ",TRUE,
_xlfn.UNIQUE(
_xlfn._xlws.FILTER($S$2:$S$200,
ISNUMBER(SEARCH(LOWER($R$2:$R$200),LOWER(B353)))
)
))</f>
        <v>Case Related, Crime based, Familial based</v>
      </c>
      <c r="P353" cm="1">
        <f t="array" aca="1" ref="P353" ca="1">IFERROR(
    IF(N353=0, 0,
        SUMPRODUCT(
            N(
                _xlfn.IFNA(
                    VLOOKUP(
                        TRIM(MID(SUBSTITUTE(M353,",",REPT(" ",100)),
                        (ROW(INDIRECT("1:" &amp; LEN(M353)-LEN(SUBSTITUTE(M353,",","")) + 1))-1)*100 + 1, 100)),
                        $R$2:$T$101, 3, FALSE
                    ), 0)
            )
        ) / N353
    ),
0)</f>
        <v>0</v>
      </c>
    </row>
    <row r="354" spans="1:16">
      <c r="A354">
        <v>353</v>
      </c>
      <c r="B354" s="4" t="s">
        <v>687</v>
      </c>
      <c r="C354" s="1">
        <v>0</v>
      </c>
      <c r="D354" s="1">
        <v>0</v>
      </c>
      <c r="E354" s="1">
        <v>0</v>
      </c>
      <c r="F354" s="1">
        <v>0</v>
      </c>
      <c r="G354" s="1">
        <v>0</v>
      </c>
      <c r="H354" s="1">
        <v>0</v>
      </c>
      <c r="I354" s="1">
        <v>0</v>
      </c>
      <c r="J354" s="1">
        <v>0</v>
      </c>
      <c r="K354" s="1">
        <v>0</v>
      </c>
      <c r="L354" s="1">
        <v>0</v>
      </c>
      <c r="N354" t="str">
        <f t="shared" si="5"/>
        <v>0</v>
      </c>
      <c r="O354" s="6" t="str" cm="1">
        <f t="array" ref="O354">_xlfn.TEXTJOIN(", ",TRUE,
_xlfn.UNIQUE(
_xlfn._xlws.FILTER($S$2:$S$200,
ISNUMBER(SEARCH(LOWER($R$2:$R$200),LOWER(B354)))
)
))</f>
        <v/>
      </c>
      <c r="P354" cm="1">
        <f t="array" aca="1" ref="P354" ca="1">IFERROR(
    IF(N354=0, 0,
        SUMPRODUCT(
            N(
                _xlfn.IFNA(
                    VLOOKUP(
                        TRIM(MID(SUBSTITUTE(M354,",",REPT(" ",100)),
                        (ROW(INDIRECT("1:" &amp; LEN(M354)-LEN(SUBSTITUTE(M354,",","")) + 1))-1)*100 + 1, 100)),
                        $R$2:$T$101, 3, FALSE
                    ), 0)
            )
        ) / N354
    ),
0)</f>
        <v>0</v>
      </c>
    </row>
    <row r="355" spans="1:16">
      <c r="A355">
        <v>354</v>
      </c>
      <c r="B355" s="4" t="s">
        <v>689</v>
      </c>
      <c r="C355" s="1">
        <v>0</v>
      </c>
      <c r="D355" s="1">
        <v>0</v>
      </c>
      <c r="E355" s="1">
        <v>0</v>
      </c>
      <c r="F355" s="1">
        <v>0</v>
      </c>
      <c r="G355" s="1">
        <v>0</v>
      </c>
      <c r="H355" s="1">
        <v>0</v>
      </c>
      <c r="I355" s="1">
        <v>0</v>
      </c>
      <c r="J355" s="1">
        <v>0</v>
      </c>
      <c r="K355" s="1">
        <v>0</v>
      </c>
      <c r="L355" s="1">
        <v>0</v>
      </c>
      <c r="N355" t="str">
        <f t="shared" si="5"/>
        <v>0</v>
      </c>
      <c r="O355" s="6" t="str" cm="1">
        <f t="array" ref="O355">_xlfn.TEXTJOIN(", ",TRUE,
_xlfn.UNIQUE(
_xlfn._xlws.FILTER($S$2:$S$200,
ISNUMBER(SEARCH(LOWER($R$2:$R$200),LOWER(B355)))
)
))</f>
        <v/>
      </c>
      <c r="P355" cm="1">
        <f t="array" aca="1" ref="P355" ca="1">IFERROR(
    IF(N355=0, 0,
        SUMPRODUCT(
            N(
                _xlfn.IFNA(
                    VLOOKUP(
                        TRIM(MID(SUBSTITUTE(M355,",",REPT(" ",100)),
                        (ROW(INDIRECT("1:" &amp; LEN(M355)-LEN(SUBSTITUTE(M355,",","")) + 1))-1)*100 + 1, 100)),
                        $R$2:$T$101, 3, FALSE
                    ), 0)
            )
        ) / N355
    ),
0)</f>
        <v>0</v>
      </c>
    </row>
    <row r="356" spans="1:16">
      <c r="A356">
        <v>355</v>
      </c>
      <c r="B356" s="4" t="s">
        <v>691</v>
      </c>
      <c r="C356" s="1">
        <v>0</v>
      </c>
      <c r="D356" s="1">
        <v>0</v>
      </c>
      <c r="E356" s="1">
        <v>0</v>
      </c>
      <c r="F356" s="1">
        <v>0</v>
      </c>
      <c r="G356" s="1">
        <v>0</v>
      </c>
      <c r="H356" s="1">
        <v>0</v>
      </c>
      <c r="I356" s="1">
        <v>0</v>
      </c>
      <c r="J356" s="1">
        <v>0</v>
      </c>
      <c r="K356" s="1">
        <v>0</v>
      </c>
      <c r="L356" s="1">
        <v>0</v>
      </c>
      <c r="N356" t="str">
        <f t="shared" si="5"/>
        <v>0</v>
      </c>
      <c r="O356" s="6" t="str" cm="1">
        <f t="array" ref="O356">_xlfn.TEXTJOIN(", ",TRUE,
_xlfn.UNIQUE(
_xlfn._xlws.FILTER($S$2:$S$200,
ISNUMBER(SEARCH(LOWER($R$2:$R$200),LOWER(B356)))
)
))</f>
        <v/>
      </c>
      <c r="P356" cm="1">
        <f t="array" aca="1" ref="P356" ca="1">IFERROR(
    IF(N356=0, 0,
        SUMPRODUCT(
            N(
                _xlfn.IFNA(
                    VLOOKUP(
                        TRIM(MID(SUBSTITUTE(M356,",",REPT(" ",100)),
                        (ROW(INDIRECT("1:" &amp; LEN(M356)-LEN(SUBSTITUTE(M356,",","")) + 1))-1)*100 + 1, 100)),
                        $R$2:$T$101, 3, FALSE
                    ), 0)
            )
        ) / N356
    ),
0)</f>
        <v>0</v>
      </c>
    </row>
    <row r="357" spans="1:16" ht="45.75">
      <c r="A357">
        <v>356</v>
      </c>
      <c r="B357" s="4" t="s">
        <v>693</v>
      </c>
      <c r="C357" s="1">
        <v>0</v>
      </c>
      <c r="D357" s="1">
        <v>0</v>
      </c>
      <c r="E357" s="1">
        <v>0</v>
      </c>
      <c r="F357" s="1">
        <v>0</v>
      </c>
      <c r="G357" s="1">
        <v>0</v>
      </c>
      <c r="H357" s="1">
        <v>0</v>
      </c>
      <c r="I357" s="1">
        <v>0</v>
      </c>
      <c r="J357" s="1">
        <v>0</v>
      </c>
      <c r="K357" s="1">
        <v>0</v>
      </c>
      <c r="L357" s="1">
        <v>0</v>
      </c>
      <c r="N357" t="str">
        <f t="shared" si="5"/>
        <v>0</v>
      </c>
      <c r="O357" s="6" t="str" cm="1">
        <f t="array" ref="O357">_xlfn.TEXTJOIN(", ",TRUE,
_xlfn.UNIQUE(
_xlfn._xlws.FILTER($S$2:$S$200,
ISNUMBER(SEARCH(LOWER($R$2:$R$200),LOWER(B357)))
)
))</f>
        <v/>
      </c>
      <c r="P357" cm="1">
        <f t="array" aca="1" ref="P357" ca="1">IFERROR(
    IF(N357=0, 0,
        SUMPRODUCT(
            N(
                _xlfn.IFNA(
                    VLOOKUP(
                        TRIM(MID(SUBSTITUTE(M357,",",REPT(" ",100)),
                        (ROW(INDIRECT("1:" &amp; LEN(M357)-LEN(SUBSTITUTE(M357,",","")) + 1))-1)*100 + 1, 100)),
                        $R$2:$T$101, 3, FALSE
                    ), 0)
            )
        ) / N357
    ),
0)</f>
        <v>0</v>
      </c>
    </row>
    <row r="358" spans="1:16" ht="30.75">
      <c r="A358">
        <v>357</v>
      </c>
      <c r="B358" s="4" t="s">
        <v>694</v>
      </c>
      <c r="C358" s="1">
        <v>0.5</v>
      </c>
      <c r="D358" s="1">
        <v>0</v>
      </c>
      <c r="E358" s="1">
        <v>0.5</v>
      </c>
      <c r="F358" s="1">
        <v>0</v>
      </c>
      <c r="G358" s="1">
        <v>0</v>
      </c>
      <c r="H358" s="1">
        <v>0</v>
      </c>
      <c r="I358" s="1">
        <v>0</v>
      </c>
      <c r="J358" s="1">
        <v>0</v>
      </c>
      <c r="K358" s="1">
        <v>0</v>
      </c>
      <c r="L358" s="1">
        <v>0</v>
      </c>
      <c r="M358" s="6" t="str" cm="1">
        <f t="array" ref="M358">_xlfn.TEXTJOIN(", ",TRUE,
_xlfn._xlws.FILTER($R$2:$R$101,
ISNUMBER(SEARCH(LOWER($R$2:$R$101),LOWER(B358)))
))</f>
        <v>media circus, australia</v>
      </c>
      <c r="N358">
        <f t="shared" si="5"/>
        <v>2</v>
      </c>
      <c r="O358" s="6" t="str" cm="1">
        <f t="array" ref="O358">_xlfn.TEXTJOIN(", ",TRUE,
_xlfn.UNIQUE(
_xlfn._xlws.FILTER($S$2:$S$200,
ISNUMBER(SEARCH(LOWER($R$2:$R$200),LOWER(B358)))
)
))</f>
        <v>Case Related</v>
      </c>
      <c r="P358" cm="1">
        <f t="array" aca="1" ref="P358" ca="1">IFERROR(
    IF(N358=0, 0,
        SUMPRODUCT(
            N(
                _xlfn.IFNA(
                    VLOOKUP(
                        TRIM(MID(SUBSTITUTE(M358,",",REPT(" ",100)),
                        (ROW(INDIRECT("1:" &amp; LEN(M358)-LEN(SUBSTITUTE(M358,",","")) + 1))-1)*100 + 1, 100)),
                        $R$2:$T$101, 3, FALSE
                    ), 0)
            )
        ) / N358
    ),
0)</f>
        <v>0</v>
      </c>
    </row>
    <row r="359" spans="1:16">
      <c r="A359">
        <v>358</v>
      </c>
      <c r="B359" s="4" t="s">
        <v>696</v>
      </c>
      <c r="C359" s="1">
        <v>0</v>
      </c>
      <c r="D359" s="1">
        <v>0</v>
      </c>
      <c r="E359" s="1">
        <v>0</v>
      </c>
      <c r="F359" s="1">
        <v>0</v>
      </c>
      <c r="G359" s="1">
        <v>0</v>
      </c>
      <c r="H359" s="1">
        <v>0</v>
      </c>
      <c r="I359" s="1">
        <v>0</v>
      </c>
      <c r="J359" s="1">
        <v>0</v>
      </c>
      <c r="K359" s="1">
        <v>0</v>
      </c>
      <c r="L359" s="1">
        <v>0</v>
      </c>
      <c r="N359" t="str">
        <f t="shared" si="5"/>
        <v>0</v>
      </c>
      <c r="O359" s="6" t="str" cm="1">
        <f t="array" ref="O359">_xlfn.TEXTJOIN(", ",TRUE,
_xlfn.UNIQUE(
_xlfn._xlws.FILTER($S$2:$S$200,
ISNUMBER(SEARCH(LOWER($R$2:$R$200),LOWER(B359)))
)
))</f>
        <v/>
      </c>
      <c r="P359" cm="1">
        <f t="array" aca="1" ref="P359" ca="1">IFERROR(
    IF(N359=0, 0,
        SUMPRODUCT(
            N(
                _xlfn.IFNA(
                    VLOOKUP(
                        TRIM(MID(SUBSTITUTE(M359,",",REPT(" ",100)),
                        (ROW(INDIRECT("1:" &amp; LEN(M359)-LEN(SUBSTITUTE(M359,",","")) + 1))-1)*100 + 1, 100)),
                        $R$2:$T$101, 3, FALSE
                    ), 0)
            )
        ) / N359
    ),
0)</f>
        <v>0</v>
      </c>
    </row>
    <row r="360" spans="1:16">
      <c r="A360">
        <v>359</v>
      </c>
      <c r="B360" s="4" t="s">
        <v>698</v>
      </c>
      <c r="C360" s="1">
        <v>0</v>
      </c>
      <c r="D360" s="1">
        <v>0</v>
      </c>
      <c r="E360" s="1">
        <v>0</v>
      </c>
      <c r="F360" s="1">
        <v>0</v>
      </c>
      <c r="G360" s="1">
        <v>0</v>
      </c>
      <c r="H360" s="1">
        <v>0</v>
      </c>
      <c r="I360" s="1">
        <v>0</v>
      </c>
      <c r="J360" s="1">
        <v>0</v>
      </c>
      <c r="K360" s="1">
        <v>0</v>
      </c>
      <c r="L360" s="1">
        <v>0</v>
      </c>
      <c r="N360" t="str">
        <f t="shared" si="5"/>
        <v>0</v>
      </c>
      <c r="O360" s="6" t="str" cm="1">
        <f t="array" ref="O360">_xlfn.TEXTJOIN(", ",TRUE,
_xlfn.UNIQUE(
_xlfn._xlws.FILTER($S$2:$S$200,
ISNUMBER(SEARCH(LOWER($R$2:$R$200),LOWER(B360)))
)
))</f>
        <v/>
      </c>
      <c r="P360" cm="1">
        <f t="array" aca="1" ref="P360" ca="1">IFERROR(
    IF(N360=0, 0,
        SUMPRODUCT(
            N(
                _xlfn.IFNA(
                    VLOOKUP(
                        TRIM(MID(SUBSTITUTE(M360,",",REPT(" ",100)),
                        (ROW(INDIRECT("1:" &amp; LEN(M360)-LEN(SUBSTITUTE(M360,",","")) + 1))-1)*100 + 1, 100)),
                        $R$2:$T$101, 3, FALSE
                    ), 0)
            )
        ) / N360
    ),
0)</f>
        <v>0</v>
      </c>
    </row>
    <row r="361" spans="1:16" ht="229.5">
      <c r="A361">
        <v>360</v>
      </c>
      <c r="B361" s="4" t="s">
        <v>700</v>
      </c>
      <c r="C361" s="10">
        <v>0.5</v>
      </c>
      <c r="D361" s="1">
        <v>0</v>
      </c>
      <c r="E361" s="1">
        <v>0</v>
      </c>
      <c r="F361" s="1">
        <v>1</v>
      </c>
      <c r="G361" s="1">
        <v>0</v>
      </c>
      <c r="H361" s="1">
        <v>0</v>
      </c>
      <c r="I361" s="1">
        <v>0</v>
      </c>
      <c r="J361" s="1">
        <v>0</v>
      </c>
      <c r="K361" s="1">
        <v>0</v>
      </c>
      <c r="L361" s="1">
        <v>0</v>
      </c>
      <c r="M361" s="6" t="str" cm="1">
        <f t="array" ref="M361">_xlfn.TEXTJOIN(", ",TRUE,
_xlfn._xlws.FILTER($R$2:$R$101,
ISNUMBER(SEARCH(LOWER($R$2:$R$101),LOWER(B361)))
))</f>
        <v>boogie board, drugs, bribed, bribe , corby</v>
      </c>
      <c r="N361">
        <f t="shared" si="5"/>
        <v>5</v>
      </c>
      <c r="O361" s="6" t="str" cm="1">
        <f t="array" ref="O361">_xlfn.TEXTJOIN(", ",TRUE,
_xlfn.UNIQUE(
_xlfn._xlws.FILTER($S$2:$S$200,
ISNUMBER(SEARCH(LOWER($R$2:$R$200),LOWER(B361)))
)
))</f>
        <v>Case Related, Crime based, Familial based</v>
      </c>
      <c r="P361" cm="1">
        <f t="array" aca="1" ref="P361" ca="1">IFERROR(
    IF(N361=0, 0,
        SUMPRODUCT(
            N(
                _xlfn.IFNA(
                    VLOOKUP(
                        TRIM(MID(SUBSTITUTE(M361,",",REPT(" ",100)),
                        (ROW(INDIRECT("1:" &amp; LEN(M361)-LEN(SUBSTITUTE(M361,",","")) + 1))-1)*100 + 1, 100)),
                        $R$2:$T$101, 3, FALSE
                    ), 0)
            )
        ) / N361
    ),
0)</f>
        <v>0.4</v>
      </c>
    </row>
    <row r="362" spans="1:16">
      <c r="A362">
        <v>361</v>
      </c>
      <c r="B362" s="4" t="s">
        <v>702</v>
      </c>
      <c r="C362" s="1">
        <v>1</v>
      </c>
      <c r="D362" s="1">
        <v>0</v>
      </c>
      <c r="E362" s="1">
        <v>0</v>
      </c>
      <c r="F362" s="1">
        <v>1</v>
      </c>
      <c r="G362" s="1">
        <v>0</v>
      </c>
      <c r="H362" s="1">
        <v>0</v>
      </c>
      <c r="I362" s="1">
        <v>0</v>
      </c>
      <c r="J362" s="1">
        <v>0</v>
      </c>
      <c r="K362" s="1">
        <v>0</v>
      </c>
      <c r="L362" s="1">
        <v>0</v>
      </c>
      <c r="M362" s="6" t="str" cm="1">
        <f t="array" ref="M362">_xlfn.TEXTJOIN(", ",TRUE,
_xlfn._xlws.FILTER($R$2:$R$101,
ISNUMBER(SEARCH(LOWER($R$2:$R$101),LOWER(B362)))
))</f>
        <v xml:space="preserve">bribe </v>
      </c>
      <c r="N362">
        <f t="shared" si="5"/>
        <v>1</v>
      </c>
      <c r="O362" s="6" t="str" cm="1">
        <f t="array" ref="O362">_xlfn.TEXTJOIN(", ",TRUE,
_xlfn.UNIQUE(
_xlfn._xlws.FILTER($S$2:$S$200,
ISNUMBER(SEARCH(LOWER($R$2:$R$200),LOWER(B362)))
)
))</f>
        <v>Crime based</v>
      </c>
      <c r="P362" cm="1">
        <f t="array" aca="1" ref="P362" ca="1">IFERROR(
    IF(N362=0, 0,
        SUMPRODUCT(
            N(
                _xlfn.IFNA(
                    VLOOKUP(
                        TRIM(MID(SUBSTITUTE(M362,",",REPT(" ",100)),
                        (ROW(INDIRECT("1:" &amp; LEN(M362)-LEN(SUBSTITUTE(M362,",","")) + 1))-1)*100 + 1, 100)),
                        $R$2:$T$101, 3, FALSE
                    ), 0)
            )
        ) / N362
    ),
0)</f>
        <v>0</v>
      </c>
    </row>
    <row r="363" spans="1:16" ht="76.5">
      <c r="A363">
        <v>362</v>
      </c>
      <c r="B363" s="4" t="s">
        <v>704</v>
      </c>
      <c r="C363" s="1">
        <v>0</v>
      </c>
      <c r="D363" s="1">
        <v>0</v>
      </c>
      <c r="E363" s="1">
        <v>0</v>
      </c>
      <c r="F363" s="1">
        <v>0</v>
      </c>
      <c r="G363" s="1">
        <v>0</v>
      </c>
      <c r="H363" s="1">
        <v>0</v>
      </c>
      <c r="I363" s="1">
        <v>0</v>
      </c>
      <c r="J363" s="1">
        <v>0</v>
      </c>
      <c r="K363" s="1">
        <v>0</v>
      </c>
      <c r="L363" s="1">
        <v>0</v>
      </c>
      <c r="N363" t="str">
        <f t="shared" si="5"/>
        <v>0</v>
      </c>
      <c r="O363" s="6" t="str" cm="1">
        <f t="array" ref="O363">_xlfn.TEXTJOIN(", ",TRUE,
_xlfn.UNIQUE(
_xlfn._xlws.FILTER($S$2:$S$200,
ISNUMBER(SEARCH(LOWER($R$2:$R$200),LOWER(B363)))
)
))</f>
        <v/>
      </c>
      <c r="P363" cm="1">
        <f t="array" aca="1" ref="P363" ca="1">IFERROR(
    IF(N363=0, 0,
        SUMPRODUCT(
            N(
                _xlfn.IFNA(
                    VLOOKUP(
                        TRIM(MID(SUBSTITUTE(M363,",",REPT(" ",100)),
                        (ROW(INDIRECT("1:" &amp; LEN(M363)-LEN(SUBSTITUTE(M363,",","")) + 1))-1)*100 + 1, 100)),
                        $R$2:$T$101, 3, FALSE
                    ), 0)
            )
        ) / N363
    ),
0)</f>
        <v>0</v>
      </c>
    </row>
    <row r="364" spans="1:16">
      <c r="A364">
        <v>363</v>
      </c>
      <c r="B364" s="4" t="s">
        <v>706</v>
      </c>
      <c r="C364" s="1">
        <v>0</v>
      </c>
      <c r="D364" s="1">
        <v>0</v>
      </c>
      <c r="E364" s="1">
        <v>0</v>
      </c>
      <c r="F364" s="1">
        <v>0</v>
      </c>
      <c r="G364" s="1">
        <v>0</v>
      </c>
      <c r="H364" s="1">
        <v>0</v>
      </c>
      <c r="I364" s="1">
        <v>0</v>
      </c>
      <c r="J364" s="1">
        <v>0</v>
      </c>
      <c r="K364" s="1">
        <v>0</v>
      </c>
      <c r="L364" s="1">
        <v>0</v>
      </c>
      <c r="N364" t="str">
        <f t="shared" si="5"/>
        <v>0</v>
      </c>
      <c r="O364" s="6" t="str" cm="1">
        <f t="array" ref="O364">_xlfn.TEXTJOIN(", ",TRUE,
_xlfn.UNIQUE(
_xlfn._xlws.FILTER($S$2:$S$200,
ISNUMBER(SEARCH(LOWER($R$2:$R$200),LOWER(B364)))
)
))</f>
        <v/>
      </c>
      <c r="P364" cm="1">
        <f t="array" aca="1" ref="P364" ca="1">IFERROR(
    IF(N364=0, 0,
        SUMPRODUCT(
            N(
                _xlfn.IFNA(
                    VLOOKUP(
                        TRIM(MID(SUBSTITUTE(M364,",",REPT(" ",100)),
                        (ROW(INDIRECT("1:" &amp; LEN(M364)-LEN(SUBSTITUTE(M364,",","")) + 1))-1)*100 + 1, 100)),
                        $R$2:$T$101, 3, FALSE
                    ), 0)
            )
        ) / N364
    ),
0)</f>
        <v>0</v>
      </c>
    </row>
    <row r="365" spans="1:16">
      <c r="A365">
        <v>364</v>
      </c>
      <c r="B365" s="4" t="s">
        <v>708</v>
      </c>
      <c r="C365" s="1">
        <v>0</v>
      </c>
      <c r="D365" s="1">
        <v>0</v>
      </c>
      <c r="E365" s="1">
        <v>0</v>
      </c>
      <c r="F365" s="1">
        <v>0</v>
      </c>
      <c r="G365" s="1">
        <v>0</v>
      </c>
      <c r="H365" s="1">
        <v>0</v>
      </c>
      <c r="I365" s="1">
        <v>0</v>
      </c>
      <c r="J365" s="1">
        <v>0</v>
      </c>
      <c r="K365" s="1">
        <v>0</v>
      </c>
      <c r="L365" s="1">
        <v>0</v>
      </c>
      <c r="N365" t="str">
        <f t="shared" si="5"/>
        <v>0</v>
      </c>
      <c r="O365" s="6" t="str" cm="1">
        <f t="array" ref="O365">_xlfn.TEXTJOIN(", ",TRUE,
_xlfn.UNIQUE(
_xlfn._xlws.FILTER($S$2:$S$200,
ISNUMBER(SEARCH(LOWER($R$2:$R$200),LOWER(B365)))
)
))</f>
        <v/>
      </c>
      <c r="P365" cm="1">
        <f t="array" aca="1" ref="P365" ca="1">IFERROR(
    IF(N365=0, 0,
        SUMPRODUCT(
            N(
                _xlfn.IFNA(
                    VLOOKUP(
                        TRIM(MID(SUBSTITUTE(M365,",",REPT(" ",100)),
                        (ROW(INDIRECT("1:" &amp; LEN(M365)-LEN(SUBSTITUTE(M365,",","")) + 1))-1)*100 + 1, 100)),
                        $R$2:$T$101, 3, FALSE
                    ), 0)
            )
        ) / N365
    ),
0)</f>
        <v>0</v>
      </c>
    </row>
    <row r="366" spans="1:16">
      <c r="A366">
        <v>365</v>
      </c>
      <c r="B366" s="4" t="s">
        <v>710</v>
      </c>
      <c r="C366" s="1">
        <v>0</v>
      </c>
      <c r="D366" s="1">
        <v>0</v>
      </c>
      <c r="E366" s="1">
        <v>0</v>
      </c>
      <c r="F366" s="1">
        <v>0</v>
      </c>
      <c r="G366" s="1">
        <v>0</v>
      </c>
      <c r="H366" s="1">
        <v>0</v>
      </c>
      <c r="I366" s="1">
        <v>0</v>
      </c>
      <c r="J366" s="1">
        <v>0</v>
      </c>
      <c r="K366" s="1">
        <v>0</v>
      </c>
      <c r="L366" s="1">
        <v>0</v>
      </c>
      <c r="N366" t="str">
        <f t="shared" si="5"/>
        <v>0</v>
      </c>
      <c r="O366" s="6" t="str" cm="1">
        <f t="array" ref="O366">_xlfn.TEXTJOIN(", ",TRUE,
_xlfn.UNIQUE(
_xlfn._xlws.FILTER($S$2:$S$200,
ISNUMBER(SEARCH(LOWER($R$2:$R$200),LOWER(B366)))
)
))</f>
        <v/>
      </c>
      <c r="P366" cm="1">
        <f t="array" aca="1" ref="P366" ca="1">IFERROR(
    IF(N366=0, 0,
        SUMPRODUCT(
            N(
                _xlfn.IFNA(
                    VLOOKUP(
                        TRIM(MID(SUBSTITUTE(M366,",",REPT(" ",100)),
                        (ROW(INDIRECT("1:" &amp; LEN(M366)-LEN(SUBSTITUTE(M366,",","")) + 1))-1)*100 + 1, 100)),
                        $R$2:$T$101, 3, FALSE
                    ), 0)
            )
        ) / N366
    ),
0)</f>
        <v>0</v>
      </c>
    </row>
    <row r="367" spans="1:16">
      <c r="A367">
        <v>366</v>
      </c>
      <c r="B367" s="4" t="s">
        <v>712</v>
      </c>
      <c r="C367" s="1">
        <v>0</v>
      </c>
      <c r="D367" s="1">
        <v>0</v>
      </c>
      <c r="E367" s="1">
        <v>0</v>
      </c>
      <c r="F367" s="1">
        <v>0</v>
      </c>
      <c r="G367" s="1">
        <v>0</v>
      </c>
      <c r="H367" s="1">
        <v>0</v>
      </c>
      <c r="I367" s="1">
        <v>0</v>
      </c>
      <c r="J367" s="1">
        <v>0</v>
      </c>
      <c r="K367" s="1">
        <v>0</v>
      </c>
      <c r="L367" s="1">
        <v>0</v>
      </c>
      <c r="M367" s="6" t="str" cm="1">
        <f t="array" ref="M367">_xlfn.TEXTJOIN(", ",TRUE,
_xlfn._xlws.FILTER($R$2:$R$101,
ISNUMBER(SEARCH(LOWER($R$2:$R$101),LOWER(B367)))
))</f>
        <v>guilty</v>
      </c>
      <c r="N367">
        <f t="shared" si="5"/>
        <v>1</v>
      </c>
      <c r="O367" s="6" t="str" cm="1">
        <f t="array" ref="O367">_xlfn.TEXTJOIN(", ",TRUE,
_xlfn.UNIQUE(
_xlfn._xlws.FILTER($S$2:$S$200,
ISNUMBER(SEARCH(LOWER($R$2:$R$200),LOWER(B367)))
)
))</f>
        <v>Legality based</v>
      </c>
      <c r="P367" cm="1">
        <f t="array" aca="1" ref="P367" ca="1">IFERROR(
    IF(N367=0, 0,
        SUMPRODUCT(
            N(
                _xlfn.IFNA(
                    VLOOKUP(
                        TRIM(MID(SUBSTITUTE(M367,",",REPT(" ",100)),
                        (ROW(INDIRECT("1:" &amp; LEN(M367)-LEN(SUBSTITUTE(M367,",","")) + 1))-1)*100 + 1, 100)),
                        $R$2:$T$101, 3, FALSE
                    ), 0)
            )
        ) / N367
    ),
0)</f>
        <v>0</v>
      </c>
    </row>
    <row r="368" spans="1:16">
      <c r="A368">
        <v>367</v>
      </c>
      <c r="B368" s="4" t="s">
        <v>714</v>
      </c>
      <c r="C368" s="1">
        <v>0</v>
      </c>
      <c r="D368" s="1">
        <v>0</v>
      </c>
      <c r="E368" s="1">
        <v>0</v>
      </c>
      <c r="F368" s="1">
        <v>0</v>
      </c>
      <c r="G368" s="1">
        <v>0</v>
      </c>
      <c r="H368" s="1">
        <v>0</v>
      </c>
      <c r="I368" s="1">
        <v>0</v>
      </c>
      <c r="J368" s="1">
        <v>0</v>
      </c>
      <c r="K368" s="1">
        <v>0</v>
      </c>
      <c r="L368" s="1">
        <v>0</v>
      </c>
      <c r="N368" t="str">
        <f t="shared" si="5"/>
        <v>0</v>
      </c>
      <c r="O368" s="6" t="str" cm="1">
        <f t="array" ref="O368">_xlfn.TEXTJOIN(", ",TRUE,
_xlfn.UNIQUE(
_xlfn._xlws.FILTER($S$2:$S$200,
ISNUMBER(SEARCH(LOWER($R$2:$R$200),LOWER(B368)))
)
))</f>
        <v/>
      </c>
      <c r="P368" cm="1">
        <f t="array" aca="1" ref="P368" ca="1">IFERROR(
    IF(N368=0, 0,
        SUMPRODUCT(
            N(
                _xlfn.IFNA(
                    VLOOKUP(
                        TRIM(MID(SUBSTITUTE(M368,",",REPT(" ",100)),
                        (ROW(INDIRECT("1:" &amp; LEN(M368)-LEN(SUBSTITUTE(M368,",","")) + 1))-1)*100 + 1, 100)),
                        $R$2:$T$101, 3, FALSE
                    ), 0)
            )
        ) / N368
    ),
0)</f>
        <v>0</v>
      </c>
    </row>
    <row r="369" spans="1:16" ht="30.75">
      <c r="A369">
        <v>368</v>
      </c>
      <c r="B369" s="4" t="s">
        <v>716</v>
      </c>
      <c r="C369" s="1">
        <v>0</v>
      </c>
      <c r="D369" s="1">
        <v>0</v>
      </c>
      <c r="E369" s="1">
        <v>0</v>
      </c>
      <c r="F369" s="1">
        <v>0</v>
      </c>
      <c r="G369" s="1">
        <v>0</v>
      </c>
      <c r="H369" s="1">
        <v>0</v>
      </c>
      <c r="I369" s="1">
        <v>0</v>
      </c>
      <c r="J369" s="1">
        <v>0</v>
      </c>
      <c r="K369" s="1">
        <v>0</v>
      </c>
      <c r="L369" s="1">
        <v>0</v>
      </c>
      <c r="N369" t="str">
        <f t="shared" si="5"/>
        <v>0</v>
      </c>
      <c r="O369" s="6" t="str" cm="1">
        <f t="array" ref="O369">_xlfn.TEXTJOIN(", ",TRUE,
_xlfn.UNIQUE(
_xlfn._xlws.FILTER($S$2:$S$200,
ISNUMBER(SEARCH(LOWER($R$2:$R$200),LOWER(B369)))
)
))</f>
        <v/>
      </c>
      <c r="P369" cm="1">
        <f t="array" aca="1" ref="P369" ca="1">IFERROR(
    IF(N369=0, 0,
        SUMPRODUCT(
            N(
                _xlfn.IFNA(
                    VLOOKUP(
                        TRIM(MID(SUBSTITUTE(M369,",",REPT(" ",100)),
                        (ROW(INDIRECT("1:" &amp; LEN(M369)-LEN(SUBSTITUTE(M369,",","")) + 1))-1)*100 + 1, 100)),
                        $R$2:$T$101, 3, FALSE
                    ), 0)
            )
        ) / N369
    ),
0)</f>
        <v>0</v>
      </c>
    </row>
    <row r="370" spans="1:16" ht="30.75">
      <c r="A370">
        <v>369</v>
      </c>
      <c r="B370" s="4" t="s">
        <v>718</v>
      </c>
      <c r="C370" s="1">
        <v>0</v>
      </c>
      <c r="D370" s="1">
        <v>0</v>
      </c>
      <c r="E370" s="1">
        <v>0</v>
      </c>
      <c r="F370" s="1">
        <v>0</v>
      </c>
      <c r="G370" s="1">
        <v>0</v>
      </c>
      <c r="H370" s="1">
        <v>0</v>
      </c>
      <c r="I370" s="1">
        <v>0</v>
      </c>
      <c r="J370" s="1">
        <v>0</v>
      </c>
      <c r="K370" s="1">
        <v>0</v>
      </c>
      <c r="L370" s="1">
        <v>0</v>
      </c>
      <c r="N370" t="str">
        <f t="shared" si="5"/>
        <v>0</v>
      </c>
      <c r="O370" s="6" t="str" cm="1">
        <f t="array" ref="O370">_xlfn.TEXTJOIN(", ",TRUE,
_xlfn.UNIQUE(
_xlfn._xlws.FILTER($S$2:$S$200,
ISNUMBER(SEARCH(LOWER($R$2:$R$200),LOWER(B370)))
)
))</f>
        <v/>
      </c>
      <c r="P370" cm="1">
        <f t="array" aca="1" ref="P370" ca="1">IFERROR(
    IF(N370=0, 0,
        SUMPRODUCT(
            N(
                _xlfn.IFNA(
                    VLOOKUP(
                        TRIM(MID(SUBSTITUTE(M370,",",REPT(" ",100)),
                        (ROW(INDIRECT("1:" &amp; LEN(M370)-LEN(SUBSTITUTE(M370,",","")) + 1))-1)*100 + 1, 100)),
                        $R$2:$T$101, 3, FALSE
                    ), 0)
            )
        ) / N370
    ),
0)</f>
        <v>0</v>
      </c>
    </row>
    <row r="371" spans="1:16" ht="30.75">
      <c r="A371">
        <v>370</v>
      </c>
      <c r="B371" s="4" t="s">
        <v>720</v>
      </c>
      <c r="C371" s="1">
        <v>0</v>
      </c>
      <c r="D371" s="1">
        <v>0</v>
      </c>
      <c r="E371" s="1">
        <v>0</v>
      </c>
      <c r="F371" s="1">
        <v>0</v>
      </c>
      <c r="G371" s="1">
        <v>0</v>
      </c>
      <c r="H371" s="1">
        <v>0</v>
      </c>
      <c r="I371" s="1">
        <v>0</v>
      </c>
      <c r="J371" s="1">
        <v>0</v>
      </c>
      <c r="K371" s="1">
        <v>0</v>
      </c>
      <c r="L371" s="1">
        <v>0</v>
      </c>
      <c r="N371" t="str">
        <f t="shared" si="5"/>
        <v>0</v>
      </c>
      <c r="O371" s="6" t="str" cm="1">
        <f t="array" ref="O371">_xlfn.TEXTJOIN(", ",TRUE,
_xlfn.UNIQUE(
_xlfn._xlws.FILTER($S$2:$S$200,
ISNUMBER(SEARCH(LOWER($R$2:$R$200),LOWER(B371)))
)
))</f>
        <v/>
      </c>
      <c r="P371" cm="1">
        <f t="array" aca="1" ref="P371" ca="1">IFERROR(
    IF(N371=0, 0,
        SUMPRODUCT(
            N(
                _xlfn.IFNA(
                    VLOOKUP(
                        TRIM(MID(SUBSTITUTE(M371,",",REPT(" ",100)),
                        (ROW(INDIRECT("1:" &amp; LEN(M371)-LEN(SUBSTITUTE(M371,",","")) + 1))-1)*100 + 1, 100)),
                        $R$2:$T$101, 3, FALSE
                    ), 0)
            )
        ) / N371
    ),
0)</f>
        <v>0</v>
      </c>
    </row>
    <row r="372" spans="1:16" ht="45.75">
      <c r="A372">
        <v>371</v>
      </c>
      <c r="B372" s="4" t="s">
        <v>722</v>
      </c>
      <c r="C372" s="1">
        <v>0</v>
      </c>
      <c r="D372" s="1">
        <v>0</v>
      </c>
      <c r="E372" s="1">
        <v>0</v>
      </c>
      <c r="F372" s="1">
        <v>0</v>
      </c>
      <c r="G372" s="1">
        <v>0</v>
      </c>
      <c r="H372" s="1">
        <v>0</v>
      </c>
      <c r="I372" s="1">
        <v>0</v>
      </c>
      <c r="J372" s="1">
        <v>0</v>
      </c>
      <c r="K372" s="1">
        <v>0</v>
      </c>
      <c r="L372" s="1">
        <v>0</v>
      </c>
      <c r="M372" s="6" t="str" cm="1">
        <f t="array" ref="M372">_xlfn.TEXTJOIN(", ",TRUE,
_xlfn._xlws.FILTER($R$2:$R$101,
ISNUMBER(SEARCH(LOWER($R$2:$R$101),LOWER(B372)))
))</f>
        <v>weed</v>
      </c>
      <c r="N372">
        <f t="shared" si="5"/>
        <v>1</v>
      </c>
      <c r="O372" s="6" t="str" cm="1">
        <f t="array" ref="O372">_xlfn.TEXTJOIN(", ",TRUE,
_xlfn.UNIQUE(
_xlfn._xlws.FILTER($S$2:$S$200,
ISNUMBER(SEARCH(LOWER($R$2:$R$200),LOWER(B372)))
)
))</f>
        <v>Crime based</v>
      </c>
      <c r="P372" cm="1">
        <f t="array" aca="1" ref="P372" ca="1">IFERROR(
    IF(N372=0, 0,
        SUMPRODUCT(
            N(
                _xlfn.IFNA(
                    VLOOKUP(
                        TRIM(MID(SUBSTITUTE(M372,",",REPT(" ",100)),
                        (ROW(INDIRECT("1:" &amp; LEN(M372)-LEN(SUBSTITUTE(M372,",","")) + 1))-1)*100 + 1, 100)),
                        $R$2:$T$101, 3, FALSE
                    ), 0)
            )
        ) / N372
    ),
0)</f>
        <v>0</v>
      </c>
    </row>
    <row r="373" spans="1:16" ht="45.75">
      <c r="A373">
        <v>372</v>
      </c>
      <c r="B373" s="4" t="s">
        <v>724</v>
      </c>
      <c r="C373" s="10">
        <v>0.75</v>
      </c>
      <c r="D373" s="1">
        <v>2.25</v>
      </c>
      <c r="E373" s="1">
        <v>0</v>
      </c>
      <c r="F373" s="1">
        <v>0</v>
      </c>
      <c r="G373" s="1">
        <v>3</v>
      </c>
      <c r="H373" s="1">
        <v>0</v>
      </c>
      <c r="I373" s="1">
        <v>0</v>
      </c>
      <c r="J373" s="1">
        <v>0</v>
      </c>
      <c r="K373" s="1">
        <v>0</v>
      </c>
      <c r="L373" s="1">
        <v>0</v>
      </c>
      <c r="M373" s="6" t="str" cm="1">
        <f t="array" ref="M373">_xlfn.TEXTJOIN(", ",TRUE,
_xlfn._xlws.FILTER($R$2:$R$101,
ISNUMBER(SEARCH(LOWER($R$2:$R$101),LOWER(B373)))
))</f>
        <v>drugs, stupid, import</v>
      </c>
      <c r="N373">
        <f t="shared" si="5"/>
        <v>3</v>
      </c>
      <c r="O373" s="6" t="str" cm="1">
        <f t="array" ref="O373">_xlfn.TEXTJOIN(", ",TRUE,
_xlfn.UNIQUE(
_xlfn._xlws.FILTER($S$2:$S$200,
ISNUMBER(SEARCH(LOWER($R$2:$R$200),LOWER(B373)))
)
))</f>
        <v>Crime based, Intelligence based, Legality based</v>
      </c>
      <c r="P373" cm="1">
        <f t="array" aca="1" ref="P373" ca="1">IFERROR(
    IF(N373=0, 0,
        SUMPRODUCT(
            N(
                _xlfn.IFNA(
                    VLOOKUP(
                        TRIM(MID(SUBSTITUTE(M373,",",REPT(" ",100)),
                        (ROW(INDIRECT("1:" &amp; LEN(M373)-LEN(SUBSTITUTE(M373,",","")) + 1))-1)*100 + 1, 100)),
                        $R$2:$T$101, 3, FALSE
                    ), 0)
            )
        ) / N373
    ),
0)</f>
        <v>1</v>
      </c>
    </row>
    <row r="374" spans="1:16">
      <c r="A374">
        <v>373</v>
      </c>
      <c r="B374" s="4" t="s">
        <v>726</v>
      </c>
      <c r="C374" s="1">
        <v>0</v>
      </c>
      <c r="D374" s="1">
        <v>0</v>
      </c>
      <c r="E374" s="1">
        <v>0</v>
      </c>
      <c r="F374" s="1">
        <v>0</v>
      </c>
      <c r="G374" s="1">
        <v>0</v>
      </c>
      <c r="H374" s="1">
        <v>0</v>
      </c>
      <c r="I374" s="1">
        <v>0</v>
      </c>
      <c r="J374" s="1">
        <v>0</v>
      </c>
      <c r="K374" s="1">
        <v>0</v>
      </c>
      <c r="L374" s="1">
        <v>0</v>
      </c>
      <c r="N374" t="str">
        <f t="shared" si="5"/>
        <v>0</v>
      </c>
      <c r="O374" s="6" t="str" cm="1">
        <f t="array" ref="O374">_xlfn.TEXTJOIN(", ",TRUE,
_xlfn.UNIQUE(
_xlfn._xlws.FILTER($S$2:$S$200,
ISNUMBER(SEARCH(LOWER($R$2:$R$200),LOWER(B374)))
)
))</f>
        <v/>
      </c>
      <c r="P374" cm="1">
        <f t="array" aca="1" ref="P374" ca="1">IFERROR(
    IF(N374=0, 0,
        SUMPRODUCT(
            N(
                _xlfn.IFNA(
                    VLOOKUP(
                        TRIM(MID(SUBSTITUTE(M374,",",REPT(" ",100)),
                        (ROW(INDIRECT("1:" &amp; LEN(M374)-LEN(SUBSTITUTE(M374,",","")) + 1))-1)*100 + 1, 100)),
                        $R$2:$T$101, 3, FALSE
                    ), 0)
            )
        ) / N374
    ),
0)</f>
        <v>0</v>
      </c>
    </row>
    <row r="375" spans="1:16">
      <c r="A375">
        <v>374</v>
      </c>
      <c r="B375" s="4" t="s">
        <v>728</v>
      </c>
      <c r="C375" s="1">
        <v>0</v>
      </c>
      <c r="D375" s="1">
        <v>0</v>
      </c>
      <c r="E375" s="1">
        <v>0</v>
      </c>
      <c r="F375" s="1">
        <v>0</v>
      </c>
      <c r="G375" s="1">
        <v>0</v>
      </c>
      <c r="H375" s="1">
        <v>0</v>
      </c>
      <c r="I375" s="1">
        <v>0</v>
      </c>
      <c r="J375" s="1">
        <v>0</v>
      </c>
      <c r="K375" s="1">
        <v>0</v>
      </c>
      <c r="L375" s="1">
        <v>0</v>
      </c>
      <c r="N375" t="str">
        <f t="shared" si="5"/>
        <v>0</v>
      </c>
      <c r="O375" s="6" t="str" cm="1">
        <f t="array" ref="O375">_xlfn.TEXTJOIN(", ",TRUE,
_xlfn.UNIQUE(
_xlfn._xlws.FILTER($S$2:$S$200,
ISNUMBER(SEARCH(LOWER($R$2:$R$200),LOWER(B375)))
)
))</f>
        <v/>
      </c>
      <c r="P375" cm="1">
        <f t="array" aca="1" ref="P375" ca="1">IFERROR(
    IF(N375=0, 0,
        SUMPRODUCT(
            N(
                _xlfn.IFNA(
                    VLOOKUP(
                        TRIM(MID(SUBSTITUTE(M375,",",REPT(" ",100)),
                        (ROW(INDIRECT("1:" &amp; LEN(M375)-LEN(SUBSTITUTE(M375,",","")) + 1))-1)*100 + 1, 100)),
                        $R$2:$T$101, 3, FALSE
                    ), 0)
            )
        ) / N375
    ),
0)</f>
        <v>0</v>
      </c>
    </row>
    <row r="376" spans="1:16">
      <c r="A376">
        <v>375</v>
      </c>
      <c r="B376" s="4" t="s">
        <v>730</v>
      </c>
      <c r="C376" s="1">
        <v>3</v>
      </c>
      <c r="D376" s="1">
        <v>9</v>
      </c>
      <c r="E376" s="1">
        <v>0</v>
      </c>
      <c r="F376" s="1">
        <v>0</v>
      </c>
      <c r="G376" s="1">
        <v>3</v>
      </c>
      <c r="H376" s="1">
        <v>0</v>
      </c>
      <c r="I376" s="1">
        <v>0</v>
      </c>
      <c r="J376" s="1">
        <v>0</v>
      </c>
      <c r="K376" s="1">
        <v>0</v>
      </c>
      <c r="L376" s="1">
        <v>0</v>
      </c>
      <c r="M376" s="6" t="str" cm="1">
        <f t="array" ref="M376">_xlfn.TEXTJOIN(", ",TRUE,
_xlfn._xlws.FILTER($R$2:$R$101,
ISNUMBER(SEARCH(LOWER($R$2:$R$101),LOWER(B376)))
))</f>
        <v>idiot</v>
      </c>
      <c r="N376">
        <f t="shared" si="5"/>
        <v>1</v>
      </c>
      <c r="O376" s="6" t="str" cm="1">
        <f t="array" ref="O376">_xlfn.TEXTJOIN(", ",TRUE,
_xlfn.UNIQUE(
_xlfn._xlws.FILTER($S$2:$S$200,
ISNUMBER(SEARCH(LOWER($R$2:$R$200),LOWER(B376)))
)
))</f>
        <v>Intelligence based</v>
      </c>
      <c r="P376" cm="1">
        <f t="array" aca="1" ref="P376" ca="1">IFERROR(
    IF(N376=0, 0,
        SUMPRODUCT(
            N(
                _xlfn.IFNA(
                    VLOOKUP(
                        TRIM(MID(SUBSTITUTE(M376,",",REPT(" ",100)),
                        (ROW(INDIRECT("1:" &amp; LEN(M376)-LEN(SUBSTITUTE(M376,",","")) + 1))-1)*100 + 1, 100)),
                        $R$2:$T$101, 3, FALSE
                    ), 0)
            )
        ) / N376
    ),
0)</f>
        <v>3</v>
      </c>
    </row>
    <row r="377" spans="1:16" ht="30.75">
      <c r="A377">
        <v>376</v>
      </c>
      <c r="B377" s="4" t="s">
        <v>732</v>
      </c>
      <c r="C377" s="1">
        <v>3</v>
      </c>
      <c r="D377" s="1">
        <v>9</v>
      </c>
      <c r="E377" s="1">
        <v>0</v>
      </c>
      <c r="F377" s="1">
        <v>0</v>
      </c>
      <c r="G377" s="1">
        <v>3</v>
      </c>
      <c r="H377" s="1">
        <v>0</v>
      </c>
      <c r="I377" s="1">
        <v>0</v>
      </c>
      <c r="J377" s="1">
        <v>0</v>
      </c>
      <c r="K377" s="1">
        <v>0</v>
      </c>
      <c r="L377" s="1">
        <v>0</v>
      </c>
      <c r="M377" s="6" t="str" cm="1">
        <f t="array" ref="M377">_xlfn.TEXTJOIN(", ",TRUE,
_xlfn._xlws.FILTER($R$2:$R$101,
ISNUMBER(SEARCH(LOWER($R$2:$R$101),LOWER(B377)))
))</f>
        <v>idiot, idiots</v>
      </c>
      <c r="N377">
        <f t="shared" si="5"/>
        <v>2</v>
      </c>
      <c r="O377" s="6" t="str" cm="1">
        <f t="array" ref="O377">_xlfn.TEXTJOIN(", ",TRUE,
_xlfn.UNIQUE(
_xlfn._xlws.FILTER($S$2:$S$200,
ISNUMBER(SEARCH(LOWER($R$2:$R$200),LOWER(B377)))
)
))</f>
        <v>Intelligence based</v>
      </c>
      <c r="P377" cm="1">
        <f t="array" aca="1" ref="P377" ca="1">IFERROR(
    IF(N377=0, 0,
        SUMPRODUCT(
            N(
                _xlfn.IFNA(
                    VLOOKUP(
                        TRIM(MID(SUBSTITUTE(M377,",",REPT(" ",100)),
                        (ROW(INDIRECT("1:" &amp; LEN(M377)-LEN(SUBSTITUTE(M377,",","")) + 1))-1)*100 + 1, 100)),
                        $R$2:$T$101, 3, FALSE
                    ), 0)
            )
        ) / N377
    ),
0)</f>
        <v>3</v>
      </c>
    </row>
    <row r="378" spans="1:16" ht="30.75">
      <c r="A378">
        <v>377</v>
      </c>
      <c r="B378" s="4" t="s">
        <v>734</v>
      </c>
      <c r="C378" s="1">
        <v>0</v>
      </c>
      <c r="D378" s="1">
        <v>0</v>
      </c>
      <c r="E378" s="1">
        <v>0</v>
      </c>
      <c r="F378" s="1">
        <v>0</v>
      </c>
      <c r="G378" s="1">
        <v>0</v>
      </c>
      <c r="H378" s="1">
        <v>0</v>
      </c>
      <c r="I378" s="1">
        <v>0</v>
      </c>
      <c r="J378" s="1">
        <v>0</v>
      </c>
      <c r="K378" s="1">
        <v>0</v>
      </c>
      <c r="L378" s="1">
        <v>0</v>
      </c>
      <c r="M378" s="6" t="str" cm="1">
        <f t="array" ref="M378">_xlfn.TEXTJOIN(", ",TRUE,
_xlfn._xlws.FILTER($R$2:$R$101,
ISNUMBER(SEARCH(LOWER($R$2:$R$101),LOWER(B378)))
))</f>
        <v>drugs</v>
      </c>
      <c r="N378">
        <f t="shared" si="5"/>
        <v>1</v>
      </c>
      <c r="O378" s="6" t="str" cm="1">
        <f t="array" ref="O378">_xlfn.TEXTJOIN(", ",TRUE,
_xlfn.UNIQUE(
_xlfn._xlws.FILTER($S$2:$S$200,
ISNUMBER(SEARCH(LOWER($R$2:$R$200),LOWER(B378)))
)
))</f>
        <v>Crime based</v>
      </c>
      <c r="P378" cm="1">
        <f t="array" aca="1" ref="P378" ca="1">IFERROR(
    IF(N378=0, 0,
        SUMPRODUCT(
            N(
                _xlfn.IFNA(
                    VLOOKUP(
                        TRIM(MID(SUBSTITUTE(M378,",",REPT(" ",100)),
                        (ROW(INDIRECT("1:" &amp; LEN(M378)-LEN(SUBSTITUTE(M378,",","")) + 1))-1)*100 + 1, 100)),
                        $R$2:$T$101, 3, FALSE
                    ), 0)
            )
        ) / N378
    ),
0)</f>
        <v>0</v>
      </c>
    </row>
    <row r="379" spans="1:16">
      <c r="A379">
        <v>378</v>
      </c>
      <c r="B379" s="4" t="s">
        <v>736</v>
      </c>
      <c r="C379" s="1">
        <v>0</v>
      </c>
      <c r="D379" s="1">
        <v>0</v>
      </c>
      <c r="E379" s="1">
        <v>0</v>
      </c>
      <c r="F379" s="1">
        <v>0</v>
      </c>
      <c r="G379" s="1">
        <v>0</v>
      </c>
      <c r="H379" s="1">
        <v>0</v>
      </c>
      <c r="I379" s="1">
        <v>0</v>
      </c>
      <c r="J379" s="1">
        <v>0</v>
      </c>
      <c r="K379" s="1">
        <v>0</v>
      </c>
      <c r="L379" s="1">
        <v>0</v>
      </c>
      <c r="N379" t="str">
        <f t="shared" si="5"/>
        <v>0</v>
      </c>
      <c r="O379" s="6" t="str" cm="1">
        <f t="array" ref="O379">_xlfn.TEXTJOIN(", ",TRUE,
_xlfn.UNIQUE(
_xlfn._xlws.FILTER($S$2:$S$200,
ISNUMBER(SEARCH(LOWER($R$2:$R$200),LOWER(B379)))
)
))</f>
        <v/>
      </c>
      <c r="P379" cm="1">
        <f t="array" aca="1" ref="P379" ca="1">IFERROR(
    IF(N379=0, 0,
        SUMPRODUCT(
            N(
                _xlfn.IFNA(
                    VLOOKUP(
                        TRIM(MID(SUBSTITUTE(M379,",",REPT(" ",100)),
                        (ROW(INDIRECT("1:" &amp; LEN(M379)-LEN(SUBSTITUTE(M379,",","")) + 1))-1)*100 + 1, 100)),
                        $R$2:$T$101, 3, FALSE
                    ), 0)
            )
        ) / N379
    ),
0)</f>
        <v>0</v>
      </c>
    </row>
    <row r="380" spans="1:16">
      <c r="A380">
        <v>379</v>
      </c>
      <c r="B380" s="4" t="s">
        <v>738</v>
      </c>
      <c r="C380" s="1">
        <v>0</v>
      </c>
      <c r="D380" s="1">
        <v>0</v>
      </c>
      <c r="E380" s="1">
        <v>0</v>
      </c>
      <c r="F380" s="1">
        <v>0</v>
      </c>
      <c r="G380" s="1">
        <v>0</v>
      </c>
      <c r="H380" s="1">
        <v>0</v>
      </c>
      <c r="I380" s="1">
        <v>0</v>
      </c>
      <c r="J380" s="1">
        <v>0</v>
      </c>
      <c r="K380" s="1">
        <v>0</v>
      </c>
      <c r="L380" s="1">
        <v>0</v>
      </c>
      <c r="N380" t="str">
        <f t="shared" si="5"/>
        <v>0</v>
      </c>
      <c r="O380" s="6" t="str" cm="1">
        <f t="array" ref="O380">_xlfn.TEXTJOIN(", ",TRUE,
_xlfn.UNIQUE(
_xlfn._xlws.FILTER($S$2:$S$200,
ISNUMBER(SEARCH(LOWER($R$2:$R$200),LOWER(B380)))
)
))</f>
        <v/>
      </c>
      <c r="P380" cm="1">
        <f t="array" aca="1" ref="P380" ca="1">IFERROR(
    IF(N380=0, 0,
        SUMPRODUCT(
            N(
                _xlfn.IFNA(
                    VLOOKUP(
                        TRIM(MID(SUBSTITUTE(M380,",",REPT(" ",100)),
                        (ROW(INDIRECT("1:" &amp; LEN(M380)-LEN(SUBSTITUTE(M380,",","")) + 1))-1)*100 + 1, 100)),
                        $R$2:$T$101, 3, FALSE
                    ), 0)
            )
        ) / N380
    ),
0)</f>
        <v>0</v>
      </c>
    </row>
    <row r="381" spans="1:16" ht="30.75">
      <c r="A381">
        <v>380</v>
      </c>
      <c r="B381" s="4" t="s">
        <v>740</v>
      </c>
      <c r="C381" s="1">
        <v>1.5</v>
      </c>
      <c r="D381" s="1">
        <v>4.5</v>
      </c>
      <c r="E381" s="1">
        <v>0</v>
      </c>
      <c r="F381" s="1">
        <v>0</v>
      </c>
      <c r="G381" s="1">
        <v>3</v>
      </c>
      <c r="H381" s="1">
        <v>0</v>
      </c>
      <c r="I381" s="1">
        <v>0</v>
      </c>
      <c r="J381" s="1">
        <v>0</v>
      </c>
      <c r="K381" s="1">
        <v>0</v>
      </c>
      <c r="L381" s="1">
        <v>0</v>
      </c>
      <c r="M381" s="6" t="str" cm="1">
        <f t="array" ref="M381">_xlfn.TEXTJOIN(", ",TRUE,
_xlfn._xlws.FILTER($R$2:$R$101,
ISNUMBER(SEARCH(LOWER($R$2:$R$101),LOWER(B381)))
))</f>
        <v>dumb, brother</v>
      </c>
      <c r="N381">
        <f t="shared" si="5"/>
        <v>2</v>
      </c>
      <c r="O381" s="6" t="str" cm="1">
        <f t="array" ref="O381">_xlfn.TEXTJOIN(", ",TRUE,
_xlfn.UNIQUE(
_xlfn._xlws.FILTER($S$2:$S$200,
ISNUMBER(SEARCH(LOWER($R$2:$R$200),LOWER(B381)))
)
))</f>
        <v>Intelligence based, Familial based</v>
      </c>
      <c r="P381" cm="1">
        <f t="array" aca="1" ref="P381" ca="1">IFERROR(
    IF(N381=0, 0,
        SUMPRODUCT(
            N(
                _xlfn.IFNA(
                    VLOOKUP(
                        TRIM(MID(SUBSTITUTE(M381,",",REPT(" ",100)),
                        (ROW(INDIRECT("1:" &amp; LEN(M381)-LEN(SUBSTITUTE(M381,",","")) + 1))-1)*100 + 1, 100)),
                        $R$2:$T$101, 3, FALSE
                    ), 0)
            )
        ) / N381
    ),
0)</f>
        <v>1.5</v>
      </c>
    </row>
    <row r="382" spans="1:16">
      <c r="A382">
        <v>381</v>
      </c>
      <c r="B382" s="4" t="s">
        <v>742</v>
      </c>
      <c r="C382" s="1">
        <v>0</v>
      </c>
      <c r="D382" s="1">
        <v>0</v>
      </c>
      <c r="E382" s="1">
        <v>0</v>
      </c>
      <c r="F382" s="1">
        <v>0</v>
      </c>
      <c r="G382" s="1">
        <v>0</v>
      </c>
      <c r="H382" s="1">
        <v>0</v>
      </c>
      <c r="I382" s="1">
        <v>0</v>
      </c>
      <c r="J382" s="1">
        <v>0</v>
      </c>
      <c r="K382" s="1">
        <v>0</v>
      </c>
      <c r="L382" s="1">
        <v>0</v>
      </c>
      <c r="N382" t="str">
        <f t="shared" si="5"/>
        <v>0</v>
      </c>
      <c r="O382" s="6" t="str" cm="1">
        <f t="array" ref="O382">_xlfn.TEXTJOIN(", ",TRUE,
_xlfn.UNIQUE(
_xlfn._xlws.FILTER($S$2:$S$200,
ISNUMBER(SEARCH(LOWER($R$2:$R$200),LOWER(B382)))
)
))</f>
        <v/>
      </c>
      <c r="P382" cm="1">
        <f t="array" aca="1" ref="P382" ca="1">IFERROR(
    IF(N382=0, 0,
        SUMPRODUCT(
            N(
                _xlfn.IFNA(
                    VLOOKUP(
                        TRIM(MID(SUBSTITUTE(M382,",",REPT(" ",100)),
                        (ROW(INDIRECT("1:" &amp; LEN(M382)-LEN(SUBSTITUTE(M382,",","")) + 1))-1)*100 + 1, 100)),
                        $R$2:$T$101, 3, FALSE
                    ), 0)
            )
        ) / N382
    ),
0)</f>
        <v>0</v>
      </c>
    </row>
    <row r="383" spans="1:16">
      <c r="A383">
        <v>382</v>
      </c>
      <c r="B383" s="4" t="s">
        <v>744</v>
      </c>
      <c r="C383" s="1">
        <v>0</v>
      </c>
      <c r="D383" s="1">
        <v>0</v>
      </c>
      <c r="E383" s="1">
        <v>0</v>
      </c>
      <c r="F383" s="1">
        <v>0</v>
      </c>
      <c r="G383" s="1">
        <v>0</v>
      </c>
      <c r="H383" s="1">
        <v>0</v>
      </c>
      <c r="I383" s="1">
        <v>0</v>
      </c>
      <c r="J383" s="1">
        <v>0</v>
      </c>
      <c r="K383" s="1">
        <v>0</v>
      </c>
      <c r="L383" s="1">
        <v>0</v>
      </c>
      <c r="N383" t="str">
        <f t="shared" si="5"/>
        <v>0</v>
      </c>
      <c r="O383" s="6" t="str" cm="1">
        <f t="array" ref="O383">_xlfn.TEXTJOIN(", ",TRUE,
_xlfn.UNIQUE(
_xlfn._xlws.FILTER($S$2:$S$200,
ISNUMBER(SEARCH(LOWER($R$2:$R$200),LOWER(B383)))
)
))</f>
        <v/>
      </c>
      <c r="P383" cm="1">
        <f t="array" aca="1" ref="P383" ca="1">IFERROR(
    IF(N383=0, 0,
        SUMPRODUCT(
            N(
                _xlfn.IFNA(
                    VLOOKUP(
                        TRIM(MID(SUBSTITUTE(M383,",",REPT(" ",100)),
                        (ROW(INDIRECT("1:" &amp; LEN(M383)-LEN(SUBSTITUTE(M383,",","")) + 1))-1)*100 + 1, 100)),
                        $R$2:$T$101, 3, FALSE
                    ), 0)
            )
        ) / N383
    ),
0)</f>
        <v>0</v>
      </c>
    </row>
    <row r="384" spans="1:16">
      <c r="A384">
        <v>383</v>
      </c>
      <c r="B384" s="4" t="s">
        <v>746</v>
      </c>
      <c r="C384" s="1">
        <v>0</v>
      </c>
      <c r="D384" s="1">
        <v>0</v>
      </c>
      <c r="E384" s="1">
        <v>0</v>
      </c>
      <c r="F384" s="1">
        <v>0</v>
      </c>
      <c r="G384" s="1">
        <v>0</v>
      </c>
      <c r="H384" s="1">
        <v>0</v>
      </c>
      <c r="I384" s="1">
        <v>0</v>
      </c>
      <c r="J384" s="1">
        <v>0</v>
      </c>
      <c r="K384" s="1">
        <v>0</v>
      </c>
      <c r="L384" s="1">
        <v>0</v>
      </c>
      <c r="N384" t="str">
        <f t="shared" si="5"/>
        <v>0</v>
      </c>
      <c r="O384" s="6" t="str" cm="1">
        <f t="array" ref="O384">_xlfn.TEXTJOIN(", ",TRUE,
_xlfn.UNIQUE(
_xlfn._xlws.FILTER($S$2:$S$200,
ISNUMBER(SEARCH(LOWER($R$2:$R$200),LOWER(B384)))
)
))</f>
        <v/>
      </c>
      <c r="P384" cm="1">
        <f t="array" aca="1" ref="P384" ca="1">IFERROR(
    IF(N384=0, 0,
        SUMPRODUCT(
            N(
                _xlfn.IFNA(
                    VLOOKUP(
                        TRIM(MID(SUBSTITUTE(M384,",",REPT(" ",100)),
                        (ROW(INDIRECT("1:" &amp; LEN(M384)-LEN(SUBSTITUTE(M384,",","")) + 1))-1)*100 + 1, 100)),
                        $R$2:$T$101, 3, FALSE
                    ), 0)
            )
        ) / N384
    ),
0)</f>
        <v>0</v>
      </c>
    </row>
    <row r="385" spans="1:16">
      <c r="A385">
        <v>384</v>
      </c>
      <c r="B385" s="4" t="s">
        <v>748</v>
      </c>
      <c r="C385" s="1">
        <v>0</v>
      </c>
      <c r="D385" s="1">
        <v>0</v>
      </c>
      <c r="E385" s="1">
        <v>0</v>
      </c>
      <c r="F385" s="1">
        <v>0</v>
      </c>
      <c r="G385" s="1">
        <v>0</v>
      </c>
      <c r="H385" s="1">
        <v>0</v>
      </c>
      <c r="I385" s="1">
        <v>0</v>
      </c>
      <c r="J385" s="1">
        <v>0</v>
      </c>
      <c r="K385" s="1">
        <v>0</v>
      </c>
      <c r="L385" s="1">
        <v>0</v>
      </c>
      <c r="N385" t="str">
        <f t="shared" si="5"/>
        <v>0</v>
      </c>
      <c r="O385" s="6" t="str" cm="1">
        <f t="array" ref="O385">_xlfn.TEXTJOIN(", ",TRUE,
_xlfn.UNIQUE(
_xlfn._xlws.FILTER($S$2:$S$200,
ISNUMBER(SEARCH(LOWER($R$2:$R$200),LOWER(B385)))
)
))</f>
        <v/>
      </c>
      <c r="P385" cm="1">
        <f t="array" aca="1" ref="P385" ca="1">IFERROR(
    IF(N385=0, 0,
        SUMPRODUCT(
            N(
                _xlfn.IFNA(
                    VLOOKUP(
                        TRIM(MID(SUBSTITUTE(M385,",",REPT(" ",100)),
                        (ROW(INDIRECT("1:" &amp; LEN(M385)-LEN(SUBSTITUTE(M385,",","")) + 1))-1)*100 + 1, 100)),
                        $R$2:$T$101, 3, FALSE
                    ), 0)
            )
        ) / N385
    ),
0)</f>
        <v>0</v>
      </c>
    </row>
    <row r="386" spans="1:16" ht="45.75">
      <c r="A386">
        <v>385</v>
      </c>
      <c r="B386" s="4" t="s">
        <v>750</v>
      </c>
      <c r="C386" s="1">
        <v>0</v>
      </c>
      <c r="D386" s="1">
        <v>0</v>
      </c>
      <c r="E386" s="1">
        <v>0</v>
      </c>
      <c r="F386" s="1">
        <v>0</v>
      </c>
      <c r="G386" s="1">
        <v>0</v>
      </c>
      <c r="H386" s="1">
        <v>0</v>
      </c>
      <c r="I386" s="1">
        <v>0</v>
      </c>
      <c r="J386" s="1">
        <v>0</v>
      </c>
      <c r="K386" s="1">
        <v>0</v>
      </c>
      <c r="L386" s="1">
        <v>0</v>
      </c>
      <c r="N386" t="str">
        <f t="shared" si="5"/>
        <v>0</v>
      </c>
      <c r="O386" s="6" t="str" cm="1">
        <f t="array" ref="O386">_xlfn.TEXTJOIN(", ",TRUE,
_xlfn.UNIQUE(
_xlfn._xlws.FILTER($S$2:$S$200,
ISNUMBER(SEARCH(LOWER($R$2:$R$200),LOWER(B386)))
)
))</f>
        <v/>
      </c>
      <c r="P386" cm="1">
        <f t="array" aca="1" ref="P386" ca="1">IFERROR(
    IF(N386=0, 0,
        SUMPRODUCT(
            N(
                _xlfn.IFNA(
                    VLOOKUP(
                        TRIM(MID(SUBSTITUTE(M386,",",REPT(" ",100)),
                        (ROW(INDIRECT("1:" &amp; LEN(M386)-LEN(SUBSTITUTE(M386,",","")) + 1))-1)*100 + 1, 100)),
                        $R$2:$T$101, 3, FALSE
                    ), 0)
            )
        ) / N386
    ),
0)</f>
        <v>0</v>
      </c>
    </row>
    <row r="387" spans="1:16" ht="30.75">
      <c r="A387">
        <v>386</v>
      </c>
      <c r="B387" s="4" t="s">
        <v>752</v>
      </c>
      <c r="C387" s="1">
        <v>3</v>
      </c>
      <c r="D387" s="1">
        <v>9</v>
      </c>
      <c r="E387" s="1">
        <v>0</v>
      </c>
      <c r="F387" s="1">
        <v>0</v>
      </c>
      <c r="G387" s="1">
        <v>3</v>
      </c>
      <c r="H387" s="1">
        <v>0</v>
      </c>
      <c r="I387" s="1">
        <v>0</v>
      </c>
      <c r="J387" s="1">
        <v>0</v>
      </c>
      <c r="K387" s="1">
        <v>0</v>
      </c>
      <c r="L387" s="1">
        <v>0</v>
      </c>
      <c r="M387" s="6" t="str" cm="1">
        <f t="array" ref="M387">_xlfn.TEXTJOIN(", ",TRUE,
_xlfn._xlws.FILTER($R$2:$R$101,
ISNUMBER(SEARCH(LOWER($R$2:$R$101),LOWER(B387)))
))</f>
        <v>stupid</v>
      </c>
      <c r="N387">
        <f t="shared" ref="N387:N450" si="6">IF(M387="","0",LEN(M387)-LEN(SUBSTITUTE(M387,",",""))+1)</f>
        <v>1</v>
      </c>
      <c r="O387" s="6" t="str" cm="1">
        <f t="array" ref="O387">_xlfn.TEXTJOIN(", ",TRUE,
_xlfn.UNIQUE(
_xlfn._xlws.FILTER($S$2:$S$200,
ISNUMBER(SEARCH(LOWER($R$2:$R$200),LOWER(B387)))
)
))</f>
        <v>Intelligence based</v>
      </c>
      <c r="P387" cm="1">
        <f t="array" aca="1" ref="P387" ca="1">IFERROR(
    IF(N387=0, 0,
        SUMPRODUCT(
            N(
                _xlfn.IFNA(
                    VLOOKUP(
                        TRIM(MID(SUBSTITUTE(M387,",",REPT(" ",100)),
                        (ROW(INDIRECT("1:" &amp; LEN(M387)-LEN(SUBSTITUTE(M387,",","")) + 1))-1)*100 + 1, 100)),
                        $R$2:$T$101, 3, FALSE
                    ), 0)
            )
        ) / N387
    ),
0)</f>
        <v>3</v>
      </c>
    </row>
    <row r="388" spans="1:16">
      <c r="A388">
        <v>387</v>
      </c>
      <c r="B388" s="4" t="s">
        <v>754</v>
      </c>
      <c r="C388" s="1">
        <v>0</v>
      </c>
      <c r="D388" s="1">
        <v>0</v>
      </c>
      <c r="E388" s="1">
        <v>0</v>
      </c>
      <c r="F388" s="1">
        <v>0</v>
      </c>
      <c r="G388" s="1">
        <v>0</v>
      </c>
      <c r="H388" s="1">
        <v>0</v>
      </c>
      <c r="I388" s="1">
        <v>0</v>
      </c>
      <c r="J388" s="1">
        <v>0</v>
      </c>
      <c r="K388" s="1">
        <v>0</v>
      </c>
      <c r="L388" s="1">
        <v>0</v>
      </c>
      <c r="N388" t="str">
        <f t="shared" si="6"/>
        <v>0</v>
      </c>
      <c r="O388" s="6" t="str" cm="1">
        <f t="array" ref="O388">_xlfn.TEXTJOIN(", ",TRUE,
_xlfn.UNIQUE(
_xlfn._xlws.FILTER($S$2:$S$200,
ISNUMBER(SEARCH(LOWER($R$2:$R$200),LOWER(B388)))
)
))</f>
        <v/>
      </c>
      <c r="P388" cm="1">
        <f t="array" aca="1" ref="P388" ca="1">IFERROR(
    IF(N388=0, 0,
        SUMPRODUCT(
            N(
                _xlfn.IFNA(
                    VLOOKUP(
                        TRIM(MID(SUBSTITUTE(M388,",",REPT(" ",100)),
                        (ROW(INDIRECT("1:" &amp; LEN(M388)-LEN(SUBSTITUTE(M388,",","")) + 1))-1)*100 + 1, 100)),
                        $R$2:$T$101, 3, FALSE
                    ), 0)
            )
        ) / N388
    ),
0)</f>
        <v>0</v>
      </c>
    </row>
    <row r="389" spans="1:16" ht="60.75">
      <c r="A389">
        <v>388</v>
      </c>
      <c r="B389" s="4" t="s">
        <v>756</v>
      </c>
      <c r="C389" s="1">
        <v>0</v>
      </c>
      <c r="D389" s="1">
        <v>0</v>
      </c>
      <c r="E389" s="1">
        <v>0</v>
      </c>
      <c r="F389" s="1">
        <v>0</v>
      </c>
      <c r="G389" s="1">
        <v>0</v>
      </c>
      <c r="H389" s="1">
        <v>0</v>
      </c>
      <c r="I389" s="1">
        <v>0</v>
      </c>
      <c r="J389" s="1">
        <v>0</v>
      </c>
      <c r="K389" s="1">
        <v>0</v>
      </c>
      <c r="L389" s="1">
        <v>0</v>
      </c>
      <c r="N389" t="str">
        <f t="shared" si="6"/>
        <v>0</v>
      </c>
      <c r="O389" s="6" t="str" cm="1">
        <f t="array" ref="O389">_xlfn.TEXTJOIN(", ",TRUE,
_xlfn.UNIQUE(
_xlfn._xlws.FILTER($S$2:$S$200,
ISNUMBER(SEARCH(LOWER($R$2:$R$200),LOWER(B389)))
)
))</f>
        <v/>
      </c>
      <c r="P389" cm="1">
        <f t="array" aca="1" ref="P389" ca="1">IFERROR(
    IF(N389=0, 0,
        SUMPRODUCT(
            N(
                _xlfn.IFNA(
                    VLOOKUP(
                        TRIM(MID(SUBSTITUTE(M389,",",REPT(" ",100)),
                        (ROW(INDIRECT("1:" &amp; LEN(M389)-LEN(SUBSTITUTE(M389,",","")) + 1))-1)*100 + 1, 100)),
                        $R$2:$T$101, 3, FALSE
                    ), 0)
            )
        ) / N389
    ),
0)</f>
        <v>0</v>
      </c>
    </row>
    <row r="390" spans="1:16">
      <c r="A390">
        <v>389</v>
      </c>
      <c r="B390" s="4" t="s">
        <v>758</v>
      </c>
      <c r="C390" s="1">
        <v>0</v>
      </c>
      <c r="D390" s="1">
        <v>0</v>
      </c>
      <c r="E390" s="1">
        <v>0</v>
      </c>
      <c r="F390" s="1">
        <v>0</v>
      </c>
      <c r="G390" s="1">
        <v>0</v>
      </c>
      <c r="H390" s="1">
        <v>0</v>
      </c>
      <c r="I390" s="1">
        <v>0</v>
      </c>
      <c r="J390" s="1">
        <v>0</v>
      </c>
      <c r="K390" s="1">
        <v>0</v>
      </c>
      <c r="L390" s="1">
        <v>0</v>
      </c>
      <c r="N390" t="str">
        <f t="shared" si="6"/>
        <v>0</v>
      </c>
      <c r="O390" s="6" t="str" cm="1">
        <f t="array" ref="O390">_xlfn.TEXTJOIN(", ",TRUE,
_xlfn.UNIQUE(
_xlfn._xlws.FILTER($S$2:$S$200,
ISNUMBER(SEARCH(LOWER($R$2:$R$200),LOWER(B390)))
)
))</f>
        <v/>
      </c>
      <c r="P390" cm="1">
        <f t="array" aca="1" ref="P390" ca="1">IFERROR(
    IF(N390=0, 0,
        SUMPRODUCT(
            N(
                _xlfn.IFNA(
                    VLOOKUP(
                        TRIM(MID(SUBSTITUTE(M390,",",REPT(" ",100)),
                        (ROW(INDIRECT("1:" &amp; LEN(M390)-LEN(SUBSTITUTE(M390,",","")) + 1))-1)*100 + 1, 100)),
                        $R$2:$T$101, 3, FALSE
                    ), 0)
            )
        ) / N390
    ),
0)</f>
        <v>0</v>
      </c>
    </row>
    <row r="391" spans="1:16">
      <c r="A391">
        <v>390</v>
      </c>
      <c r="B391" s="4" t="s">
        <v>760</v>
      </c>
      <c r="C391" s="1">
        <v>0</v>
      </c>
      <c r="D391" s="1">
        <v>0</v>
      </c>
      <c r="E391" s="1">
        <v>0</v>
      </c>
      <c r="F391" s="1">
        <v>0</v>
      </c>
      <c r="G391" s="1">
        <v>0</v>
      </c>
      <c r="H391" s="1">
        <v>0</v>
      </c>
      <c r="I391" s="1">
        <v>0</v>
      </c>
      <c r="J391" s="1">
        <v>0</v>
      </c>
      <c r="K391" s="1">
        <v>0</v>
      </c>
      <c r="L391" s="1">
        <v>0</v>
      </c>
      <c r="N391" t="str">
        <f t="shared" si="6"/>
        <v>0</v>
      </c>
      <c r="O391" s="6" t="str" cm="1">
        <f t="array" ref="O391">_xlfn.TEXTJOIN(", ",TRUE,
_xlfn.UNIQUE(
_xlfn._xlws.FILTER($S$2:$S$200,
ISNUMBER(SEARCH(LOWER($R$2:$R$200),LOWER(B391)))
)
))</f>
        <v/>
      </c>
      <c r="P391" cm="1">
        <f t="array" aca="1" ref="P391" ca="1">IFERROR(
    IF(N391=0, 0,
        SUMPRODUCT(
            N(
                _xlfn.IFNA(
                    VLOOKUP(
                        TRIM(MID(SUBSTITUTE(M391,",",REPT(" ",100)),
                        (ROW(INDIRECT("1:" &amp; LEN(M391)-LEN(SUBSTITUTE(M391,",","")) + 1))-1)*100 + 1, 100)),
                        $R$2:$T$101, 3, FALSE
                    ), 0)
            )
        ) / N391
    ),
0)</f>
        <v>0</v>
      </c>
    </row>
    <row r="392" spans="1:16">
      <c r="A392">
        <v>391</v>
      </c>
      <c r="B392" s="4" t="s">
        <v>762</v>
      </c>
      <c r="C392" s="1">
        <v>0</v>
      </c>
      <c r="D392" s="1">
        <v>0</v>
      </c>
      <c r="E392" s="1">
        <v>0</v>
      </c>
      <c r="F392" s="1">
        <v>0</v>
      </c>
      <c r="G392" s="1">
        <v>0</v>
      </c>
      <c r="H392" s="1">
        <v>0</v>
      </c>
      <c r="I392" s="1">
        <v>0</v>
      </c>
      <c r="J392" s="1">
        <v>0</v>
      </c>
      <c r="K392" s="1">
        <v>0</v>
      </c>
      <c r="L392" s="1">
        <v>0</v>
      </c>
      <c r="N392" t="str">
        <f t="shared" si="6"/>
        <v>0</v>
      </c>
      <c r="O392" s="6" t="str" cm="1">
        <f t="array" ref="O392">_xlfn.TEXTJOIN(", ",TRUE,
_xlfn.UNIQUE(
_xlfn._xlws.FILTER($S$2:$S$200,
ISNUMBER(SEARCH(LOWER($R$2:$R$200),LOWER(B392)))
)
))</f>
        <v/>
      </c>
      <c r="P392" cm="1">
        <f t="array" aca="1" ref="P392" ca="1">IFERROR(
    IF(N392=0, 0,
        SUMPRODUCT(
            N(
                _xlfn.IFNA(
                    VLOOKUP(
                        TRIM(MID(SUBSTITUTE(M392,",",REPT(" ",100)),
                        (ROW(INDIRECT("1:" &amp; LEN(M392)-LEN(SUBSTITUTE(M392,",","")) + 1))-1)*100 + 1, 100)),
                        $R$2:$T$101, 3, FALSE
                    ), 0)
            )
        ) / N392
    ),
0)</f>
        <v>0</v>
      </c>
    </row>
    <row r="393" spans="1:16">
      <c r="A393">
        <v>392</v>
      </c>
      <c r="B393" s="4" t="s">
        <v>764</v>
      </c>
      <c r="C393" s="1">
        <v>0</v>
      </c>
      <c r="D393" s="1">
        <v>0</v>
      </c>
      <c r="E393" s="1">
        <v>0</v>
      </c>
      <c r="F393" s="1">
        <v>0</v>
      </c>
      <c r="G393" s="1">
        <v>0</v>
      </c>
      <c r="H393" s="1">
        <v>0</v>
      </c>
      <c r="I393" s="1">
        <v>0</v>
      </c>
      <c r="J393" s="1">
        <v>0</v>
      </c>
      <c r="K393" s="1">
        <v>0</v>
      </c>
      <c r="L393" s="1">
        <v>0</v>
      </c>
      <c r="N393" t="str">
        <f t="shared" si="6"/>
        <v>0</v>
      </c>
      <c r="O393" s="6" t="str" cm="1">
        <f t="array" ref="O393">_xlfn.TEXTJOIN(", ",TRUE,
_xlfn.UNIQUE(
_xlfn._xlws.FILTER($S$2:$S$200,
ISNUMBER(SEARCH(LOWER($R$2:$R$200),LOWER(B393)))
)
))</f>
        <v/>
      </c>
      <c r="P393" cm="1">
        <f t="array" aca="1" ref="P393" ca="1">IFERROR(
    IF(N393=0, 0,
        SUMPRODUCT(
            N(
                _xlfn.IFNA(
                    VLOOKUP(
                        TRIM(MID(SUBSTITUTE(M393,",",REPT(" ",100)),
                        (ROW(INDIRECT("1:" &amp; LEN(M393)-LEN(SUBSTITUTE(M393,",","")) + 1))-1)*100 + 1, 100)),
                        $R$2:$T$101, 3, FALSE
                    ), 0)
            )
        ) / N393
    ),
0)</f>
        <v>0</v>
      </c>
    </row>
    <row r="394" spans="1:16">
      <c r="A394">
        <v>393</v>
      </c>
      <c r="B394" s="4" t="s">
        <v>766</v>
      </c>
      <c r="C394" s="1">
        <v>0</v>
      </c>
      <c r="D394" s="1">
        <v>0</v>
      </c>
      <c r="E394" s="1">
        <v>0</v>
      </c>
      <c r="F394" s="1">
        <v>0</v>
      </c>
      <c r="G394" s="1">
        <v>0</v>
      </c>
      <c r="H394" s="1">
        <v>0</v>
      </c>
      <c r="I394" s="1">
        <v>0</v>
      </c>
      <c r="J394" s="1">
        <v>0</v>
      </c>
      <c r="K394" s="1">
        <v>0</v>
      </c>
      <c r="L394" s="1">
        <v>0</v>
      </c>
      <c r="N394" t="str">
        <f t="shared" si="6"/>
        <v>0</v>
      </c>
      <c r="O394" s="6" t="str" cm="1">
        <f t="array" ref="O394">_xlfn.TEXTJOIN(", ",TRUE,
_xlfn.UNIQUE(
_xlfn._xlws.FILTER($S$2:$S$200,
ISNUMBER(SEARCH(LOWER($R$2:$R$200),LOWER(B394)))
)
))</f>
        <v/>
      </c>
      <c r="P394" cm="1">
        <f t="array" aca="1" ref="P394" ca="1">IFERROR(
    IF(N394=0, 0,
        SUMPRODUCT(
            N(
                _xlfn.IFNA(
                    VLOOKUP(
                        TRIM(MID(SUBSTITUTE(M394,",",REPT(" ",100)),
                        (ROW(INDIRECT("1:" &amp; LEN(M394)-LEN(SUBSTITUTE(M394,",","")) + 1))-1)*100 + 1, 100)),
                        $R$2:$T$101, 3, FALSE
                    ), 0)
            )
        ) / N394
    ),
0)</f>
        <v>0</v>
      </c>
    </row>
    <row r="395" spans="1:16" ht="45.75">
      <c r="A395">
        <v>394</v>
      </c>
      <c r="B395" s="4" t="s">
        <v>768</v>
      </c>
      <c r="C395" s="1">
        <v>1</v>
      </c>
      <c r="D395" s="1">
        <v>3</v>
      </c>
      <c r="E395" s="1">
        <v>0</v>
      </c>
      <c r="F395" s="1">
        <v>0</v>
      </c>
      <c r="G395" s="1">
        <v>0</v>
      </c>
      <c r="H395" s="1">
        <v>0</v>
      </c>
      <c r="I395" s="1">
        <v>3</v>
      </c>
      <c r="J395" s="1">
        <v>0</v>
      </c>
      <c r="K395" s="1">
        <v>0</v>
      </c>
      <c r="L395" s="1">
        <v>0</v>
      </c>
      <c r="M395" s="6" t="str" cm="1">
        <f t="array" ref="M395">_xlfn.TEXTJOIN(", ",TRUE,
_xlfn._xlws.FILTER($R$2:$R$101,
ISNUMBER(SEARCH(LOWER($R$2:$R$101),LOWER(B395)))
))</f>
        <v>australia, corby, bogan</v>
      </c>
      <c r="N395">
        <f t="shared" si="6"/>
        <v>3</v>
      </c>
      <c r="O395" s="6" t="str" cm="1">
        <f t="array" ref="O395">_xlfn.TEXTJOIN(", ",TRUE,
_xlfn.UNIQUE(
_xlfn._xlws.FILTER($S$2:$S$200,
ISNUMBER(SEARCH(LOWER($R$2:$R$200),LOWER(B395)))
)
))</f>
        <v>Case Related, Familial based, Class based</v>
      </c>
      <c r="P395" cm="1">
        <f t="array" aca="1" ref="P395" ca="1">IFERROR(
    IF(N395=0, 0,
        SUMPRODUCT(
            N(
                _xlfn.IFNA(
                    VLOOKUP(
                        TRIM(MID(SUBSTITUTE(M395,",",REPT(" ",100)),
                        (ROW(INDIRECT("1:" &amp; LEN(M395)-LEN(SUBSTITUTE(M395,",","")) + 1))-1)*100 + 1, 100)),
                        $R$2:$T$101, 3, FALSE
                    ), 0)
            )
        ) / N395
    ),
0)</f>
        <v>1</v>
      </c>
    </row>
    <row r="396" spans="1:16" ht="121.5">
      <c r="A396">
        <v>395</v>
      </c>
      <c r="B396" s="4" t="s">
        <v>770</v>
      </c>
      <c r="C396" s="10">
        <v>3</v>
      </c>
      <c r="D396" s="1">
        <v>9</v>
      </c>
      <c r="E396" s="1">
        <v>0</v>
      </c>
      <c r="F396" s="1">
        <v>0</v>
      </c>
      <c r="G396" s="1">
        <v>1</v>
      </c>
      <c r="H396" s="1">
        <v>0</v>
      </c>
      <c r="I396" s="1">
        <v>3.5</v>
      </c>
      <c r="J396" s="1">
        <v>0</v>
      </c>
      <c r="K396" s="1">
        <v>0</v>
      </c>
      <c r="L396" s="1">
        <v>0</v>
      </c>
      <c r="M396" s="6" t="str" cm="1">
        <f t="array" ref="M396">_xlfn.TEXTJOIN(", ",TRUE,
_xlfn._xlws.FILTER($R$2:$R$101,
ISNUMBER(SEARCH(LOWER($R$2:$R$101),LOWER(B396)))
))</f>
        <v xml:space="preserve">af, bogan, redneck, white trash, trash </v>
      </c>
      <c r="N396">
        <f t="shared" si="6"/>
        <v>5</v>
      </c>
      <c r="O396" s="6" t="str" cm="1">
        <f t="array" ref="O396">_xlfn.TEXTJOIN(", ",TRUE,
_xlfn.UNIQUE(
_xlfn._xlws.FILTER($S$2:$S$200,
ISNUMBER(SEARCH(LOWER($R$2:$R$200),LOWER(B396)))
)
))</f>
        <v>Intelligence based, Class based</v>
      </c>
      <c r="P396" cm="1">
        <f t="array" aca="1" ref="P396" ca="1">IFERROR(
    IF(N396=0, 0,
        SUMPRODUCT(
            N(
                _xlfn.IFNA(
                    VLOOKUP(
                        TRIM(MID(SUBSTITUTE(M396,",",REPT(" ",100)),
                        (ROW(INDIRECT("1:" &amp; LEN(M396)-LEN(SUBSTITUTE(M396,",","")) + 1))-1)*100 + 1, 100)),
                        $R$2:$T$101, 3, FALSE
                    ), 0)
            )
        ) / N396
    ),
0)</f>
        <v>2.2000000000000002</v>
      </c>
    </row>
    <row r="397" spans="1:16">
      <c r="A397">
        <v>396</v>
      </c>
      <c r="B397" s="4" t="s">
        <v>772</v>
      </c>
      <c r="C397" s="1">
        <v>1</v>
      </c>
      <c r="D397" s="1">
        <v>3</v>
      </c>
      <c r="E397" s="1">
        <v>0</v>
      </c>
      <c r="F397" s="1">
        <v>0</v>
      </c>
      <c r="G397" s="1">
        <v>1</v>
      </c>
      <c r="H397" s="1">
        <v>0</v>
      </c>
      <c r="I397" s="1">
        <v>0</v>
      </c>
      <c r="J397" s="1">
        <v>0</v>
      </c>
      <c r="K397" s="1">
        <v>0</v>
      </c>
      <c r="L397" s="1">
        <v>0</v>
      </c>
      <c r="M397" s="6" t="str" cm="1">
        <f t="array" ref="M397">_xlfn.TEXTJOIN(", ",TRUE,
_xlfn._xlws.FILTER($R$2:$R$101,
ISNUMBER(SEARCH(LOWER($R$2:$R$101),LOWER(B397)))
))</f>
        <v>af</v>
      </c>
      <c r="N397">
        <f t="shared" si="6"/>
        <v>1</v>
      </c>
      <c r="O397" s="6" t="str" cm="1">
        <f t="array" ref="O397">_xlfn.TEXTJOIN(", ",TRUE,
_xlfn.UNIQUE(
_xlfn._xlws.FILTER($S$2:$S$200,
ISNUMBER(SEARCH(LOWER($R$2:$R$200),LOWER(B397)))
)
))</f>
        <v>Intelligence based</v>
      </c>
      <c r="P397" cm="1">
        <f t="array" aca="1" ref="P397" ca="1">IFERROR(
    IF(N397=0, 0,
        SUMPRODUCT(
            N(
                _xlfn.IFNA(
                    VLOOKUP(
                        TRIM(MID(SUBSTITUTE(M397,",",REPT(" ",100)),
                        (ROW(INDIRECT("1:" &amp; LEN(M397)-LEN(SUBSTITUTE(M397,",","")) + 1))-1)*100 + 1, 100)),
                        $R$2:$T$101, 3, FALSE
                    ), 0)
            )
        ) / N397
    ),
0)</f>
        <v>1</v>
      </c>
    </row>
    <row r="398" spans="1:16" ht="121.5">
      <c r="A398">
        <v>397</v>
      </c>
      <c r="B398" s="4" t="s">
        <v>774</v>
      </c>
      <c r="C398" s="1">
        <v>1</v>
      </c>
      <c r="D398" s="1">
        <v>3</v>
      </c>
      <c r="E398" s="1">
        <v>0</v>
      </c>
      <c r="F398" s="1">
        <v>0</v>
      </c>
      <c r="G398" s="1">
        <v>1</v>
      </c>
      <c r="H398" s="1">
        <v>0</v>
      </c>
      <c r="I398" s="1">
        <v>0</v>
      </c>
      <c r="J398" s="1">
        <v>0</v>
      </c>
      <c r="K398" s="1">
        <v>0</v>
      </c>
      <c r="L398" s="1">
        <v>0</v>
      </c>
      <c r="M398" s="6" t="str" cm="1">
        <f t="array" ref="M398">_xlfn.TEXTJOIN(", ",TRUE,
_xlfn._xlws.FILTER($R$2:$R$101,
ISNUMBER(SEARCH(LOWER($R$2:$R$101),LOWER(B398)))
))</f>
        <v>af</v>
      </c>
      <c r="N398">
        <f t="shared" si="6"/>
        <v>1</v>
      </c>
      <c r="O398" s="6" t="str" cm="1">
        <f t="array" ref="O398">_xlfn.TEXTJOIN(", ",TRUE,
_xlfn.UNIQUE(
_xlfn._xlws.FILTER($S$2:$S$200,
ISNUMBER(SEARCH(LOWER($R$2:$R$200),LOWER(B398)))
)
))</f>
        <v>Intelligence based</v>
      </c>
      <c r="P398" cm="1">
        <f t="array" aca="1" ref="P398" ca="1">IFERROR(
    IF(N398=0, 0,
        SUMPRODUCT(
            N(
                _xlfn.IFNA(
                    VLOOKUP(
                        TRIM(MID(SUBSTITUTE(M398,",",REPT(" ",100)),
                        (ROW(INDIRECT("1:" &amp; LEN(M398)-LEN(SUBSTITUTE(M398,",","")) + 1))-1)*100 + 1, 100)),
                        $R$2:$T$101, 3, FALSE
                    ), 0)
            )
        ) / N398
    ),
0)</f>
        <v>1</v>
      </c>
    </row>
    <row r="399" spans="1:16" ht="60.75">
      <c r="A399">
        <v>398</v>
      </c>
      <c r="B399" s="4" t="s">
        <v>776</v>
      </c>
      <c r="C399" s="1">
        <v>1</v>
      </c>
      <c r="D399" s="1">
        <v>3</v>
      </c>
      <c r="E399" s="1">
        <v>0</v>
      </c>
      <c r="F399" s="1">
        <v>0</v>
      </c>
      <c r="G399" s="1">
        <v>0</v>
      </c>
      <c r="H399" s="1">
        <v>0</v>
      </c>
      <c r="I399" s="1">
        <v>3</v>
      </c>
      <c r="J399" s="1">
        <v>0</v>
      </c>
      <c r="K399" s="1">
        <v>0</v>
      </c>
      <c r="L399" s="1">
        <v>0</v>
      </c>
      <c r="M399" s="6" t="str" cm="1">
        <f t="array" ref="M399">_xlfn.TEXTJOIN(", ",TRUE,
_xlfn._xlws.FILTER($R$2:$R$101,
ISNUMBER(SEARCH(LOWER($R$2:$R$101),LOWER(B399)))
))</f>
        <v>australian, australia, bogan</v>
      </c>
      <c r="N399">
        <f t="shared" si="6"/>
        <v>3</v>
      </c>
      <c r="O399" s="6" t="str" cm="1">
        <f t="array" ref="O399">_xlfn.TEXTJOIN(", ",TRUE,
_xlfn.UNIQUE(
_xlfn._xlws.FILTER($S$2:$S$200,
ISNUMBER(SEARCH(LOWER($R$2:$R$200),LOWER(B399)))
)
))</f>
        <v>Case Related, Class based</v>
      </c>
      <c r="P399" cm="1">
        <f t="array" aca="1" ref="P399" ca="1">IFERROR(
    IF(N399=0, 0,
        SUMPRODUCT(
            N(
                _xlfn.IFNA(
                    VLOOKUP(
                        TRIM(MID(SUBSTITUTE(M399,",",REPT(" ",100)),
                        (ROW(INDIRECT("1:" &amp; LEN(M399)-LEN(SUBSTITUTE(M399,",","")) + 1))-1)*100 + 1, 100)),
                        $R$2:$T$101, 3, FALSE
                    ), 0)
            )
        ) / N399
    ),
0)</f>
        <v>1</v>
      </c>
    </row>
    <row r="400" spans="1:16" ht="76.5">
      <c r="A400">
        <v>399</v>
      </c>
      <c r="B400" s="4" t="s">
        <v>778</v>
      </c>
      <c r="C400" s="1">
        <v>0.33333333300000001</v>
      </c>
      <c r="D400" s="1">
        <v>1</v>
      </c>
      <c r="E400" s="1">
        <v>0</v>
      </c>
      <c r="F400" s="1">
        <v>0</v>
      </c>
      <c r="G400" s="1">
        <v>1</v>
      </c>
      <c r="H400" s="1">
        <v>0</v>
      </c>
      <c r="I400" s="1">
        <v>0</v>
      </c>
      <c r="J400" s="1">
        <v>0</v>
      </c>
      <c r="K400" s="1">
        <v>0</v>
      </c>
      <c r="L400" s="1">
        <v>0</v>
      </c>
      <c r="M400" s="6" t="str" cm="1">
        <f t="array" ref="M400">_xlfn.TEXTJOIN(", ",TRUE,
_xlfn._xlws.FILTER($R$2:$R$101,
ISNUMBER(SEARCH(LOWER($R$2:$R$101),LOWER(B400)))
))</f>
        <v>australian, australia, af</v>
      </c>
      <c r="N400">
        <f t="shared" si="6"/>
        <v>3</v>
      </c>
      <c r="O400" s="6" t="str" cm="1">
        <f t="array" ref="O400">_xlfn.TEXTJOIN(", ",TRUE,
_xlfn.UNIQUE(
_xlfn._xlws.FILTER($S$2:$S$200,
ISNUMBER(SEARCH(LOWER($R$2:$R$200),LOWER(B400)))
)
))</f>
        <v>Case Related, Intelligence based</v>
      </c>
      <c r="P400" cm="1">
        <f t="array" aca="1" ref="P400" ca="1">IFERROR(
    IF(N400=0, 0,
        SUMPRODUCT(
            N(
                _xlfn.IFNA(
                    VLOOKUP(
                        TRIM(MID(SUBSTITUTE(M400,",",REPT(" ",100)),
                        (ROW(INDIRECT("1:" &amp; LEN(M400)-LEN(SUBSTITUTE(M400,",","")) + 1))-1)*100 + 1, 100)),
                        $R$2:$T$101, 3, FALSE
                    ), 0)
            )
        ) / N400
    ),
0)</f>
        <v>0.33333333333333331</v>
      </c>
    </row>
    <row r="401" spans="1:16">
      <c r="A401">
        <v>400</v>
      </c>
      <c r="B401" s="4" t="s">
        <v>780</v>
      </c>
      <c r="C401" s="1">
        <v>1</v>
      </c>
      <c r="D401" s="1">
        <v>3</v>
      </c>
      <c r="E401" s="1">
        <v>0</v>
      </c>
      <c r="F401" s="1">
        <v>0</v>
      </c>
      <c r="G401" s="1">
        <v>1</v>
      </c>
      <c r="H401" s="1">
        <v>0</v>
      </c>
      <c r="I401" s="1">
        <v>0</v>
      </c>
      <c r="J401" s="1">
        <v>0</v>
      </c>
      <c r="K401" s="1">
        <v>0</v>
      </c>
      <c r="L401" s="1">
        <v>0</v>
      </c>
      <c r="M401" s="6" t="str" cm="1">
        <f t="array" ref="M401">_xlfn.TEXTJOIN(", ",TRUE,
_xlfn._xlws.FILTER($R$2:$R$101,
ISNUMBER(SEARCH(LOWER($R$2:$R$101),LOWER(B401)))
))</f>
        <v>af</v>
      </c>
      <c r="N401">
        <f t="shared" si="6"/>
        <v>1</v>
      </c>
      <c r="O401" s="6" t="str" cm="1">
        <f t="array" ref="O401">_xlfn.TEXTJOIN(", ",TRUE,
_xlfn.UNIQUE(
_xlfn._xlws.FILTER($S$2:$S$200,
ISNUMBER(SEARCH(LOWER($R$2:$R$200),LOWER(B401)))
)
))</f>
        <v>Intelligence based</v>
      </c>
      <c r="P401" cm="1">
        <f t="array" aca="1" ref="P401" ca="1">IFERROR(
    IF(N401=0, 0,
        SUMPRODUCT(
            N(
                _xlfn.IFNA(
                    VLOOKUP(
                        TRIM(MID(SUBSTITUTE(M401,",",REPT(" ",100)),
                        (ROW(INDIRECT("1:" &amp; LEN(M401)-LEN(SUBSTITUTE(M401,",","")) + 1))-1)*100 + 1, 100)),
                        $R$2:$T$101, 3, FALSE
                    ), 0)
            )
        ) / N401
    ),
0)</f>
        <v>1</v>
      </c>
    </row>
    <row r="402" spans="1:16" ht="45.75">
      <c r="A402">
        <v>401</v>
      </c>
      <c r="B402" s="4" t="s">
        <v>782</v>
      </c>
      <c r="C402" s="1">
        <v>0</v>
      </c>
      <c r="D402" s="1">
        <v>0</v>
      </c>
      <c r="E402" s="1">
        <v>0</v>
      </c>
      <c r="F402" s="1">
        <v>0</v>
      </c>
      <c r="G402" s="1">
        <v>0</v>
      </c>
      <c r="H402" s="1">
        <v>0</v>
      </c>
      <c r="I402" s="1">
        <v>0</v>
      </c>
      <c r="J402" s="1">
        <v>0</v>
      </c>
      <c r="K402" s="1">
        <v>0</v>
      </c>
      <c r="L402" s="1">
        <v>0</v>
      </c>
      <c r="N402" t="str">
        <f t="shared" si="6"/>
        <v>0</v>
      </c>
      <c r="O402" s="6" t="str" cm="1">
        <f t="array" ref="O402">_xlfn.TEXTJOIN(", ",TRUE,
_xlfn.UNIQUE(
_xlfn._xlws.FILTER($S$2:$S$200,
ISNUMBER(SEARCH(LOWER($R$2:$R$200),LOWER(B402)))
)
))</f>
        <v/>
      </c>
      <c r="P402" cm="1">
        <f t="array" aca="1" ref="P402" ca="1">IFERROR(
    IF(N402=0, 0,
        SUMPRODUCT(
            N(
                _xlfn.IFNA(
                    VLOOKUP(
                        TRIM(MID(SUBSTITUTE(M402,",",REPT(" ",100)),
                        (ROW(INDIRECT("1:" &amp; LEN(M402)-LEN(SUBSTITUTE(M402,",","")) + 1))-1)*100 + 1, 100)),
                        $R$2:$T$101, 3, FALSE
                    ), 0)
            )
        ) / N402
    ),
0)</f>
        <v>0</v>
      </c>
    </row>
    <row r="403" spans="1:16" ht="30.75">
      <c r="A403">
        <v>402</v>
      </c>
      <c r="B403" s="4" t="s">
        <v>783</v>
      </c>
      <c r="C403" s="1">
        <v>0</v>
      </c>
      <c r="D403" s="1">
        <v>0</v>
      </c>
      <c r="E403" s="1">
        <v>0</v>
      </c>
      <c r="F403" s="1">
        <v>0</v>
      </c>
      <c r="G403" s="1">
        <v>0</v>
      </c>
      <c r="H403" s="1">
        <v>0</v>
      </c>
      <c r="I403" s="1">
        <v>0</v>
      </c>
      <c r="J403" s="1">
        <v>0</v>
      </c>
      <c r="K403" s="1">
        <v>0</v>
      </c>
      <c r="L403" s="1">
        <v>0</v>
      </c>
      <c r="M403" s="6" t="str" cm="1">
        <f t="array" ref="M403">_xlfn.TEXTJOIN(", ",TRUE,
_xlfn._xlws.FILTER($R$2:$R$101,
ISNUMBER(SEARCH(LOWER($R$2:$R$101),LOWER(B403)))
))</f>
        <v>australia</v>
      </c>
      <c r="N403">
        <f t="shared" si="6"/>
        <v>1</v>
      </c>
      <c r="O403" s="6" t="str" cm="1">
        <f t="array" ref="O403">_xlfn.TEXTJOIN(", ",TRUE,
_xlfn.UNIQUE(
_xlfn._xlws.FILTER($S$2:$S$200,
ISNUMBER(SEARCH(LOWER($R$2:$R$200),LOWER(B403)))
)
))</f>
        <v>Case Related</v>
      </c>
      <c r="P403" cm="1">
        <f t="array" aca="1" ref="P403" ca="1">IFERROR(
    IF(N403=0, 0,
        SUMPRODUCT(
            N(
                _xlfn.IFNA(
                    VLOOKUP(
                        TRIM(MID(SUBSTITUTE(M403,",",REPT(" ",100)),
                        (ROW(INDIRECT("1:" &amp; LEN(M403)-LEN(SUBSTITUTE(M403,",","")) + 1))-1)*100 + 1, 100)),
                        $R$2:$T$101, 3, FALSE
                    ), 0)
            )
        ) / N403
    ),
0)</f>
        <v>0</v>
      </c>
    </row>
    <row r="404" spans="1:16">
      <c r="A404">
        <v>403</v>
      </c>
      <c r="B404" s="4" t="s">
        <v>785</v>
      </c>
      <c r="C404" s="1">
        <v>0</v>
      </c>
      <c r="D404" s="1">
        <v>0</v>
      </c>
      <c r="E404" s="1">
        <v>0</v>
      </c>
      <c r="F404" s="1">
        <v>0</v>
      </c>
      <c r="G404" s="1">
        <v>0</v>
      </c>
      <c r="H404" s="1">
        <v>0</v>
      </c>
      <c r="I404" s="1">
        <v>0</v>
      </c>
      <c r="J404" s="1">
        <v>0</v>
      </c>
      <c r="K404" s="1">
        <v>0</v>
      </c>
      <c r="L404" s="1">
        <v>0</v>
      </c>
      <c r="N404" t="str">
        <f t="shared" si="6"/>
        <v>0</v>
      </c>
      <c r="O404" s="6" t="str" cm="1">
        <f t="array" ref="O404">_xlfn.TEXTJOIN(", ",TRUE,
_xlfn.UNIQUE(
_xlfn._xlws.FILTER($S$2:$S$200,
ISNUMBER(SEARCH(LOWER($R$2:$R$200),LOWER(B404)))
)
))</f>
        <v/>
      </c>
      <c r="P404" cm="1">
        <f t="array" aca="1" ref="P404" ca="1">IFERROR(
    IF(N404=0, 0,
        SUMPRODUCT(
            N(
                _xlfn.IFNA(
                    VLOOKUP(
                        TRIM(MID(SUBSTITUTE(M404,",",REPT(" ",100)),
                        (ROW(INDIRECT("1:" &amp; LEN(M404)-LEN(SUBSTITUTE(M404,",","")) + 1))-1)*100 + 1, 100)),
                        $R$2:$T$101, 3, FALSE
                    ), 0)
            )
        ) / N404
    ),
0)</f>
        <v>0</v>
      </c>
    </row>
    <row r="405" spans="1:16">
      <c r="A405">
        <v>404</v>
      </c>
      <c r="B405" s="4" t="s">
        <v>787</v>
      </c>
      <c r="C405" s="1">
        <v>0</v>
      </c>
      <c r="D405" s="1">
        <v>0</v>
      </c>
      <c r="E405" s="1">
        <v>0</v>
      </c>
      <c r="F405" s="1">
        <v>0</v>
      </c>
      <c r="G405" s="1">
        <v>0</v>
      </c>
      <c r="H405" s="1">
        <v>0</v>
      </c>
      <c r="I405" s="1">
        <v>0</v>
      </c>
      <c r="J405" s="1">
        <v>0</v>
      </c>
      <c r="K405" s="1">
        <v>0</v>
      </c>
      <c r="L405" s="1">
        <v>0</v>
      </c>
      <c r="N405" t="str">
        <f t="shared" si="6"/>
        <v>0</v>
      </c>
      <c r="O405" s="6" t="str" cm="1">
        <f t="array" ref="O405">_xlfn.TEXTJOIN(", ",TRUE,
_xlfn.UNIQUE(
_xlfn._xlws.FILTER($S$2:$S$200,
ISNUMBER(SEARCH(LOWER($R$2:$R$200),LOWER(B405)))
)
))</f>
        <v/>
      </c>
      <c r="P405" cm="1">
        <f t="array" aca="1" ref="P405" ca="1">IFERROR(
    IF(N405=0, 0,
        SUMPRODUCT(
            N(
                _xlfn.IFNA(
                    VLOOKUP(
                        TRIM(MID(SUBSTITUTE(M405,",",REPT(" ",100)),
                        (ROW(INDIRECT("1:" &amp; LEN(M405)-LEN(SUBSTITUTE(M405,",","")) + 1))-1)*100 + 1, 100)),
                        $R$2:$T$101, 3, FALSE
                    ), 0)
            )
        ) / N405
    ),
0)</f>
        <v>0</v>
      </c>
    </row>
    <row r="406" spans="1:16" ht="16.5">
      <c r="A406">
        <v>405</v>
      </c>
      <c r="B406" s="4" t="s">
        <v>789</v>
      </c>
      <c r="C406" s="1">
        <v>0</v>
      </c>
      <c r="D406" s="1">
        <v>0</v>
      </c>
      <c r="E406" s="1">
        <v>0</v>
      </c>
      <c r="F406" s="1">
        <v>0</v>
      </c>
      <c r="G406" s="1">
        <v>0</v>
      </c>
      <c r="H406" s="1">
        <v>0</v>
      </c>
      <c r="I406" s="1">
        <v>0</v>
      </c>
      <c r="J406" s="1">
        <v>0</v>
      </c>
      <c r="K406" s="1">
        <v>0</v>
      </c>
      <c r="L406" s="1">
        <v>0</v>
      </c>
      <c r="N406" t="str">
        <f t="shared" si="6"/>
        <v>0</v>
      </c>
      <c r="O406" s="6" t="str" cm="1">
        <f t="array" ref="O406">_xlfn.TEXTJOIN(", ",TRUE,
_xlfn.UNIQUE(
_xlfn._xlws.FILTER($S$2:$S$200,
ISNUMBER(SEARCH(LOWER($R$2:$R$200),LOWER(B406)))
)
))</f>
        <v/>
      </c>
      <c r="P406" cm="1">
        <f t="array" aca="1" ref="P406" ca="1">IFERROR(
    IF(N406=0, 0,
        SUMPRODUCT(
            N(
                _xlfn.IFNA(
                    VLOOKUP(
                        TRIM(MID(SUBSTITUTE(M406,",",REPT(" ",100)),
                        (ROW(INDIRECT("1:" &amp; LEN(M406)-LEN(SUBSTITUTE(M406,",","")) + 1))-1)*100 + 1, 100)),
                        $R$2:$T$101, 3, FALSE
                    ), 0)
            )
        ) / N406
    ),
0)</f>
        <v>0</v>
      </c>
    </row>
    <row r="407" spans="1:16">
      <c r="A407">
        <v>406</v>
      </c>
      <c r="B407" s="4" t="s">
        <v>791</v>
      </c>
      <c r="C407" s="1">
        <v>0</v>
      </c>
      <c r="D407" s="1">
        <v>0</v>
      </c>
      <c r="E407" s="1">
        <v>0</v>
      </c>
      <c r="F407" s="1">
        <v>0</v>
      </c>
      <c r="G407" s="1">
        <v>0</v>
      </c>
      <c r="H407" s="1">
        <v>0</v>
      </c>
      <c r="I407" s="1">
        <v>0</v>
      </c>
      <c r="J407" s="1">
        <v>0</v>
      </c>
      <c r="K407" s="1">
        <v>0</v>
      </c>
      <c r="L407" s="1">
        <v>0</v>
      </c>
      <c r="N407" t="str">
        <f t="shared" si="6"/>
        <v>0</v>
      </c>
      <c r="O407" s="6" t="str" cm="1">
        <f t="array" ref="O407">_xlfn.TEXTJOIN(", ",TRUE,
_xlfn.UNIQUE(
_xlfn._xlws.FILTER($S$2:$S$200,
ISNUMBER(SEARCH(LOWER($R$2:$R$200),LOWER(B407)))
)
))</f>
        <v/>
      </c>
      <c r="P407" cm="1">
        <f t="array" aca="1" ref="P407" ca="1">IFERROR(
    IF(N407=0, 0,
        SUMPRODUCT(
            N(
                _xlfn.IFNA(
                    VLOOKUP(
                        TRIM(MID(SUBSTITUTE(M407,",",REPT(" ",100)),
                        (ROW(INDIRECT("1:" &amp; LEN(M407)-LEN(SUBSTITUTE(M407,",","")) + 1))-1)*100 + 1, 100)),
                        $R$2:$T$101, 3, FALSE
                    ), 0)
            )
        ) / N407
    ),
0)</f>
        <v>0</v>
      </c>
    </row>
    <row r="408" spans="1:16">
      <c r="A408">
        <v>407</v>
      </c>
      <c r="B408" s="4" t="s">
        <v>793</v>
      </c>
      <c r="C408" s="1">
        <v>0</v>
      </c>
      <c r="D408" s="1">
        <v>0</v>
      </c>
      <c r="E408" s="1">
        <v>0</v>
      </c>
      <c r="F408" s="1">
        <v>0</v>
      </c>
      <c r="G408" s="1">
        <v>0</v>
      </c>
      <c r="H408" s="1">
        <v>0</v>
      </c>
      <c r="I408" s="1">
        <v>0</v>
      </c>
      <c r="J408" s="1">
        <v>0</v>
      </c>
      <c r="K408" s="1">
        <v>0</v>
      </c>
      <c r="L408" s="1">
        <v>0</v>
      </c>
      <c r="N408" t="str">
        <f t="shared" si="6"/>
        <v>0</v>
      </c>
      <c r="O408" s="6" t="str" cm="1">
        <f t="array" ref="O408">_xlfn.TEXTJOIN(", ",TRUE,
_xlfn.UNIQUE(
_xlfn._xlws.FILTER($S$2:$S$200,
ISNUMBER(SEARCH(LOWER($R$2:$R$200),LOWER(B408)))
)
))</f>
        <v/>
      </c>
      <c r="P408" cm="1">
        <f t="array" aca="1" ref="P408" ca="1">IFERROR(
    IF(N408=0, 0,
        SUMPRODUCT(
            N(
                _xlfn.IFNA(
                    VLOOKUP(
                        TRIM(MID(SUBSTITUTE(M408,",",REPT(" ",100)),
                        (ROW(INDIRECT("1:" &amp; LEN(M408)-LEN(SUBSTITUTE(M408,",","")) + 1))-1)*100 + 1, 100)),
                        $R$2:$T$101, 3, FALSE
                    ), 0)
            )
        ) / N408
    ),
0)</f>
        <v>0</v>
      </c>
    </row>
    <row r="409" spans="1:16" ht="30.75">
      <c r="A409">
        <v>408</v>
      </c>
      <c r="B409" s="4" t="s">
        <v>795</v>
      </c>
      <c r="C409" s="1">
        <v>0</v>
      </c>
      <c r="D409" s="1">
        <v>0</v>
      </c>
      <c r="E409" s="1">
        <v>0</v>
      </c>
      <c r="F409" s="1">
        <v>0</v>
      </c>
      <c r="G409" s="1">
        <v>0</v>
      </c>
      <c r="H409" s="1">
        <v>0</v>
      </c>
      <c r="I409" s="1">
        <v>0</v>
      </c>
      <c r="J409" s="1">
        <v>0</v>
      </c>
      <c r="K409" s="1">
        <v>0</v>
      </c>
      <c r="L409" s="1">
        <v>0</v>
      </c>
      <c r="M409" s="6" t="str" cm="1">
        <f t="array" ref="M409">_xlfn.TEXTJOIN(", ",TRUE,
_xlfn._xlws.FILTER($R$2:$R$101,
ISNUMBER(SEARCH(LOWER($R$2:$R$101),LOWER(B409)))
))</f>
        <v>australia</v>
      </c>
      <c r="N409">
        <f t="shared" si="6"/>
        <v>1</v>
      </c>
      <c r="O409" s="6" t="str" cm="1">
        <f t="array" ref="O409">_xlfn.TEXTJOIN(", ",TRUE,
_xlfn.UNIQUE(
_xlfn._xlws.FILTER($S$2:$S$200,
ISNUMBER(SEARCH(LOWER($R$2:$R$200),LOWER(B409)))
)
))</f>
        <v>Case Related</v>
      </c>
      <c r="P409" cm="1">
        <f t="array" aca="1" ref="P409" ca="1">IFERROR(
    IF(N409=0, 0,
        SUMPRODUCT(
            N(
                _xlfn.IFNA(
                    VLOOKUP(
                        TRIM(MID(SUBSTITUTE(M409,",",REPT(" ",100)),
                        (ROW(INDIRECT("1:" &amp; LEN(M409)-LEN(SUBSTITUTE(M409,",","")) + 1))-1)*100 + 1, 100)),
                        $R$2:$T$101, 3, FALSE
                    ), 0)
            )
        ) / N409
    ),
0)</f>
        <v>0</v>
      </c>
    </row>
    <row r="410" spans="1:16" ht="30.75">
      <c r="A410">
        <v>409</v>
      </c>
      <c r="B410" s="4" t="s">
        <v>797</v>
      </c>
      <c r="C410" s="1">
        <v>0</v>
      </c>
      <c r="D410" s="1">
        <v>0</v>
      </c>
      <c r="E410" s="1">
        <v>0</v>
      </c>
      <c r="F410" s="1">
        <v>0</v>
      </c>
      <c r="G410" s="1">
        <v>0</v>
      </c>
      <c r="H410" s="1">
        <v>0</v>
      </c>
      <c r="I410" s="1">
        <v>0</v>
      </c>
      <c r="J410" s="1">
        <v>0</v>
      </c>
      <c r="K410" s="1">
        <v>0</v>
      </c>
      <c r="L410" s="1">
        <v>0</v>
      </c>
      <c r="N410" t="str">
        <f t="shared" si="6"/>
        <v>0</v>
      </c>
      <c r="O410" s="6" t="str" cm="1">
        <f t="array" ref="O410">_xlfn.TEXTJOIN(", ",TRUE,
_xlfn.UNIQUE(
_xlfn._xlws.FILTER($S$2:$S$200,
ISNUMBER(SEARCH(LOWER($R$2:$R$200),LOWER(B410)))
)
))</f>
        <v/>
      </c>
      <c r="P410" cm="1">
        <f t="array" aca="1" ref="P410" ca="1">IFERROR(
    IF(N410=0, 0,
        SUMPRODUCT(
            N(
                _xlfn.IFNA(
                    VLOOKUP(
                        TRIM(MID(SUBSTITUTE(M410,",",REPT(" ",100)),
                        (ROW(INDIRECT("1:" &amp; LEN(M410)-LEN(SUBSTITUTE(M410,",","")) + 1))-1)*100 + 1, 100)),
                        $R$2:$T$101, 3, FALSE
                    ), 0)
            )
        ) / N410
    ),
0)</f>
        <v>0</v>
      </c>
    </row>
    <row r="411" spans="1:16">
      <c r="A411">
        <v>410</v>
      </c>
      <c r="B411" s="4" t="s">
        <v>798</v>
      </c>
      <c r="C411" s="1">
        <v>0</v>
      </c>
      <c r="D411" s="1">
        <v>0</v>
      </c>
      <c r="E411" s="1">
        <v>0</v>
      </c>
      <c r="F411" s="1">
        <v>0</v>
      </c>
      <c r="G411" s="1">
        <v>0</v>
      </c>
      <c r="H411" s="1">
        <v>0</v>
      </c>
      <c r="I411" s="1">
        <v>0</v>
      </c>
      <c r="J411" s="1">
        <v>0</v>
      </c>
      <c r="K411" s="1">
        <v>0</v>
      </c>
      <c r="L411" s="1">
        <v>0</v>
      </c>
      <c r="N411" t="str">
        <f t="shared" si="6"/>
        <v>0</v>
      </c>
      <c r="O411" s="6" t="str" cm="1">
        <f t="array" ref="O411">_xlfn.TEXTJOIN(", ",TRUE,
_xlfn.UNIQUE(
_xlfn._xlws.FILTER($S$2:$S$200,
ISNUMBER(SEARCH(LOWER($R$2:$R$200),LOWER(B411)))
)
))</f>
        <v/>
      </c>
      <c r="P411" cm="1">
        <f t="array" aca="1" ref="P411" ca="1">IFERROR(
    IF(N411=0, 0,
        SUMPRODUCT(
            N(
                _xlfn.IFNA(
                    VLOOKUP(
                        TRIM(MID(SUBSTITUTE(M411,",",REPT(" ",100)),
                        (ROW(INDIRECT("1:" &amp; LEN(M411)-LEN(SUBSTITUTE(M411,",","")) + 1))-1)*100 + 1, 100)),
                        $R$2:$T$101, 3, FALSE
                    ), 0)
            )
        ) / N411
    ),
0)</f>
        <v>0</v>
      </c>
    </row>
    <row r="412" spans="1:16">
      <c r="A412">
        <v>411</v>
      </c>
      <c r="B412" s="4" t="s">
        <v>800</v>
      </c>
      <c r="C412" s="1">
        <v>0</v>
      </c>
      <c r="D412" s="1">
        <v>0</v>
      </c>
      <c r="E412" s="1">
        <v>0</v>
      </c>
      <c r="F412" s="1">
        <v>0</v>
      </c>
      <c r="G412" s="1">
        <v>0</v>
      </c>
      <c r="H412" s="1">
        <v>0</v>
      </c>
      <c r="I412" s="1">
        <v>0</v>
      </c>
      <c r="J412" s="1">
        <v>0</v>
      </c>
      <c r="K412" s="1">
        <v>0</v>
      </c>
      <c r="L412" s="1">
        <v>0</v>
      </c>
      <c r="N412" t="str">
        <f t="shared" si="6"/>
        <v>0</v>
      </c>
      <c r="O412" s="6" t="str" cm="1">
        <f t="array" ref="O412">_xlfn.TEXTJOIN(", ",TRUE,
_xlfn.UNIQUE(
_xlfn._xlws.FILTER($S$2:$S$200,
ISNUMBER(SEARCH(LOWER($R$2:$R$200),LOWER(B412)))
)
))</f>
        <v/>
      </c>
      <c r="P412" cm="1">
        <f t="array" aca="1" ref="P412" ca="1">IFERROR(
    IF(N412=0, 0,
        SUMPRODUCT(
            N(
                _xlfn.IFNA(
                    VLOOKUP(
                        TRIM(MID(SUBSTITUTE(M412,",",REPT(" ",100)),
                        (ROW(INDIRECT("1:" &amp; LEN(M412)-LEN(SUBSTITUTE(M412,",","")) + 1))-1)*100 + 1, 100)),
                        $R$2:$T$101, 3, FALSE
                    ), 0)
            )
        ) / N412
    ),
0)</f>
        <v>0</v>
      </c>
    </row>
    <row r="413" spans="1:16">
      <c r="A413">
        <v>412</v>
      </c>
      <c r="B413" s="4" t="s">
        <v>802</v>
      </c>
      <c r="C413" s="1">
        <v>0</v>
      </c>
      <c r="D413" s="1">
        <v>0</v>
      </c>
      <c r="E413" s="1">
        <v>0</v>
      </c>
      <c r="F413" s="1">
        <v>0</v>
      </c>
      <c r="G413" s="1">
        <v>0</v>
      </c>
      <c r="H413" s="1">
        <v>0</v>
      </c>
      <c r="I413" s="1">
        <v>0</v>
      </c>
      <c r="J413" s="1">
        <v>0</v>
      </c>
      <c r="K413" s="1">
        <v>0</v>
      </c>
      <c r="L413" s="1">
        <v>0</v>
      </c>
      <c r="N413" t="str">
        <f t="shared" si="6"/>
        <v>0</v>
      </c>
      <c r="O413" s="6" t="str" cm="1">
        <f t="array" ref="O413">_xlfn.TEXTJOIN(", ",TRUE,
_xlfn.UNIQUE(
_xlfn._xlws.FILTER($S$2:$S$200,
ISNUMBER(SEARCH(LOWER($R$2:$R$200),LOWER(B413)))
)
))</f>
        <v/>
      </c>
      <c r="P413" cm="1">
        <f t="array" aca="1" ref="P413" ca="1">IFERROR(
    IF(N413=0, 0,
        SUMPRODUCT(
            N(
                _xlfn.IFNA(
                    VLOOKUP(
                        TRIM(MID(SUBSTITUTE(M413,",",REPT(" ",100)),
                        (ROW(INDIRECT("1:" &amp; LEN(M413)-LEN(SUBSTITUTE(M413,",","")) + 1))-1)*100 + 1, 100)),
                        $R$2:$T$101, 3, FALSE
                    ), 0)
            )
        ) / N413
    ),
0)</f>
        <v>0</v>
      </c>
    </row>
    <row r="414" spans="1:16" ht="76.5">
      <c r="A414">
        <v>413</v>
      </c>
      <c r="B414" s="4" t="s">
        <v>804</v>
      </c>
      <c r="C414" s="1">
        <v>3</v>
      </c>
      <c r="D414" s="1">
        <v>9</v>
      </c>
      <c r="E414" s="1">
        <v>0</v>
      </c>
      <c r="F414" s="1">
        <v>0</v>
      </c>
      <c r="G414" s="1">
        <v>0</v>
      </c>
      <c r="H414" s="1">
        <v>0</v>
      </c>
      <c r="I414" s="1">
        <v>3</v>
      </c>
      <c r="J414" s="1">
        <v>0</v>
      </c>
      <c r="K414" s="1">
        <v>0</v>
      </c>
      <c r="L414" s="1">
        <v>0</v>
      </c>
      <c r="M414" s="6" t="str" cm="1">
        <f t="array" ref="M414">_xlfn.TEXTJOIN(", ",TRUE,
_xlfn._xlws.FILTER($R$2:$R$101,
ISNUMBER(SEARCH(LOWER($R$2:$R$101),LOWER(B414)))
))</f>
        <v>bogan</v>
      </c>
      <c r="N414">
        <f t="shared" si="6"/>
        <v>1</v>
      </c>
      <c r="O414" s="6" t="str" cm="1">
        <f t="array" ref="O414">_xlfn.TEXTJOIN(", ",TRUE,
_xlfn.UNIQUE(
_xlfn._xlws.FILTER($S$2:$S$200,
ISNUMBER(SEARCH(LOWER($R$2:$R$200),LOWER(B414)))
)
))</f>
        <v>Class based</v>
      </c>
      <c r="P414" cm="1">
        <f t="array" aca="1" ref="P414" ca="1">IFERROR(
    IF(N414=0, 0,
        SUMPRODUCT(
            N(
                _xlfn.IFNA(
                    VLOOKUP(
                        TRIM(MID(SUBSTITUTE(M414,",",REPT(" ",100)),
                        (ROW(INDIRECT("1:" &amp; LEN(M414)-LEN(SUBSTITUTE(M414,",","")) + 1))-1)*100 + 1, 100)),
                        $R$2:$T$101, 3, FALSE
                    ), 0)
            )
        ) / N414
    ),
0)</f>
        <v>3</v>
      </c>
    </row>
    <row r="415" spans="1:16" ht="167.25">
      <c r="A415">
        <v>414</v>
      </c>
      <c r="B415" s="4" t="s">
        <v>806</v>
      </c>
      <c r="C415" s="1">
        <v>2</v>
      </c>
      <c r="D415" s="1">
        <v>6</v>
      </c>
      <c r="E415" s="1">
        <v>0</v>
      </c>
      <c r="F415" s="1">
        <v>0</v>
      </c>
      <c r="G415" s="1">
        <v>0</v>
      </c>
      <c r="H415" s="1">
        <v>0</v>
      </c>
      <c r="I415" s="1">
        <v>3</v>
      </c>
      <c r="J415" s="1">
        <v>0</v>
      </c>
      <c r="K415" s="1">
        <v>0</v>
      </c>
      <c r="L415" s="1">
        <v>0</v>
      </c>
      <c r="M415" s="6" t="str" cm="1">
        <f t="array" ref="M415">_xlfn.TEXTJOIN(", ",TRUE,
_xlfn._xlws.FILTER($R$2:$R$101,
ISNUMBER(SEARCH(LOWER($R$2:$R$101),LOWER(B415)))
))</f>
        <v>australia, bogan, bitch</v>
      </c>
      <c r="N415">
        <f t="shared" si="6"/>
        <v>3</v>
      </c>
      <c r="O415" s="6" t="str" cm="1">
        <f t="array" ref="O415">_xlfn.TEXTJOIN(", ",TRUE,
_xlfn.UNIQUE(
_xlfn._xlws.FILTER($S$2:$S$200,
ISNUMBER(SEARCH(LOWER($R$2:$R$200),LOWER(B415)))
)
))</f>
        <v>Case Related, Class based</v>
      </c>
      <c r="P415" cm="1">
        <f t="array" aca="1" ref="P415" ca="1">IFERROR(
    IF(N415=0, 0,
        SUMPRODUCT(
            N(
                _xlfn.IFNA(
                    VLOOKUP(
                        TRIM(MID(SUBSTITUTE(M415,",",REPT(" ",100)),
                        (ROW(INDIRECT("1:" &amp; LEN(M415)-LEN(SUBSTITUTE(M415,",","")) + 1))-1)*100 + 1, 100)),
                        $R$2:$T$101, 3, FALSE
                    ), 0)
            )
        ) / N415
    ),
0)</f>
        <v>2</v>
      </c>
    </row>
    <row r="416" spans="1:16">
      <c r="A416">
        <v>415</v>
      </c>
      <c r="B416" s="4" t="s">
        <v>808</v>
      </c>
      <c r="C416" s="1">
        <v>0</v>
      </c>
      <c r="D416" s="1">
        <v>0</v>
      </c>
      <c r="E416" s="1">
        <v>0</v>
      </c>
      <c r="F416" s="1">
        <v>0</v>
      </c>
      <c r="G416" s="1">
        <v>0</v>
      </c>
      <c r="H416" s="1">
        <v>0</v>
      </c>
      <c r="I416" s="1">
        <v>0</v>
      </c>
      <c r="J416" s="1">
        <v>0</v>
      </c>
      <c r="K416" s="1">
        <v>0</v>
      </c>
      <c r="L416" s="1">
        <v>0</v>
      </c>
      <c r="N416" t="str">
        <f t="shared" si="6"/>
        <v>0</v>
      </c>
      <c r="O416" s="6" t="str" cm="1">
        <f t="array" ref="O416">_xlfn.TEXTJOIN(", ",TRUE,
_xlfn.UNIQUE(
_xlfn._xlws.FILTER($S$2:$S$200,
ISNUMBER(SEARCH(LOWER($R$2:$R$200),LOWER(B416)))
)
))</f>
        <v/>
      </c>
      <c r="P416" cm="1">
        <f t="array" aca="1" ref="P416" ca="1">IFERROR(
    IF(N416=0, 0,
        SUMPRODUCT(
            N(
                _xlfn.IFNA(
                    VLOOKUP(
                        TRIM(MID(SUBSTITUTE(M416,",",REPT(" ",100)),
                        (ROW(INDIRECT("1:" &amp; LEN(M416)-LEN(SUBSTITUTE(M416,",","")) + 1))-1)*100 + 1, 100)),
                        $R$2:$T$101, 3, FALSE
                    ), 0)
            )
        ) / N416
    ),
0)</f>
        <v>0</v>
      </c>
    </row>
    <row r="417" spans="1:16" ht="30.75">
      <c r="A417">
        <v>416</v>
      </c>
      <c r="B417" s="4" t="s">
        <v>810</v>
      </c>
      <c r="C417" s="1">
        <v>0</v>
      </c>
      <c r="D417" s="1">
        <v>0</v>
      </c>
      <c r="E417" s="1">
        <v>0</v>
      </c>
      <c r="F417" s="1">
        <v>0</v>
      </c>
      <c r="G417" s="1">
        <v>0</v>
      </c>
      <c r="H417" s="1">
        <v>0</v>
      </c>
      <c r="I417" s="1">
        <v>0</v>
      </c>
      <c r="J417" s="1">
        <v>0</v>
      </c>
      <c r="K417" s="1">
        <v>0</v>
      </c>
      <c r="L417" s="1">
        <v>0</v>
      </c>
      <c r="N417" t="str">
        <f t="shared" si="6"/>
        <v>0</v>
      </c>
      <c r="O417" s="6" t="str" cm="1">
        <f t="array" ref="O417">_xlfn.TEXTJOIN(", ",TRUE,
_xlfn.UNIQUE(
_xlfn._xlws.FILTER($S$2:$S$200,
ISNUMBER(SEARCH(LOWER($R$2:$R$200),LOWER(B417)))
)
))</f>
        <v/>
      </c>
      <c r="P417" cm="1">
        <f t="array" aca="1" ref="P417" ca="1">IFERROR(
    IF(N417=0, 0,
        SUMPRODUCT(
            N(
                _xlfn.IFNA(
                    VLOOKUP(
                        TRIM(MID(SUBSTITUTE(M417,",",REPT(" ",100)),
                        (ROW(INDIRECT("1:" &amp; LEN(M417)-LEN(SUBSTITUTE(M417,",","")) + 1))-1)*100 + 1, 100)),
                        $R$2:$T$101, 3, FALSE
                    ), 0)
            )
        ) / N417
    ),
0)</f>
        <v>0</v>
      </c>
    </row>
    <row r="418" spans="1:16">
      <c r="A418">
        <v>417</v>
      </c>
      <c r="B418" s="4" t="s">
        <v>812</v>
      </c>
      <c r="C418" s="1">
        <v>0</v>
      </c>
      <c r="D418" s="1">
        <v>0</v>
      </c>
      <c r="E418" s="1">
        <v>0</v>
      </c>
      <c r="F418" s="1">
        <v>0</v>
      </c>
      <c r="G418" s="1">
        <v>0</v>
      </c>
      <c r="H418" s="1">
        <v>0</v>
      </c>
      <c r="I418" s="1">
        <v>0</v>
      </c>
      <c r="J418" s="1">
        <v>0</v>
      </c>
      <c r="K418" s="1">
        <v>0</v>
      </c>
      <c r="L418" s="1">
        <v>0</v>
      </c>
      <c r="N418" t="str">
        <f t="shared" si="6"/>
        <v>0</v>
      </c>
      <c r="O418" s="6" t="str" cm="1">
        <f t="array" ref="O418">_xlfn.TEXTJOIN(", ",TRUE,
_xlfn.UNIQUE(
_xlfn._xlws.FILTER($S$2:$S$200,
ISNUMBER(SEARCH(LOWER($R$2:$R$200),LOWER(B418)))
)
))</f>
        <v/>
      </c>
      <c r="P418" cm="1">
        <f t="array" aca="1" ref="P418" ca="1">IFERROR(
    IF(N418=0, 0,
        SUMPRODUCT(
            N(
                _xlfn.IFNA(
                    VLOOKUP(
                        TRIM(MID(SUBSTITUTE(M418,",",REPT(" ",100)),
                        (ROW(INDIRECT("1:" &amp; LEN(M418)-LEN(SUBSTITUTE(M418,",","")) + 1))-1)*100 + 1, 100)),
                        $R$2:$T$101, 3, FALSE
                    ), 0)
            )
        ) / N418
    ),
0)</f>
        <v>0</v>
      </c>
    </row>
    <row r="419" spans="1:16">
      <c r="A419">
        <v>418</v>
      </c>
      <c r="B419" s="4" t="s">
        <v>814</v>
      </c>
      <c r="C419" s="1">
        <v>0</v>
      </c>
      <c r="D419" s="1">
        <v>0</v>
      </c>
      <c r="E419" s="1">
        <v>0</v>
      </c>
      <c r="F419" s="1">
        <v>0</v>
      </c>
      <c r="G419" s="1">
        <v>0</v>
      </c>
      <c r="H419" s="1">
        <v>0</v>
      </c>
      <c r="I419" s="1">
        <v>0</v>
      </c>
      <c r="J419" s="1">
        <v>0</v>
      </c>
      <c r="K419" s="1">
        <v>0</v>
      </c>
      <c r="L419" s="1">
        <v>0</v>
      </c>
      <c r="N419" t="str">
        <f t="shared" si="6"/>
        <v>0</v>
      </c>
      <c r="O419" s="6" t="str" cm="1">
        <f t="array" ref="O419">_xlfn.TEXTJOIN(", ",TRUE,
_xlfn.UNIQUE(
_xlfn._xlws.FILTER($S$2:$S$200,
ISNUMBER(SEARCH(LOWER($R$2:$R$200),LOWER(B419)))
)
))</f>
        <v/>
      </c>
      <c r="P419" cm="1">
        <f t="array" aca="1" ref="P419" ca="1">IFERROR(
    IF(N419=0, 0,
        SUMPRODUCT(
            N(
                _xlfn.IFNA(
                    VLOOKUP(
                        TRIM(MID(SUBSTITUTE(M419,",",REPT(" ",100)),
                        (ROW(INDIRECT("1:" &amp; LEN(M419)-LEN(SUBSTITUTE(M419,",","")) + 1))-1)*100 + 1, 100)),
                        $R$2:$T$101, 3, FALSE
                    ), 0)
            )
        ) / N419
    ),
0)</f>
        <v>0</v>
      </c>
    </row>
    <row r="420" spans="1:16" ht="30.75">
      <c r="A420">
        <v>419</v>
      </c>
      <c r="B420" s="4" t="s">
        <v>816</v>
      </c>
      <c r="C420" s="1">
        <v>0.5</v>
      </c>
      <c r="D420" s="1">
        <v>1.5</v>
      </c>
      <c r="E420" s="1">
        <v>0</v>
      </c>
      <c r="F420" s="1">
        <v>0</v>
      </c>
      <c r="G420" s="1">
        <v>1</v>
      </c>
      <c r="H420" s="1">
        <v>0</v>
      </c>
      <c r="I420" s="1">
        <v>0</v>
      </c>
      <c r="J420" s="1">
        <v>0</v>
      </c>
      <c r="K420" s="1">
        <v>0</v>
      </c>
      <c r="L420" s="1">
        <v>0</v>
      </c>
      <c r="M420" s="6" t="str" cm="1">
        <f t="array" ref="M420">_xlfn.TEXTJOIN(", ",TRUE,
_xlfn._xlws.FILTER($R$2:$R$101,
ISNUMBER(SEARCH(LOWER($R$2:$R$101),LOWER(B420)))
))</f>
        <v>australia, af</v>
      </c>
      <c r="N420">
        <f t="shared" si="6"/>
        <v>2</v>
      </c>
      <c r="O420" s="6" t="str" cm="1">
        <f t="array" ref="O420">_xlfn.TEXTJOIN(", ",TRUE,
_xlfn.UNIQUE(
_xlfn._xlws.FILTER($S$2:$S$200,
ISNUMBER(SEARCH(LOWER($R$2:$R$200),LOWER(B420)))
)
))</f>
        <v>Case Related, Intelligence based</v>
      </c>
      <c r="P420" cm="1">
        <f t="array" aca="1" ref="P420" ca="1">IFERROR(
    IF(N420=0, 0,
        SUMPRODUCT(
            N(
                _xlfn.IFNA(
                    VLOOKUP(
                        TRIM(MID(SUBSTITUTE(M420,",",REPT(" ",100)),
                        (ROW(INDIRECT("1:" &amp; LEN(M420)-LEN(SUBSTITUTE(M420,",","")) + 1))-1)*100 + 1, 100)),
                        $R$2:$T$101, 3, FALSE
                    ), 0)
            )
        ) / N420
    ),
0)</f>
        <v>0.5</v>
      </c>
    </row>
    <row r="421" spans="1:16">
      <c r="A421">
        <v>420</v>
      </c>
      <c r="B421" s="4" t="s">
        <v>818</v>
      </c>
      <c r="C421" s="1">
        <v>0</v>
      </c>
      <c r="D421" s="1">
        <v>0</v>
      </c>
      <c r="E421" s="1">
        <v>0</v>
      </c>
      <c r="F421" s="1">
        <v>0</v>
      </c>
      <c r="G421" s="1">
        <v>0</v>
      </c>
      <c r="H421" s="1">
        <v>0</v>
      </c>
      <c r="I421" s="1">
        <v>0</v>
      </c>
      <c r="J421" s="1">
        <v>0</v>
      </c>
      <c r="K421" s="1">
        <v>0</v>
      </c>
      <c r="L421" s="1">
        <v>0</v>
      </c>
      <c r="N421" t="str">
        <f t="shared" si="6"/>
        <v>0</v>
      </c>
      <c r="O421" s="6" t="str" cm="1">
        <f t="array" ref="O421">_xlfn.TEXTJOIN(", ",TRUE,
_xlfn.UNIQUE(
_xlfn._xlws.FILTER($S$2:$S$200,
ISNUMBER(SEARCH(LOWER($R$2:$R$200),LOWER(B421)))
)
))</f>
        <v/>
      </c>
      <c r="P421" cm="1">
        <f t="array" aca="1" ref="P421" ca="1">IFERROR(
    IF(N421=0, 0,
        SUMPRODUCT(
            N(
                _xlfn.IFNA(
                    VLOOKUP(
                        TRIM(MID(SUBSTITUTE(M421,",",REPT(" ",100)),
                        (ROW(INDIRECT("1:" &amp; LEN(M421)-LEN(SUBSTITUTE(M421,",","")) + 1))-1)*100 + 1, 100)),
                        $R$2:$T$101, 3, FALSE
                    ), 0)
            )
        ) / N421
    ),
0)</f>
        <v>0</v>
      </c>
    </row>
    <row r="422" spans="1:16">
      <c r="A422">
        <v>421</v>
      </c>
      <c r="B422" s="4" t="s">
        <v>820</v>
      </c>
      <c r="C422" s="1">
        <v>0</v>
      </c>
      <c r="D422" s="1">
        <v>0</v>
      </c>
      <c r="E422" s="1">
        <v>0</v>
      </c>
      <c r="F422" s="1">
        <v>0</v>
      </c>
      <c r="G422" s="1">
        <v>0</v>
      </c>
      <c r="H422" s="1">
        <v>0</v>
      </c>
      <c r="I422" s="1">
        <v>0</v>
      </c>
      <c r="J422" s="1">
        <v>0</v>
      </c>
      <c r="K422" s="1">
        <v>0</v>
      </c>
      <c r="L422" s="1">
        <v>0</v>
      </c>
      <c r="N422" t="str">
        <f t="shared" si="6"/>
        <v>0</v>
      </c>
      <c r="O422" s="6" t="str" cm="1">
        <f t="array" ref="O422">_xlfn.TEXTJOIN(", ",TRUE,
_xlfn.UNIQUE(
_xlfn._xlws.FILTER($S$2:$S$200,
ISNUMBER(SEARCH(LOWER($R$2:$R$200),LOWER(B422)))
)
))</f>
        <v/>
      </c>
      <c r="P422" cm="1">
        <f t="array" aca="1" ref="P422" ca="1">IFERROR(
    IF(N422=0, 0,
        SUMPRODUCT(
            N(
                _xlfn.IFNA(
                    VLOOKUP(
                        TRIM(MID(SUBSTITUTE(M422,",",REPT(" ",100)),
                        (ROW(INDIRECT("1:" &amp; LEN(M422)-LEN(SUBSTITUTE(M422,",","")) + 1))-1)*100 + 1, 100)),
                        $R$2:$T$101, 3, FALSE
                    ), 0)
            )
        ) / N422
    ),
0)</f>
        <v>0</v>
      </c>
    </row>
    <row r="423" spans="1:16" ht="106.5">
      <c r="A423">
        <v>422</v>
      </c>
      <c r="B423" s="4" t="s">
        <v>822</v>
      </c>
      <c r="C423" s="1">
        <v>0.125</v>
      </c>
      <c r="D423" s="1">
        <v>0.375</v>
      </c>
      <c r="E423" s="1">
        <v>0</v>
      </c>
      <c r="F423" s="1">
        <v>0</v>
      </c>
      <c r="G423" s="1">
        <v>1</v>
      </c>
      <c r="H423" s="1">
        <v>0</v>
      </c>
      <c r="I423" s="1">
        <v>0</v>
      </c>
      <c r="J423" s="1">
        <v>0</v>
      </c>
      <c r="K423" s="1">
        <v>0</v>
      </c>
      <c r="L423" s="1">
        <v>0</v>
      </c>
      <c r="M423" s="6" t="str" cm="1">
        <f t="array" ref="M423">_xlfn.TEXTJOIN(", ",TRUE,
_xlfn._xlws.FILTER($R$2:$R$101,
ISNUMBER(SEARCH(LOWER($R$2:$R$101),LOWER(B423)))
))</f>
        <v>australian, smuggling, indonesia , australia, af, corby, parole, convicted</v>
      </c>
      <c r="N423">
        <f t="shared" si="6"/>
        <v>8</v>
      </c>
      <c r="O423" s="6" t="str" cm="1">
        <f t="array" ref="O423">_xlfn.TEXTJOIN(", ",TRUE,
_xlfn.UNIQUE(
_xlfn._xlws.FILTER($S$2:$S$200,
ISNUMBER(SEARCH(LOWER($R$2:$R$200),LOWER(B423)))
)
))</f>
        <v>Case Related, Intelligence based, Familial based, Legality based</v>
      </c>
      <c r="P423" cm="1">
        <f t="array" aca="1" ref="P423" ca="1">IFERROR(
    IF(N423=0, 0,
        SUMPRODUCT(
            N(
                _xlfn.IFNA(
                    VLOOKUP(
                        TRIM(MID(SUBSTITUTE(M423,",",REPT(" ",100)),
                        (ROW(INDIRECT("1:" &amp; LEN(M423)-LEN(SUBSTITUTE(M423,",","")) + 1))-1)*100 + 1, 100)),
                        $R$2:$T$101, 3, FALSE
                    ), 0)
            )
        ) / N423
    ),
0)</f>
        <v>0.125</v>
      </c>
    </row>
    <row r="424" spans="1:16" ht="45.75">
      <c r="A424">
        <v>423</v>
      </c>
      <c r="B424" s="4" t="s">
        <v>823</v>
      </c>
      <c r="C424" s="1">
        <v>0</v>
      </c>
      <c r="D424" s="1">
        <v>0</v>
      </c>
      <c r="E424" s="1">
        <v>0</v>
      </c>
      <c r="F424" s="1">
        <v>0</v>
      </c>
      <c r="G424" s="1">
        <v>0</v>
      </c>
      <c r="H424" s="1">
        <v>0</v>
      </c>
      <c r="I424" s="1">
        <v>0</v>
      </c>
      <c r="J424" s="1">
        <v>0</v>
      </c>
      <c r="K424" s="1">
        <v>0</v>
      </c>
      <c r="L424" s="1">
        <v>0</v>
      </c>
      <c r="N424" t="str">
        <f t="shared" si="6"/>
        <v>0</v>
      </c>
      <c r="O424" s="6" t="str" cm="1">
        <f t="array" ref="O424">_xlfn.TEXTJOIN(", ",TRUE,
_xlfn.UNIQUE(
_xlfn._xlws.FILTER($S$2:$S$200,
ISNUMBER(SEARCH(LOWER($R$2:$R$200),LOWER(B424)))
)
))</f>
        <v/>
      </c>
      <c r="P424" cm="1">
        <f t="array" aca="1" ref="P424" ca="1">IFERROR(
    IF(N424=0, 0,
        SUMPRODUCT(
            N(
                _xlfn.IFNA(
                    VLOOKUP(
                        TRIM(MID(SUBSTITUTE(M424,",",REPT(" ",100)),
                        (ROW(INDIRECT("1:" &amp; LEN(M424)-LEN(SUBSTITUTE(M424,",","")) + 1))-1)*100 + 1, 100)),
                        $R$2:$T$101, 3, FALSE
                    ), 0)
            )
        ) / N424
    ),
0)</f>
        <v>0</v>
      </c>
    </row>
    <row r="425" spans="1:16" ht="76.5">
      <c r="A425">
        <v>424</v>
      </c>
      <c r="B425" s="4" t="s">
        <v>825</v>
      </c>
      <c r="C425" s="1">
        <v>0</v>
      </c>
      <c r="D425" s="1">
        <v>0</v>
      </c>
      <c r="E425" s="1">
        <v>0</v>
      </c>
      <c r="F425" s="1">
        <v>0</v>
      </c>
      <c r="G425" s="1">
        <v>0</v>
      </c>
      <c r="H425" s="1">
        <v>0</v>
      </c>
      <c r="I425" s="1">
        <v>0</v>
      </c>
      <c r="J425" s="1">
        <v>0</v>
      </c>
      <c r="K425" s="1">
        <v>0</v>
      </c>
      <c r="L425" s="1">
        <v>0</v>
      </c>
      <c r="M425" s="6" t="str" cm="1">
        <f t="array" ref="M425">_xlfn.TEXTJOIN(", ",TRUE,
_xlfn._xlws.FILTER($R$2:$R$101,
ISNUMBER(SEARCH(LOWER($R$2:$R$101),LOWER(B425)))
))</f>
        <v>australia</v>
      </c>
      <c r="N425">
        <f t="shared" si="6"/>
        <v>1</v>
      </c>
      <c r="O425" s="6" t="str" cm="1">
        <f t="array" ref="O425">_xlfn.TEXTJOIN(", ",TRUE,
_xlfn.UNIQUE(
_xlfn._xlws.FILTER($S$2:$S$200,
ISNUMBER(SEARCH(LOWER($R$2:$R$200),LOWER(B425)))
)
))</f>
        <v>Case Related</v>
      </c>
      <c r="P425" cm="1">
        <f t="array" aca="1" ref="P425" ca="1">IFERROR(
    IF(N425=0, 0,
        SUMPRODUCT(
            N(
                _xlfn.IFNA(
                    VLOOKUP(
                        TRIM(MID(SUBSTITUTE(M425,",",REPT(" ",100)),
                        (ROW(INDIRECT("1:" &amp; LEN(M425)-LEN(SUBSTITUTE(M425,",","")) + 1))-1)*100 + 1, 100)),
                        $R$2:$T$101, 3, FALSE
                    ), 0)
            )
        ) / N425
    ),
0)</f>
        <v>0</v>
      </c>
    </row>
    <row r="426" spans="1:16">
      <c r="A426">
        <v>425</v>
      </c>
      <c r="B426" s="4" t="s">
        <v>826</v>
      </c>
      <c r="C426" s="1">
        <v>0</v>
      </c>
      <c r="D426" s="1">
        <v>0</v>
      </c>
      <c r="E426" s="1">
        <v>0</v>
      </c>
      <c r="F426" s="1">
        <v>0</v>
      </c>
      <c r="G426" s="1">
        <v>0</v>
      </c>
      <c r="H426" s="1">
        <v>0</v>
      </c>
      <c r="I426" s="1">
        <v>0</v>
      </c>
      <c r="J426" s="1">
        <v>0</v>
      </c>
      <c r="K426" s="1">
        <v>0</v>
      </c>
      <c r="L426" s="1">
        <v>0</v>
      </c>
      <c r="N426" t="str">
        <f t="shared" si="6"/>
        <v>0</v>
      </c>
      <c r="O426" s="6" t="str" cm="1">
        <f t="array" ref="O426">_xlfn.TEXTJOIN(", ",TRUE,
_xlfn.UNIQUE(
_xlfn._xlws.FILTER($S$2:$S$200,
ISNUMBER(SEARCH(LOWER($R$2:$R$200),LOWER(B426)))
)
))</f>
        <v/>
      </c>
      <c r="P426" cm="1">
        <f t="array" aca="1" ref="P426" ca="1">IFERROR(
    IF(N426=0, 0,
        SUMPRODUCT(
            N(
                _xlfn.IFNA(
                    VLOOKUP(
                        TRIM(MID(SUBSTITUTE(M426,",",REPT(" ",100)),
                        (ROW(INDIRECT("1:" &amp; LEN(M426)-LEN(SUBSTITUTE(M426,",","")) + 1))-1)*100 + 1, 100)),
                        $R$2:$T$101, 3, FALSE
                    ), 0)
            )
        ) / N426
    ),
0)</f>
        <v>0</v>
      </c>
    </row>
    <row r="427" spans="1:16">
      <c r="A427">
        <v>426</v>
      </c>
      <c r="B427" s="4" t="s">
        <v>828</v>
      </c>
      <c r="C427" s="1">
        <v>0</v>
      </c>
      <c r="D427" s="1">
        <v>0</v>
      </c>
      <c r="E427" s="1">
        <v>0</v>
      </c>
      <c r="F427" s="1">
        <v>0</v>
      </c>
      <c r="G427" s="1">
        <v>0</v>
      </c>
      <c r="H427" s="1">
        <v>0</v>
      </c>
      <c r="I427" s="1">
        <v>0</v>
      </c>
      <c r="J427" s="1">
        <v>0</v>
      </c>
      <c r="K427" s="1">
        <v>0</v>
      </c>
      <c r="L427" s="1">
        <v>0</v>
      </c>
      <c r="N427" t="str">
        <f t="shared" si="6"/>
        <v>0</v>
      </c>
      <c r="O427" s="6" t="str" cm="1">
        <f t="array" ref="O427">_xlfn.TEXTJOIN(", ",TRUE,
_xlfn.UNIQUE(
_xlfn._xlws.FILTER($S$2:$S$200,
ISNUMBER(SEARCH(LOWER($R$2:$R$200),LOWER(B427)))
)
))</f>
        <v/>
      </c>
      <c r="P427" cm="1">
        <f t="array" aca="1" ref="P427" ca="1">IFERROR(
    IF(N427=0, 0,
        SUMPRODUCT(
            N(
                _xlfn.IFNA(
                    VLOOKUP(
                        TRIM(MID(SUBSTITUTE(M427,",",REPT(" ",100)),
                        (ROW(INDIRECT("1:" &amp; LEN(M427)-LEN(SUBSTITUTE(M427,",","")) + 1))-1)*100 + 1, 100)),
                        $R$2:$T$101, 3, FALSE
                    ), 0)
            )
        ) / N427
    ),
0)</f>
        <v>0</v>
      </c>
    </row>
    <row r="428" spans="1:16">
      <c r="A428">
        <v>427</v>
      </c>
      <c r="B428" s="4" t="s">
        <v>830</v>
      </c>
      <c r="C428" s="1">
        <v>0</v>
      </c>
      <c r="D428" s="1">
        <v>0</v>
      </c>
      <c r="E428" s="1">
        <v>0</v>
      </c>
      <c r="F428" s="1">
        <v>0</v>
      </c>
      <c r="G428" s="1">
        <v>0</v>
      </c>
      <c r="H428" s="1">
        <v>0</v>
      </c>
      <c r="I428" s="1">
        <v>0</v>
      </c>
      <c r="J428" s="1">
        <v>0</v>
      </c>
      <c r="K428" s="1">
        <v>0</v>
      </c>
      <c r="L428" s="1">
        <v>0</v>
      </c>
      <c r="N428" t="str">
        <f t="shared" si="6"/>
        <v>0</v>
      </c>
      <c r="O428" s="6" t="str" cm="1">
        <f t="array" ref="O428">_xlfn.TEXTJOIN(", ",TRUE,
_xlfn.UNIQUE(
_xlfn._xlws.FILTER($S$2:$S$200,
ISNUMBER(SEARCH(LOWER($R$2:$R$200),LOWER(B428)))
)
))</f>
        <v/>
      </c>
      <c r="P428" cm="1">
        <f t="array" aca="1" ref="P428" ca="1">IFERROR(
    IF(N428=0, 0,
        SUMPRODUCT(
            N(
                _xlfn.IFNA(
                    VLOOKUP(
                        TRIM(MID(SUBSTITUTE(M428,",",REPT(" ",100)),
                        (ROW(INDIRECT("1:" &amp; LEN(M428)-LEN(SUBSTITUTE(M428,",","")) + 1))-1)*100 + 1, 100)),
                        $R$2:$T$101, 3, FALSE
                    ), 0)
            )
        ) / N428
    ),
0)</f>
        <v>0</v>
      </c>
    </row>
    <row r="429" spans="1:16">
      <c r="A429">
        <v>428</v>
      </c>
      <c r="B429" s="4" t="s">
        <v>832</v>
      </c>
      <c r="C429" s="1">
        <v>0</v>
      </c>
      <c r="D429" s="1">
        <v>0</v>
      </c>
      <c r="E429" s="1">
        <v>0</v>
      </c>
      <c r="F429" s="1">
        <v>0</v>
      </c>
      <c r="G429" s="1">
        <v>0</v>
      </c>
      <c r="H429" s="1">
        <v>0</v>
      </c>
      <c r="I429" s="1">
        <v>0</v>
      </c>
      <c r="J429" s="1">
        <v>0</v>
      </c>
      <c r="K429" s="1">
        <v>0</v>
      </c>
      <c r="L429" s="1">
        <v>0</v>
      </c>
      <c r="N429" t="str">
        <f t="shared" si="6"/>
        <v>0</v>
      </c>
      <c r="O429" s="6" t="str" cm="1">
        <f t="array" ref="O429">_xlfn.TEXTJOIN(", ",TRUE,
_xlfn.UNIQUE(
_xlfn._xlws.FILTER($S$2:$S$200,
ISNUMBER(SEARCH(LOWER($R$2:$R$200),LOWER(B429)))
)
))</f>
        <v/>
      </c>
      <c r="P429" cm="1">
        <f t="array" aca="1" ref="P429" ca="1">IFERROR(
    IF(N429=0, 0,
        SUMPRODUCT(
            N(
                _xlfn.IFNA(
                    VLOOKUP(
                        TRIM(MID(SUBSTITUTE(M429,",",REPT(" ",100)),
                        (ROW(INDIRECT("1:" &amp; LEN(M429)-LEN(SUBSTITUTE(M429,",","")) + 1))-1)*100 + 1, 100)),
                        $R$2:$T$101, 3, FALSE
                    ), 0)
            )
        ) / N429
    ),
0)</f>
        <v>0</v>
      </c>
    </row>
    <row r="430" spans="1:16">
      <c r="A430">
        <v>429</v>
      </c>
      <c r="B430" s="4" t="s">
        <v>834</v>
      </c>
      <c r="C430" s="1">
        <v>0</v>
      </c>
      <c r="D430" s="1">
        <v>0</v>
      </c>
      <c r="E430" s="1">
        <v>0</v>
      </c>
      <c r="F430" s="1">
        <v>0</v>
      </c>
      <c r="G430" s="1">
        <v>0</v>
      </c>
      <c r="H430" s="1">
        <v>0</v>
      </c>
      <c r="I430" s="1">
        <v>0</v>
      </c>
      <c r="J430" s="1">
        <v>0</v>
      </c>
      <c r="K430" s="1">
        <v>0</v>
      </c>
      <c r="L430" s="1">
        <v>0</v>
      </c>
      <c r="N430" t="str">
        <f t="shared" si="6"/>
        <v>0</v>
      </c>
      <c r="O430" s="6" t="str" cm="1">
        <f t="array" ref="O430">_xlfn.TEXTJOIN(", ",TRUE,
_xlfn.UNIQUE(
_xlfn._xlws.FILTER($S$2:$S$200,
ISNUMBER(SEARCH(LOWER($R$2:$R$200),LOWER(B430)))
)
))</f>
        <v/>
      </c>
      <c r="P430" cm="1">
        <f t="array" aca="1" ref="P430" ca="1">IFERROR(
    IF(N430=0, 0,
        SUMPRODUCT(
            N(
                _xlfn.IFNA(
                    VLOOKUP(
                        TRIM(MID(SUBSTITUTE(M430,",",REPT(" ",100)),
                        (ROW(INDIRECT("1:" &amp; LEN(M430)-LEN(SUBSTITUTE(M430,",","")) + 1))-1)*100 + 1, 100)),
                        $R$2:$T$101, 3, FALSE
                    ), 0)
            )
        ) / N430
    ),
0)</f>
        <v>0</v>
      </c>
    </row>
    <row r="431" spans="1:16">
      <c r="A431">
        <v>430</v>
      </c>
      <c r="B431" s="4" t="s">
        <v>836</v>
      </c>
      <c r="C431" s="1">
        <v>0</v>
      </c>
      <c r="D431" s="1">
        <v>0</v>
      </c>
      <c r="E431" s="1">
        <v>0</v>
      </c>
      <c r="F431" s="1">
        <v>0</v>
      </c>
      <c r="G431" s="1">
        <v>0</v>
      </c>
      <c r="H431" s="1">
        <v>0</v>
      </c>
      <c r="I431" s="1">
        <v>0</v>
      </c>
      <c r="J431" s="1">
        <v>0</v>
      </c>
      <c r="K431" s="1">
        <v>0</v>
      </c>
      <c r="L431" s="1">
        <v>0</v>
      </c>
      <c r="N431" t="str">
        <f t="shared" si="6"/>
        <v>0</v>
      </c>
      <c r="O431" s="6" t="str" cm="1">
        <f t="array" ref="O431">_xlfn.TEXTJOIN(", ",TRUE,
_xlfn.UNIQUE(
_xlfn._xlws.FILTER($S$2:$S$200,
ISNUMBER(SEARCH(LOWER($R$2:$R$200),LOWER(B431)))
)
))</f>
        <v/>
      </c>
      <c r="P431" cm="1">
        <f t="array" aca="1" ref="P431" ca="1">IFERROR(
    IF(N431=0, 0,
        SUMPRODUCT(
            N(
                _xlfn.IFNA(
                    VLOOKUP(
                        TRIM(MID(SUBSTITUTE(M431,",",REPT(" ",100)),
                        (ROW(INDIRECT("1:" &amp; LEN(M431)-LEN(SUBSTITUTE(M431,",","")) + 1))-1)*100 + 1, 100)),
                        $R$2:$T$101, 3, FALSE
                    ), 0)
            )
        ) / N431
    ),
0)</f>
        <v>0</v>
      </c>
    </row>
    <row r="432" spans="1:16">
      <c r="A432">
        <v>431</v>
      </c>
      <c r="B432" s="4" t="s">
        <v>838</v>
      </c>
      <c r="C432" s="1">
        <v>3</v>
      </c>
      <c r="D432" s="1">
        <v>9</v>
      </c>
      <c r="E432" s="1">
        <v>0</v>
      </c>
      <c r="F432" s="1">
        <v>0</v>
      </c>
      <c r="G432" s="1">
        <v>0</v>
      </c>
      <c r="H432" s="1">
        <v>0</v>
      </c>
      <c r="I432" s="1">
        <v>3</v>
      </c>
      <c r="J432" s="1">
        <v>0</v>
      </c>
      <c r="K432" s="1">
        <v>0</v>
      </c>
      <c r="L432" s="1">
        <v>0</v>
      </c>
      <c r="M432" s="6" t="str" cm="1">
        <f t="array" ref="M432">_xlfn.TEXTJOIN(", ",TRUE,
_xlfn._xlws.FILTER($R$2:$R$101,
ISNUMBER(SEARCH(LOWER($R$2:$R$101),LOWER(B432)))
))</f>
        <v>bogan</v>
      </c>
      <c r="N432">
        <f t="shared" si="6"/>
        <v>1</v>
      </c>
      <c r="O432" s="6" t="str" cm="1">
        <f t="array" ref="O432">_xlfn.TEXTJOIN(", ",TRUE,
_xlfn.UNIQUE(
_xlfn._xlws.FILTER($S$2:$S$200,
ISNUMBER(SEARCH(LOWER($R$2:$R$200),LOWER(B432)))
)
))</f>
        <v>Class based</v>
      </c>
      <c r="P432" cm="1">
        <f t="array" aca="1" ref="P432" ca="1">IFERROR(
    IF(N432=0, 0,
        SUMPRODUCT(
            N(
                _xlfn.IFNA(
                    VLOOKUP(
                        TRIM(MID(SUBSTITUTE(M432,",",REPT(" ",100)),
                        (ROW(INDIRECT("1:" &amp; LEN(M432)-LEN(SUBSTITUTE(M432,",","")) + 1))-1)*100 + 1, 100)),
                        $R$2:$T$101, 3, FALSE
                    ), 0)
            )
        ) / N432
    ),
0)</f>
        <v>3</v>
      </c>
    </row>
    <row r="433" spans="1:16" ht="45.75">
      <c r="A433">
        <v>432</v>
      </c>
      <c r="B433" s="4" t="s">
        <v>840</v>
      </c>
      <c r="C433" s="1">
        <v>0</v>
      </c>
      <c r="D433" s="1">
        <v>0</v>
      </c>
      <c r="E433" s="1">
        <v>0</v>
      </c>
      <c r="F433" s="1">
        <v>0</v>
      </c>
      <c r="G433" s="1">
        <v>0</v>
      </c>
      <c r="H433" s="1">
        <v>0</v>
      </c>
      <c r="I433" s="1">
        <v>0</v>
      </c>
      <c r="J433" s="1">
        <v>0</v>
      </c>
      <c r="K433" s="1">
        <v>0</v>
      </c>
      <c r="L433" s="1">
        <v>0</v>
      </c>
      <c r="M433" s="6" t="str" cm="1">
        <f t="array" ref="M433">_xlfn.TEXTJOIN(", ",TRUE,
_xlfn._xlws.FILTER($R$2:$R$101,
ISNUMBER(SEARCH(LOWER($R$2:$R$101),LOWER(B433)))
))</f>
        <v>indonesia , australia, corby</v>
      </c>
      <c r="N433">
        <f t="shared" si="6"/>
        <v>3</v>
      </c>
      <c r="O433" s="6" t="str" cm="1">
        <f t="array" ref="O433">_xlfn.TEXTJOIN(", ",TRUE,
_xlfn.UNIQUE(
_xlfn._xlws.FILTER($S$2:$S$200,
ISNUMBER(SEARCH(LOWER($R$2:$R$200),LOWER(B433)))
)
))</f>
        <v>Case Related, Familial based</v>
      </c>
      <c r="P433" cm="1">
        <f t="array" aca="1" ref="P433" ca="1">IFERROR(
    IF(N433=0, 0,
        SUMPRODUCT(
            N(
                _xlfn.IFNA(
                    VLOOKUP(
                        TRIM(MID(SUBSTITUTE(M433,",",REPT(" ",100)),
                        (ROW(INDIRECT("1:" &amp; LEN(M433)-LEN(SUBSTITUTE(M433,",","")) + 1))-1)*100 + 1, 100)),
                        $R$2:$T$101, 3, FALSE
                    ), 0)
            )
        ) / N433
    ),
0)</f>
        <v>0</v>
      </c>
    </row>
    <row r="434" spans="1:16" ht="60.75">
      <c r="A434">
        <v>433</v>
      </c>
      <c r="B434" s="4" t="s">
        <v>842</v>
      </c>
      <c r="C434" s="1">
        <v>0</v>
      </c>
      <c r="D434" s="1">
        <v>0</v>
      </c>
      <c r="E434" s="1">
        <v>0</v>
      </c>
      <c r="F434" s="1">
        <v>0</v>
      </c>
      <c r="G434" s="1">
        <v>0</v>
      </c>
      <c r="H434" s="1">
        <v>0</v>
      </c>
      <c r="I434" s="1">
        <v>0</v>
      </c>
      <c r="J434" s="1">
        <v>0</v>
      </c>
      <c r="K434" s="1">
        <v>0</v>
      </c>
      <c r="L434" s="1">
        <v>0</v>
      </c>
      <c r="N434" t="str">
        <f t="shared" si="6"/>
        <v>0</v>
      </c>
      <c r="O434" s="6" t="str" cm="1">
        <f t="array" ref="O434">_xlfn.TEXTJOIN(", ",TRUE,
_xlfn.UNIQUE(
_xlfn._xlws.FILTER($S$2:$S$200,
ISNUMBER(SEARCH(LOWER($R$2:$R$200),LOWER(B434)))
)
))</f>
        <v/>
      </c>
      <c r="P434" cm="1">
        <f t="array" aca="1" ref="P434" ca="1">IFERROR(
    IF(N434=0, 0,
        SUMPRODUCT(
            N(
                _xlfn.IFNA(
                    VLOOKUP(
                        TRIM(MID(SUBSTITUTE(M434,",",REPT(" ",100)),
                        (ROW(INDIRECT("1:" &amp; LEN(M434)-LEN(SUBSTITUTE(M434,",","")) + 1))-1)*100 + 1, 100)),
                        $R$2:$T$101, 3, FALSE
                    ), 0)
            )
        ) / N434
    ),
0)</f>
        <v>0</v>
      </c>
    </row>
    <row r="435" spans="1:16">
      <c r="A435">
        <v>434</v>
      </c>
      <c r="B435" s="4" t="s">
        <v>844</v>
      </c>
      <c r="C435" s="1">
        <v>2</v>
      </c>
      <c r="D435" s="1">
        <v>6</v>
      </c>
      <c r="E435" s="1">
        <v>0</v>
      </c>
      <c r="F435" s="1">
        <v>0</v>
      </c>
      <c r="G435" s="1">
        <v>3</v>
      </c>
      <c r="H435" s="1">
        <v>0</v>
      </c>
      <c r="I435" s="1">
        <v>3</v>
      </c>
      <c r="J435" s="1">
        <v>0</v>
      </c>
      <c r="K435" s="1">
        <v>0</v>
      </c>
      <c r="L435" s="1">
        <v>0</v>
      </c>
      <c r="M435" s="6" t="str" cm="1">
        <f t="array" ref="M435">_xlfn.TEXTJOIN(", ",TRUE,
_xlfn._xlws.FILTER($R$2:$R$101,
ISNUMBER(SEARCH(LOWER($R$2:$R$101),LOWER(B435)))
))</f>
        <v>weed, dumb, bitch</v>
      </c>
      <c r="N435">
        <f t="shared" si="6"/>
        <v>3</v>
      </c>
      <c r="O435" s="6" t="str" cm="1">
        <f t="array" ref="O435">_xlfn.TEXTJOIN(", ",TRUE,
_xlfn.UNIQUE(
_xlfn._xlws.FILTER($S$2:$S$200,
ISNUMBER(SEARCH(LOWER($R$2:$R$200),LOWER(B435)))
)
))</f>
        <v>Crime based, Intelligence based, Class based</v>
      </c>
      <c r="P435" cm="1">
        <f t="array" aca="1" ref="P435" ca="1">IFERROR(
    IF(N435=0, 0,
        SUMPRODUCT(
            N(
                _xlfn.IFNA(
                    VLOOKUP(
                        TRIM(MID(SUBSTITUTE(M435,",",REPT(" ",100)),
                        (ROW(INDIRECT("1:" &amp; LEN(M435)-LEN(SUBSTITUTE(M435,",","")) + 1))-1)*100 + 1, 100)),
                        $R$2:$T$101, 3, FALSE
                    ), 0)
            )
        ) / N435
    ),
0)</f>
        <v>2</v>
      </c>
    </row>
    <row r="436" spans="1:16" ht="45.75">
      <c r="A436">
        <v>435</v>
      </c>
      <c r="B436" s="4" t="s">
        <v>846</v>
      </c>
      <c r="C436" s="1">
        <v>0</v>
      </c>
      <c r="D436" s="1">
        <v>0</v>
      </c>
      <c r="E436" s="1">
        <v>0</v>
      </c>
      <c r="F436" s="1">
        <v>0</v>
      </c>
      <c r="G436" s="1">
        <v>0</v>
      </c>
      <c r="H436" s="1">
        <v>0</v>
      </c>
      <c r="I436" s="1">
        <v>0</v>
      </c>
      <c r="J436" s="1">
        <v>0</v>
      </c>
      <c r="K436" s="1">
        <v>0</v>
      </c>
      <c r="L436" s="1">
        <v>0</v>
      </c>
      <c r="M436" s="6" t="str" cm="1">
        <f t="array" ref="M436">_xlfn.TEXTJOIN(", ",TRUE,
_xlfn._xlws.FILTER($R$2:$R$101,
ISNUMBER(SEARCH(LOWER($R$2:$R$101),LOWER(B436)))
))</f>
        <v>boogie board, weed</v>
      </c>
      <c r="N436">
        <f t="shared" si="6"/>
        <v>2</v>
      </c>
      <c r="O436" s="6" t="str" cm="1">
        <f t="array" ref="O436">_xlfn.TEXTJOIN(", ",TRUE,
_xlfn.UNIQUE(
_xlfn._xlws.FILTER($S$2:$S$200,
ISNUMBER(SEARCH(LOWER($R$2:$R$200),LOWER(B436)))
)
))</f>
        <v>Case Related, Crime based</v>
      </c>
      <c r="P436" cm="1">
        <f t="array" aca="1" ref="P436" ca="1">IFERROR(
    IF(N436=0, 0,
        SUMPRODUCT(
            N(
                _xlfn.IFNA(
                    VLOOKUP(
                        TRIM(MID(SUBSTITUTE(M436,",",REPT(" ",100)),
                        (ROW(INDIRECT("1:" &amp; LEN(M436)-LEN(SUBSTITUTE(M436,",","")) + 1))-1)*100 + 1, 100)),
                        $R$2:$T$101, 3, FALSE
                    ), 0)
            )
        ) / N436
    ),
0)</f>
        <v>0</v>
      </c>
    </row>
    <row r="437" spans="1:16">
      <c r="A437">
        <v>436</v>
      </c>
      <c r="B437" s="4" t="s">
        <v>848</v>
      </c>
      <c r="C437" s="1">
        <v>0</v>
      </c>
      <c r="D437" s="1">
        <v>0</v>
      </c>
      <c r="E437" s="1">
        <v>0</v>
      </c>
      <c r="F437" s="1">
        <v>0</v>
      </c>
      <c r="G437" s="1">
        <v>0</v>
      </c>
      <c r="H437" s="1">
        <v>0</v>
      </c>
      <c r="I437" s="1">
        <v>0</v>
      </c>
      <c r="J437" s="1">
        <v>0</v>
      </c>
      <c r="K437" s="1">
        <v>0</v>
      </c>
      <c r="L437" s="1">
        <v>0</v>
      </c>
      <c r="N437" t="str">
        <f t="shared" si="6"/>
        <v>0</v>
      </c>
      <c r="O437" s="6" t="str" cm="1">
        <f t="array" ref="O437">_xlfn.TEXTJOIN(", ",TRUE,
_xlfn.UNIQUE(
_xlfn._xlws.FILTER($S$2:$S$200,
ISNUMBER(SEARCH(LOWER($R$2:$R$200),LOWER(B437)))
)
))</f>
        <v/>
      </c>
      <c r="P437" cm="1">
        <f t="array" aca="1" ref="P437" ca="1">IFERROR(
    IF(N437=0, 0,
        SUMPRODUCT(
            N(
                _xlfn.IFNA(
                    VLOOKUP(
                        TRIM(MID(SUBSTITUTE(M437,",",REPT(" ",100)),
                        (ROW(INDIRECT("1:" &amp; LEN(M437)-LEN(SUBSTITUTE(M437,",","")) + 1))-1)*100 + 1, 100)),
                        $R$2:$T$101, 3, FALSE
                    ), 0)
            )
        ) / N437
    ),
0)</f>
        <v>0</v>
      </c>
    </row>
    <row r="438" spans="1:16" ht="45.75">
      <c r="A438">
        <v>437</v>
      </c>
      <c r="B438" s="4" t="s">
        <v>850</v>
      </c>
      <c r="C438" s="10">
        <v>0.16666666699999999</v>
      </c>
      <c r="D438" s="1">
        <v>0.5</v>
      </c>
      <c r="E438" s="1">
        <v>0</v>
      </c>
      <c r="F438" s="1">
        <v>0</v>
      </c>
      <c r="G438" s="1">
        <v>1</v>
      </c>
      <c r="H438" s="1">
        <v>0</v>
      </c>
      <c r="I438" s="1">
        <v>0</v>
      </c>
      <c r="J438" s="1">
        <v>0</v>
      </c>
      <c r="K438" s="1">
        <v>0</v>
      </c>
      <c r="L438" s="1">
        <v>0</v>
      </c>
      <c r="M438" s="6" t="str" cm="1">
        <f t="array" ref="M438">_xlfn.TEXTJOIN(", ",TRUE,
_xlfn._xlws.FILTER($R$2:$R$101,
ISNUMBER(SEARCH(LOWER($R$2:$R$101),LOWER(B438)))
))</f>
        <v>drugs, af, sentenced, arrested, parole</v>
      </c>
      <c r="N438">
        <f t="shared" si="6"/>
        <v>5</v>
      </c>
      <c r="O438" s="6" t="str" cm="1">
        <f t="array" ref="O438">_xlfn.TEXTJOIN(", ",TRUE,
_xlfn.UNIQUE(
_xlfn._xlws.FILTER($S$2:$S$200,
ISNUMBER(SEARCH(LOWER($R$2:$R$200),LOWER(B438)))
)
))</f>
        <v>Crime based, Intelligence based, Legality based</v>
      </c>
      <c r="P438" cm="1">
        <f t="array" aca="1" ref="P438" ca="1">IFERROR(
    IF(N438=0, 0,
        SUMPRODUCT(
            N(
                _xlfn.IFNA(
                    VLOOKUP(
                        TRIM(MID(SUBSTITUTE(M438,",",REPT(" ",100)),
                        (ROW(INDIRECT("1:" &amp; LEN(M438)-LEN(SUBSTITUTE(M438,",","")) + 1))-1)*100 + 1, 100)),
                        $R$2:$T$101, 3, FALSE
                    ), 0)
            )
        ) / N438
    ),
0)</f>
        <v>0.2</v>
      </c>
    </row>
    <row r="439" spans="1:16">
      <c r="A439">
        <v>438</v>
      </c>
      <c r="B439" s="4" t="s">
        <v>852</v>
      </c>
      <c r="C439" s="1">
        <v>0</v>
      </c>
      <c r="D439" s="1">
        <v>0</v>
      </c>
      <c r="E439" s="1">
        <v>0</v>
      </c>
      <c r="F439" s="1">
        <v>0</v>
      </c>
      <c r="G439" s="1">
        <v>0</v>
      </c>
      <c r="H439" s="1">
        <v>0</v>
      </c>
      <c r="I439" s="1">
        <v>0</v>
      </c>
      <c r="J439" s="1">
        <v>0</v>
      </c>
      <c r="K439" s="1">
        <v>0</v>
      </c>
      <c r="L439" s="1">
        <v>0</v>
      </c>
      <c r="N439" t="str">
        <f t="shared" si="6"/>
        <v>0</v>
      </c>
      <c r="O439" s="6" t="str" cm="1">
        <f t="array" ref="O439">_xlfn.TEXTJOIN(", ",TRUE,
_xlfn.UNIQUE(
_xlfn._xlws.FILTER($S$2:$S$200,
ISNUMBER(SEARCH(LOWER($R$2:$R$200),LOWER(B439)))
)
))</f>
        <v/>
      </c>
      <c r="P439" cm="1">
        <f t="array" aca="1" ref="P439" ca="1">IFERROR(
    IF(N439=0, 0,
        SUMPRODUCT(
            N(
                _xlfn.IFNA(
                    VLOOKUP(
                        TRIM(MID(SUBSTITUTE(M439,",",REPT(" ",100)),
                        (ROW(INDIRECT("1:" &amp; LEN(M439)-LEN(SUBSTITUTE(M439,",","")) + 1))-1)*100 + 1, 100)),
                        $R$2:$T$101, 3, FALSE
                    ), 0)
            )
        ) / N439
    ),
0)</f>
        <v>0</v>
      </c>
    </row>
    <row r="440" spans="1:16" ht="76.5">
      <c r="A440">
        <v>439</v>
      </c>
      <c r="B440" s="4" t="s">
        <v>854</v>
      </c>
      <c r="C440" s="1">
        <v>0</v>
      </c>
      <c r="D440" s="1">
        <v>0</v>
      </c>
      <c r="E440" s="1">
        <v>0</v>
      </c>
      <c r="F440" s="1">
        <v>0</v>
      </c>
      <c r="G440" s="1">
        <v>0</v>
      </c>
      <c r="H440" s="1">
        <v>0</v>
      </c>
      <c r="I440" s="1">
        <v>0</v>
      </c>
      <c r="J440" s="1">
        <v>0</v>
      </c>
      <c r="K440" s="1">
        <v>0</v>
      </c>
      <c r="L440" s="1">
        <v>0</v>
      </c>
      <c r="N440" t="str">
        <f t="shared" si="6"/>
        <v>0</v>
      </c>
      <c r="O440" s="6" t="str" cm="1">
        <f t="array" ref="O440">_xlfn.TEXTJOIN(", ",TRUE,
_xlfn.UNIQUE(
_xlfn._xlws.FILTER($S$2:$S$200,
ISNUMBER(SEARCH(LOWER($R$2:$R$200),LOWER(B440)))
)
))</f>
        <v/>
      </c>
      <c r="P440" cm="1">
        <f t="array" aca="1" ref="P440" ca="1">IFERROR(
    IF(N440=0, 0,
        SUMPRODUCT(
            N(
                _xlfn.IFNA(
                    VLOOKUP(
                        TRIM(MID(SUBSTITUTE(M440,",",REPT(" ",100)),
                        (ROW(INDIRECT("1:" &amp; LEN(M440)-LEN(SUBSTITUTE(M440,",","")) + 1))-1)*100 + 1, 100)),
                        $R$2:$T$101, 3, FALSE
                    ), 0)
            )
        ) / N440
    ),
0)</f>
        <v>0</v>
      </c>
    </row>
    <row r="441" spans="1:16">
      <c r="A441">
        <v>440</v>
      </c>
      <c r="B441" s="4" t="s">
        <v>855</v>
      </c>
      <c r="C441" s="1">
        <v>0</v>
      </c>
      <c r="D441" s="1">
        <v>0</v>
      </c>
      <c r="E441" s="1">
        <v>0</v>
      </c>
      <c r="F441" s="1">
        <v>0</v>
      </c>
      <c r="G441" s="1">
        <v>0</v>
      </c>
      <c r="H441" s="1">
        <v>0</v>
      </c>
      <c r="I441" s="1">
        <v>0</v>
      </c>
      <c r="J441" s="1">
        <v>0</v>
      </c>
      <c r="K441" s="1">
        <v>0</v>
      </c>
      <c r="L441" s="1">
        <v>0</v>
      </c>
      <c r="N441" t="str">
        <f t="shared" si="6"/>
        <v>0</v>
      </c>
      <c r="O441" s="6" t="str" cm="1">
        <f t="array" ref="O441">_xlfn.TEXTJOIN(", ",TRUE,
_xlfn.UNIQUE(
_xlfn._xlws.FILTER($S$2:$S$200,
ISNUMBER(SEARCH(LOWER($R$2:$R$200),LOWER(B441)))
)
))</f>
        <v/>
      </c>
      <c r="P441" cm="1">
        <f t="array" aca="1" ref="P441" ca="1">IFERROR(
    IF(N441=0, 0,
        SUMPRODUCT(
            N(
                _xlfn.IFNA(
                    VLOOKUP(
                        TRIM(MID(SUBSTITUTE(M441,",",REPT(" ",100)),
                        (ROW(INDIRECT("1:" &amp; LEN(M441)-LEN(SUBSTITUTE(M441,",","")) + 1))-1)*100 + 1, 100)),
                        $R$2:$T$101, 3, FALSE
                    ), 0)
            )
        ) / N441
    ),
0)</f>
        <v>0</v>
      </c>
    </row>
    <row r="442" spans="1:16">
      <c r="A442">
        <v>441</v>
      </c>
      <c r="B442" s="4" t="s">
        <v>857</v>
      </c>
      <c r="C442" s="1">
        <v>0</v>
      </c>
      <c r="D442" s="1">
        <v>0</v>
      </c>
      <c r="E442" s="1">
        <v>0</v>
      </c>
      <c r="F442" s="1">
        <v>0</v>
      </c>
      <c r="G442" s="1">
        <v>0</v>
      </c>
      <c r="H442" s="1">
        <v>0</v>
      </c>
      <c r="I442" s="1">
        <v>0</v>
      </c>
      <c r="J442" s="1">
        <v>0</v>
      </c>
      <c r="K442" s="1">
        <v>0</v>
      </c>
      <c r="L442" s="1">
        <v>0</v>
      </c>
      <c r="N442" t="str">
        <f t="shared" si="6"/>
        <v>0</v>
      </c>
      <c r="O442" s="6" t="str" cm="1">
        <f t="array" ref="O442">_xlfn.TEXTJOIN(", ",TRUE,
_xlfn.UNIQUE(
_xlfn._xlws.FILTER($S$2:$S$200,
ISNUMBER(SEARCH(LOWER($R$2:$R$200),LOWER(B442)))
)
))</f>
        <v/>
      </c>
      <c r="P442" cm="1">
        <f t="array" aca="1" ref="P442" ca="1">IFERROR(
    IF(N442=0, 0,
        SUMPRODUCT(
            N(
                _xlfn.IFNA(
                    VLOOKUP(
                        TRIM(MID(SUBSTITUTE(M442,",",REPT(" ",100)),
                        (ROW(INDIRECT("1:" &amp; LEN(M442)-LEN(SUBSTITUTE(M442,",","")) + 1))-1)*100 + 1, 100)),
                        $R$2:$T$101, 3, FALSE
                    ), 0)
            )
        ) / N442
    ),
0)</f>
        <v>0</v>
      </c>
    </row>
    <row r="443" spans="1:16" ht="60.75">
      <c r="A443">
        <v>442</v>
      </c>
      <c r="B443" s="4" t="s">
        <v>859</v>
      </c>
      <c r="C443" s="1">
        <v>1</v>
      </c>
      <c r="D443" s="1">
        <v>3</v>
      </c>
      <c r="E443" s="1">
        <v>0</v>
      </c>
      <c r="F443" s="1">
        <v>0</v>
      </c>
      <c r="G443" s="1">
        <v>1</v>
      </c>
      <c r="H443" s="1">
        <v>0</v>
      </c>
      <c r="I443" s="1">
        <v>0</v>
      </c>
      <c r="J443" s="1">
        <v>0</v>
      </c>
      <c r="K443" s="1">
        <v>0</v>
      </c>
      <c r="L443" s="1">
        <v>0</v>
      </c>
      <c r="M443" s="6" t="str" cm="1">
        <f t="array" ref="M443">_xlfn.TEXTJOIN(", ",TRUE,
_xlfn._xlws.FILTER($R$2:$R$101,
ISNUMBER(SEARCH(LOWER($R$2:$R$101),LOWER(B443)))
))</f>
        <v>af</v>
      </c>
      <c r="N443">
        <f t="shared" si="6"/>
        <v>1</v>
      </c>
      <c r="O443" s="6" t="str" cm="1">
        <f t="array" ref="O443">_xlfn.TEXTJOIN(", ",TRUE,
_xlfn.UNIQUE(
_xlfn._xlws.FILTER($S$2:$S$200,
ISNUMBER(SEARCH(LOWER($R$2:$R$200),LOWER(B443)))
)
))</f>
        <v>Intelligence based</v>
      </c>
      <c r="P443" cm="1">
        <f t="array" aca="1" ref="P443" ca="1">IFERROR(
    IF(N443=0, 0,
        SUMPRODUCT(
            N(
                _xlfn.IFNA(
                    VLOOKUP(
                        TRIM(MID(SUBSTITUTE(M443,",",REPT(" ",100)),
                        (ROW(INDIRECT("1:" &amp; LEN(M443)-LEN(SUBSTITUTE(M443,",","")) + 1))-1)*100 + 1, 100)),
                        $R$2:$T$101, 3, FALSE
                    ), 0)
            )
        ) / N443
    ),
0)</f>
        <v>1</v>
      </c>
    </row>
    <row r="444" spans="1:16" ht="30.75">
      <c r="A444">
        <v>443</v>
      </c>
      <c r="B444" s="4" t="s">
        <v>861</v>
      </c>
      <c r="C444" s="1">
        <v>0</v>
      </c>
      <c r="D444" s="1">
        <v>0</v>
      </c>
      <c r="E444" s="1">
        <v>0</v>
      </c>
      <c r="F444" s="1">
        <v>0</v>
      </c>
      <c r="G444" s="1">
        <v>0</v>
      </c>
      <c r="H444" s="1">
        <v>0</v>
      </c>
      <c r="I444" s="1">
        <v>0</v>
      </c>
      <c r="J444" s="1">
        <v>0</v>
      </c>
      <c r="K444" s="1">
        <v>0</v>
      </c>
      <c r="L444" s="1">
        <v>0</v>
      </c>
      <c r="N444" t="str">
        <f t="shared" si="6"/>
        <v>0</v>
      </c>
      <c r="O444" s="6" t="str" cm="1">
        <f t="array" ref="O444">_xlfn.TEXTJOIN(", ",TRUE,
_xlfn.UNIQUE(
_xlfn._xlws.FILTER($S$2:$S$200,
ISNUMBER(SEARCH(LOWER($R$2:$R$200),LOWER(B444)))
)
))</f>
        <v/>
      </c>
      <c r="P444" cm="1">
        <f t="array" aca="1" ref="P444" ca="1">IFERROR(
    IF(N444=0, 0,
        SUMPRODUCT(
            N(
                _xlfn.IFNA(
                    VLOOKUP(
                        TRIM(MID(SUBSTITUTE(M444,",",REPT(" ",100)),
                        (ROW(INDIRECT("1:" &amp; LEN(M444)-LEN(SUBSTITUTE(M444,",","")) + 1))-1)*100 + 1, 100)),
                        $R$2:$T$101, 3, FALSE
                    ), 0)
            )
        ) / N444
    ),
0)</f>
        <v>0</v>
      </c>
    </row>
    <row r="445" spans="1:16" ht="45.75">
      <c r="A445">
        <v>444</v>
      </c>
      <c r="B445" s="4" t="s">
        <v>863</v>
      </c>
      <c r="C445" s="1">
        <v>0</v>
      </c>
      <c r="D445" s="1">
        <v>0</v>
      </c>
      <c r="E445" s="1">
        <v>0</v>
      </c>
      <c r="F445" s="1">
        <v>0</v>
      </c>
      <c r="G445" s="1">
        <v>0</v>
      </c>
      <c r="H445" s="1">
        <v>0</v>
      </c>
      <c r="I445" s="1">
        <v>0</v>
      </c>
      <c r="J445" s="1">
        <v>0</v>
      </c>
      <c r="K445" s="1">
        <v>0</v>
      </c>
      <c r="L445" s="1">
        <v>0</v>
      </c>
      <c r="N445" t="str">
        <f t="shared" si="6"/>
        <v>0</v>
      </c>
      <c r="O445" s="6" t="str" cm="1">
        <f t="array" ref="O445">_xlfn.TEXTJOIN(", ",TRUE,
_xlfn.UNIQUE(
_xlfn._xlws.FILTER($S$2:$S$200,
ISNUMBER(SEARCH(LOWER($R$2:$R$200),LOWER(B445)))
)
))</f>
        <v/>
      </c>
      <c r="P445" cm="1">
        <f t="array" aca="1" ref="P445" ca="1">IFERROR(
    IF(N445=0, 0,
        SUMPRODUCT(
            N(
                _xlfn.IFNA(
                    VLOOKUP(
                        TRIM(MID(SUBSTITUTE(M445,",",REPT(" ",100)),
                        (ROW(INDIRECT("1:" &amp; LEN(M445)-LEN(SUBSTITUTE(M445,",","")) + 1))-1)*100 + 1, 100)),
                        $R$2:$T$101, 3, FALSE
                    ), 0)
            )
        ) / N445
    ),
0)</f>
        <v>0</v>
      </c>
    </row>
    <row r="446" spans="1:16">
      <c r="A446">
        <v>445</v>
      </c>
      <c r="B446" s="4" t="s">
        <v>865</v>
      </c>
      <c r="C446" s="1">
        <v>0</v>
      </c>
      <c r="D446" s="1">
        <v>0</v>
      </c>
      <c r="E446" s="1">
        <v>0</v>
      </c>
      <c r="F446" s="1">
        <v>0</v>
      </c>
      <c r="G446" s="1">
        <v>0</v>
      </c>
      <c r="H446" s="1">
        <v>0</v>
      </c>
      <c r="I446" s="1">
        <v>0</v>
      </c>
      <c r="J446" s="1">
        <v>0</v>
      </c>
      <c r="K446" s="1">
        <v>0</v>
      </c>
      <c r="L446" s="1">
        <v>0</v>
      </c>
      <c r="N446" t="str">
        <f t="shared" si="6"/>
        <v>0</v>
      </c>
      <c r="O446" s="6" t="str" cm="1">
        <f t="array" ref="O446">_xlfn.TEXTJOIN(", ",TRUE,
_xlfn.UNIQUE(
_xlfn._xlws.FILTER($S$2:$S$200,
ISNUMBER(SEARCH(LOWER($R$2:$R$200),LOWER(B446)))
)
))</f>
        <v/>
      </c>
      <c r="P446" cm="1">
        <f t="array" aca="1" ref="P446" ca="1">IFERROR(
    IF(N446=0, 0,
        SUMPRODUCT(
            N(
                _xlfn.IFNA(
                    VLOOKUP(
                        TRIM(MID(SUBSTITUTE(M446,",",REPT(" ",100)),
                        (ROW(INDIRECT("1:" &amp; LEN(M446)-LEN(SUBSTITUTE(M446,",","")) + 1))-1)*100 + 1, 100)),
                        $R$2:$T$101, 3, FALSE
                    ), 0)
            )
        ) / N446
    ),
0)</f>
        <v>0</v>
      </c>
    </row>
    <row r="447" spans="1:16">
      <c r="A447">
        <v>446</v>
      </c>
      <c r="B447" s="4" t="s">
        <v>867</v>
      </c>
      <c r="C447" s="1">
        <v>3</v>
      </c>
      <c r="D447" s="1">
        <v>9</v>
      </c>
      <c r="E447" s="1">
        <v>0</v>
      </c>
      <c r="F447" s="1">
        <v>0</v>
      </c>
      <c r="G447" s="1">
        <v>3</v>
      </c>
      <c r="H447" s="1">
        <v>0</v>
      </c>
      <c r="I447" s="1">
        <v>0</v>
      </c>
      <c r="J447" s="1">
        <v>0</v>
      </c>
      <c r="K447" s="1">
        <v>0</v>
      </c>
      <c r="L447" s="1">
        <v>0</v>
      </c>
      <c r="M447" s="6" t="str" cm="1">
        <f t="array" ref="M447">_xlfn.TEXTJOIN(", ",TRUE,
_xlfn._xlws.FILTER($R$2:$R$101,
ISNUMBER(SEARCH(LOWER($R$2:$R$101),LOWER(B447)))
))</f>
        <v>fucked</v>
      </c>
      <c r="N447">
        <f t="shared" si="6"/>
        <v>1</v>
      </c>
      <c r="O447" s="6" t="str" cm="1">
        <f t="array" ref="O447">_xlfn.TEXTJOIN(", ",TRUE,
_xlfn.UNIQUE(
_xlfn._xlws.FILTER($S$2:$S$200,
ISNUMBER(SEARCH(LOWER($R$2:$R$200),LOWER(B447)))
)
))</f>
        <v>Intelligence based</v>
      </c>
      <c r="P447" cm="1">
        <f t="array" aca="1" ref="P447" ca="1">IFERROR(
    IF(N447=0, 0,
        SUMPRODUCT(
            N(
                _xlfn.IFNA(
                    VLOOKUP(
                        TRIM(MID(SUBSTITUTE(M447,",",REPT(" ",100)),
                        (ROW(INDIRECT("1:" &amp; LEN(M447)-LEN(SUBSTITUTE(M447,",","")) + 1))-1)*100 + 1, 100)),
                        $R$2:$T$101, 3, FALSE
                    ), 0)
            )
        ) / N447
    ),
0)</f>
        <v>3</v>
      </c>
    </row>
    <row r="448" spans="1:16" ht="30.75">
      <c r="A448">
        <v>447</v>
      </c>
      <c r="B448" s="4" t="s">
        <v>869</v>
      </c>
      <c r="C448" s="10">
        <v>0.33333333300000001</v>
      </c>
      <c r="D448" s="1">
        <v>1</v>
      </c>
      <c r="E448" s="1">
        <v>0</v>
      </c>
      <c r="F448" s="1">
        <v>0</v>
      </c>
      <c r="G448" s="1">
        <v>1</v>
      </c>
      <c r="H448" s="1">
        <v>0</v>
      </c>
      <c r="I448" s="1">
        <v>0</v>
      </c>
      <c r="J448" s="1">
        <v>0</v>
      </c>
      <c r="K448" s="1">
        <v>0</v>
      </c>
      <c r="L448" s="1">
        <v>0</v>
      </c>
      <c r="M448" s="6" t="str" cm="1">
        <f t="array" ref="M448">_xlfn.TEXTJOIN(", ",TRUE,
_xlfn._xlws.FILTER($R$2:$R$101,
ISNUMBER(SEARCH(LOWER($R$2:$R$101),LOWER(B448)))
))</f>
        <v>af, parole</v>
      </c>
      <c r="N448">
        <f t="shared" si="6"/>
        <v>2</v>
      </c>
      <c r="O448" s="6" t="str" cm="1">
        <f t="array" ref="O448">_xlfn.TEXTJOIN(", ",TRUE,
_xlfn.UNIQUE(
_xlfn._xlws.FILTER($S$2:$S$200,
ISNUMBER(SEARCH(LOWER($R$2:$R$200),LOWER(B448)))
)
))</f>
        <v>Intelligence based, Legality based</v>
      </c>
      <c r="P448" cm="1">
        <f t="array" aca="1" ref="P448" ca="1">IFERROR(
    IF(N448=0, 0,
        SUMPRODUCT(
            N(
                _xlfn.IFNA(
                    VLOOKUP(
                        TRIM(MID(SUBSTITUTE(M448,",",REPT(" ",100)),
                        (ROW(INDIRECT("1:" &amp; LEN(M448)-LEN(SUBSTITUTE(M448,",","")) + 1))-1)*100 + 1, 100)),
                        $R$2:$T$101, 3, FALSE
                    ), 0)
            )
        ) / N448
    ),
0)</f>
        <v>0.5</v>
      </c>
    </row>
    <row r="449" spans="1:16" ht="121.5">
      <c r="A449">
        <v>448</v>
      </c>
      <c r="B449" s="4" t="s">
        <v>871</v>
      </c>
      <c r="C449" s="10">
        <v>0.72727272700000001</v>
      </c>
      <c r="D449" s="1">
        <v>1.9090909089999999</v>
      </c>
      <c r="E449" s="1">
        <v>0</v>
      </c>
      <c r="F449" s="1">
        <v>0.5</v>
      </c>
      <c r="G449" s="1">
        <v>2.3333333330000001</v>
      </c>
      <c r="H449" s="1">
        <v>0</v>
      </c>
      <c r="I449" s="1">
        <v>0</v>
      </c>
      <c r="J449" s="1">
        <v>0</v>
      </c>
      <c r="K449" s="1">
        <v>0</v>
      </c>
      <c r="L449" s="1">
        <v>0</v>
      </c>
      <c r="M449" s="6" t="str" cm="1">
        <f t="array" ref="M449">_xlfn.TEXTJOIN(", ",TRUE,
_xlfn._xlws.FILTER($R$2:$R$101,
ISNUMBER(SEARCH(LOWER($R$2:$R$101),LOWER(B449)))
))</f>
        <v>australian, smuggling, australia, drugs, drug trafficking, idiot, stupid, af, innocent, parole</v>
      </c>
      <c r="N449">
        <f t="shared" si="6"/>
        <v>10</v>
      </c>
      <c r="O449" s="6" t="str" cm="1">
        <f t="array" ref="O449">_xlfn.TEXTJOIN(", ",TRUE,
_xlfn.UNIQUE(
_xlfn._xlws.FILTER($S$2:$S$200,
ISNUMBER(SEARCH(LOWER($R$2:$R$200),LOWER(B449)))
)
))</f>
        <v>Case Related, Crime based, Intelligence based, Legality based</v>
      </c>
      <c r="P449" cm="1">
        <f t="array" aca="1" ref="P449" ca="1">IFERROR(
    IF(N449=0, 0,
        SUMPRODUCT(
            N(
                _xlfn.IFNA(
                    VLOOKUP(
                        TRIM(MID(SUBSTITUTE(M449,",",REPT(" ",100)),
                        (ROW(INDIRECT("1:" &amp; LEN(M449)-LEN(SUBSTITUTE(M449,",","")) + 1))-1)*100 + 1, 100)),
                        $R$2:$T$101, 3, FALSE
                    ), 0)
            )
        ) / N449
    ),
0)</f>
        <v>0.8</v>
      </c>
    </row>
    <row r="450" spans="1:16">
      <c r="A450">
        <v>449</v>
      </c>
      <c r="B450" s="4" t="s">
        <v>873</v>
      </c>
      <c r="C450" s="1">
        <v>0</v>
      </c>
      <c r="D450" s="1">
        <v>0</v>
      </c>
      <c r="E450" s="1">
        <v>0</v>
      </c>
      <c r="F450" s="1">
        <v>0</v>
      </c>
      <c r="G450" s="1">
        <v>0</v>
      </c>
      <c r="H450" s="1">
        <v>0</v>
      </c>
      <c r="I450" s="1">
        <v>0</v>
      </c>
      <c r="J450" s="1">
        <v>0</v>
      </c>
      <c r="K450" s="1">
        <v>0</v>
      </c>
      <c r="L450" s="1">
        <v>0</v>
      </c>
      <c r="N450" t="str">
        <f t="shared" si="6"/>
        <v>0</v>
      </c>
      <c r="O450" s="6" t="str" cm="1">
        <f t="array" ref="O450">_xlfn.TEXTJOIN(", ",TRUE,
_xlfn.UNIQUE(
_xlfn._xlws.FILTER($S$2:$S$200,
ISNUMBER(SEARCH(LOWER($R$2:$R$200),LOWER(B450)))
)
))</f>
        <v/>
      </c>
      <c r="P450" cm="1">
        <f t="array" aca="1" ref="P450" ca="1">IFERROR(
    IF(N450=0, 0,
        SUMPRODUCT(
            N(
                _xlfn.IFNA(
                    VLOOKUP(
                        TRIM(MID(SUBSTITUTE(M450,",",REPT(" ",100)),
                        (ROW(INDIRECT("1:" &amp; LEN(M450)-LEN(SUBSTITUTE(M450,",","")) + 1))-1)*100 + 1, 100)),
                        $R$2:$T$101, 3, FALSE
                    ), 0)
            )
        ) / N450
    ),
0)</f>
        <v>0</v>
      </c>
    </row>
    <row r="451" spans="1:16" ht="30.75">
      <c r="A451">
        <v>450</v>
      </c>
      <c r="B451" s="4" t="s">
        <v>875</v>
      </c>
      <c r="C451" s="1">
        <v>0</v>
      </c>
      <c r="D451" s="1">
        <v>0</v>
      </c>
      <c r="E451" s="1">
        <v>0</v>
      </c>
      <c r="F451" s="1">
        <v>0</v>
      </c>
      <c r="G451" s="1">
        <v>0</v>
      </c>
      <c r="H451" s="1">
        <v>0</v>
      </c>
      <c r="I451" s="1">
        <v>0</v>
      </c>
      <c r="J451" s="1">
        <v>0</v>
      </c>
      <c r="K451" s="1">
        <v>0</v>
      </c>
      <c r="L451" s="1">
        <v>0</v>
      </c>
      <c r="N451" t="str">
        <f t="shared" ref="N451:N497" si="7">IF(M451="","0",LEN(M451)-LEN(SUBSTITUTE(M451,",",""))+1)</f>
        <v>0</v>
      </c>
      <c r="O451" s="6" t="str" cm="1">
        <f t="array" ref="O451">_xlfn.TEXTJOIN(", ",TRUE,
_xlfn.UNIQUE(
_xlfn._xlws.FILTER($S$2:$S$200,
ISNUMBER(SEARCH(LOWER($R$2:$R$200),LOWER(B451)))
)
))</f>
        <v/>
      </c>
      <c r="P451" cm="1">
        <f t="array" aca="1" ref="P451" ca="1">IFERROR(
    IF(N451=0, 0,
        SUMPRODUCT(
            N(
                _xlfn.IFNA(
                    VLOOKUP(
                        TRIM(MID(SUBSTITUTE(M451,",",REPT(" ",100)),
                        (ROW(INDIRECT("1:" &amp; LEN(M451)-LEN(SUBSTITUTE(M451,",","")) + 1))-1)*100 + 1, 100)),
                        $R$2:$T$101, 3, FALSE
                    ), 0)
            )
        ) / N451
    ),
0)</f>
        <v>0</v>
      </c>
    </row>
    <row r="452" spans="1:16">
      <c r="A452">
        <v>451</v>
      </c>
      <c r="B452" s="4" t="s">
        <v>877</v>
      </c>
      <c r="C452" s="1">
        <v>0</v>
      </c>
      <c r="D452" s="1">
        <v>0</v>
      </c>
      <c r="E452" s="1">
        <v>0</v>
      </c>
      <c r="F452" s="1">
        <v>0</v>
      </c>
      <c r="G452" s="1">
        <v>0</v>
      </c>
      <c r="H452" s="1">
        <v>0</v>
      </c>
      <c r="I452" s="1">
        <v>0</v>
      </c>
      <c r="J452" s="1">
        <v>0</v>
      </c>
      <c r="K452" s="1">
        <v>0</v>
      </c>
      <c r="L452" s="1">
        <v>0</v>
      </c>
      <c r="N452" t="str">
        <f t="shared" si="7"/>
        <v>0</v>
      </c>
      <c r="O452" s="6" t="str" cm="1">
        <f t="array" ref="O452">_xlfn.TEXTJOIN(", ",TRUE,
_xlfn.UNIQUE(
_xlfn._xlws.FILTER($S$2:$S$200,
ISNUMBER(SEARCH(LOWER($R$2:$R$200),LOWER(B452)))
)
))</f>
        <v/>
      </c>
      <c r="P452" cm="1">
        <f t="array" aca="1" ref="P452" ca="1">IFERROR(
    IF(N452=0, 0,
        SUMPRODUCT(
            N(
                _xlfn.IFNA(
                    VLOOKUP(
                        TRIM(MID(SUBSTITUTE(M452,",",REPT(" ",100)),
                        (ROW(INDIRECT("1:" &amp; LEN(M452)-LEN(SUBSTITUTE(M452,",","")) + 1))-1)*100 + 1, 100)),
                        $R$2:$T$101, 3, FALSE
                    ), 0)
            )
        ) / N452
    ),
0)</f>
        <v>0</v>
      </c>
    </row>
    <row r="453" spans="1:16">
      <c r="A453">
        <v>452</v>
      </c>
      <c r="B453" s="4" t="s">
        <v>879</v>
      </c>
      <c r="C453" s="1">
        <v>0</v>
      </c>
      <c r="D453" s="1">
        <v>0</v>
      </c>
      <c r="E453" s="1">
        <v>0</v>
      </c>
      <c r="F453" s="1">
        <v>0</v>
      </c>
      <c r="G453" s="1">
        <v>0</v>
      </c>
      <c r="H453" s="1">
        <v>0</v>
      </c>
      <c r="I453" s="1">
        <v>0</v>
      </c>
      <c r="J453" s="1">
        <v>0</v>
      </c>
      <c r="K453" s="1">
        <v>0</v>
      </c>
      <c r="L453" s="1">
        <v>0</v>
      </c>
      <c r="N453" t="str">
        <f t="shared" si="7"/>
        <v>0</v>
      </c>
      <c r="O453" s="6" t="str" cm="1">
        <f t="array" ref="O453">_xlfn.TEXTJOIN(", ",TRUE,
_xlfn.UNIQUE(
_xlfn._xlws.FILTER($S$2:$S$200,
ISNUMBER(SEARCH(LOWER($R$2:$R$200),LOWER(B453)))
)
))</f>
        <v/>
      </c>
      <c r="P453" cm="1">
        <f t="array" aca="1" ref="P453" ca="1">IFERROR(
    IF(N453=0, 0,
        SUMPRODUCT(
            N(
                _xlfn.IFNA(
                    VLOOKUP(
                        TRIM(MID(SUBSTITUTE(M453,",",REPT(" ",100)),
                        (ROW(INDIRECT("1:" &amp; LEN(M453)-LEN(SUBSTITUTE(M453,",","")) + 1))-1)*100 + 1, 100)),
                        $R$2:$T$101, 3, FALSE
                    ), 0)
            )
        ) / N453
    ),
0)</f>
        <v>0</v>
      </c>
    </row>
    <row r="454" spans="1:16" ht="45.75">
      <c r="A454">
        <v>453</v>
      </c>
      <c r="B454" s="4" t="s">
        <v>881</v>
      </c>
      <c r="C454" s="1">
        <v>0</v>
      </c>
      <c r="D454" s="1">
        <v>0</v>
      </c>
      <c r="E454" s="1">
        <v>0</v>
      </c>
      <c r="F454" s="1">
        <v>0</v>
      </c>
      <c r="G454" s="1">
        <v>0</v>
      </c>
      <c r="H454" s="1">
        <v>0</v>
      </c>
      <c r="I454" s="1">
        <v>0</v>
      </c>
      <c r="J454" s="1">
        <v>0</v>
      </c>
      <c r="K454" s="1">
        <v>0</v>
      </c>
      <c r="L454" s="1">
        <v>0</v>
      </c>
      <c r="M454" s="6" t="str" cm="1">
        <f t="array" ref="M454">_xlfn.TEXTJOIN(", ",TRUE,
_xlfn._xlws.FILTER($R$2:$R$101,
ISNUMBER(SEARCH(LOWER($R$2:$R$101),LOWER(B454)))
))</f>
        <v>boogie board</v>
      </c>
      <c r="N454">
        <f t="shared" si="7"/>
        <v>1</v>
      </c>
      <c r="O454" s="6" t="str" cm="1">
        <f t="array" ref="O454">_xlfn.TEXTJOIN(", ",TRUE,
_xlfn.UNIQUE(
_xlfn._xlws.FILTER($S$2:$S$200,
ISNUMBER(SEARCH(LOWER($R$2:$R$200),LOWER(B454)))
)
))</f>
        <v>Case Related</v>
      </c>
      <c r="P454" cm="1">
        <f t="array" aca="1" ref="P454" ca="1">IFERROR(
    IF(N454=0, 0,
        SUMPRODUCT(
            N(
                _xlfn.IFNA(
                    VLOOKUP(
                        TRIM(MID(SUBSTITUTE(M454,",",REPT(" ",100)),
                        (ROW(INDIRECT("1:" &amp; LEN(M454)-LEN(SUBSTITUTE(M454,",","")) + 1))-1)*100 + 1, 100)),
                        $R$2:$T$101, 3, FALSE
                    ), 0)
            )
        ) / N454
    ),
0)</f>
        <v>0</v>
      </c>
    </row>
    <row r="455" spans="1:16">
      <c r="A455">
        <v>454</v>
      </c>
      <c r="B455" s="4" t="s">
        <v>883</v>
      </c>
      <c r="C455" s="1">
        <v>0</v>
      </c>
      <c r="D455" s="1">
        <v>0</v>
      </c>
      <c r="E455" s="1">
        <v>0</v>
      </c>
      <c r="F455" s="1">
        <v>0</v>
      </c>
      <c r="G455" s="1">
        <v>0</v>
      </c>
      <c r="H455" s="1">
        <v>0</v>
      </c>
      <c r="I455" s="1">
        <v>0</v>
      </c>
      <c r="J455" s="1">
        <v>0</v>
      </c>
      <c r="K455" s="1">
        <v>0</v>
      </c>
      <c r="L455" s="1">
        <v>0</v>
      </c>
      <c r="M455" s="6" t="str" cm="1">
        <f t="array" ref="M455">_xlfn.TEXTJOIN(", ",TRUE,
_xlfn._xlws.FILTER($R$2:$R$101,
ISNUMBER(SEARCH(LOWER($R$2:$R$101),LOWER(B455)))
))</f>
        <v xml:space="preserve">boogie board, marijuana </v>
      </c>
      <c r="N455">
        <f t="shared" si="7"/>
        <v>2</v>
      </c>
      <c r="O455" s="6" t="str" cm="1">
        <f t="array" ref="O455">_xlfn.TEXTJOIN(", ",TRUE,
_xlfn.UNIQUE(
_xlfn._xlws.FILTER($S$2:$S$200,
ISNUMBER(SEARCH(LOWER($R$2:$R$200),LOWER(B455)))
)
))</f>
        <v>Case Related, Crime based</v>
      </c>
      <c r="P455" cm="1">
        <f t="array" aca="1" ref="P455" ca="1">IFERROR(
    IF(N455=0, 0,
        SUMPRODUCT(
            N(
                _xlfn.IFNA(
                    VLOOKUP(
                        TRIM(MID(SUBSTITUTE(M455,",",REPT(" ",100)),
                        (ROW(INDIRECT("1:" &amp; LEN(M455)-LEN(SUBSTITUTE(M455,",","")) + 1))-1)*100 + 1, 100)),
                        $R$2:$T$101, 3, FALSE
                    ), 0)
            )
        ) / N455
    ),
0)</f>
        <v>0</v>
      </c>
    </row>
    <row r="456" spans="1:16" ht="106.5">
      <c r="A456">
        <v>455</v>
      </c>
      <c r="B456" s="4" t="s">
        <v>885</v>
      </c>
      <c r="C456" s="1">
        <v>0.1</v>
      </c>
      <c r="D456" s="1">
        <v>0.3</v>
      </c>
      <c r="E456" s="1">
        <v>0</v>
      </c>
      <c r="F456" s="1">
        <v>0</v>
      </c>
      <c r="G456" s="1">
        <v>1</v>
      </c>
      <c r="H456" s="1">
        <v>0</v>
      </c>
      <c r="I456" s="1">
        <v>0</v>
      </c>
      <c r="J456" s="1">
        <v>0</v>
      </c>
      <c r="K456" s="1">
        <v>0</v>
      </c>
      <c r="L456" s="1">
        <v>0</v>
      </c>
      <c r="M456" s="6" t="str" cm="1">
        <f t="array" ref="M456">_xlfn.TEXTJOIN(", ",TRUE,
_xlfn._xlws.FILTER($R$2:$R$101,
ISNUMBER(SEARCH(LOWER($R$2:$R$101),LOWER(B456)))
))</f>
        <v>boogie board, australian, smuggling, australia, drugs, af, sister, sisters, guilty</v>
      </c>
      <c r="N456">
        <f t="shared" si="7"/>
        <v>9</v>
      </c>
      <c r="O456" s="6" t="str" cm="1">
        <f t="array" ref="O456">_xlfn.TEXTJOIN(", ",TRUE,
_xlfn.UNIQUE(
_xlfn._xlws.FILTER($S$2:$S$200,
ISNUMBER(SEARCH(LOWER($R$2:$R$200),LOWER(B456)))
)
))</f>
        <v>Case Related, Crime based, Intelligence based, Familial based, Legality based</v>
      </c>
      <c r="P456" cm="1">
        <f t="array" aca="1" ref="P456" ca="1">IFERROR(
    IF(N456=0, 0,
        SUMPRODUCT(
            N(
                _xlfn.IFNA(
                    VLOOKUP(
                        TRIM(MID(SUBSTITUTE(M456,",",REPT(" ",100)),
                        (ROW(INDIRECT("1:" &amp; LEN(M456)-LEN(SUBSTITUTE(M456,",","")) + 1))-1)*100 + 1, 100)),
                        $R$2:$T$101, 3, FALSE
                    ), 0)
            )
        ) / N456
    ),
0)</f>
        <v>0.1111111111111111</v>
      </c>
    </row>
    <row r="457" spans="1:16">
      <c r="A457">
        <v>456</v>
      </c>
      <c r="B457" s="4" t="s">
        <v>887</v>
      </c>
      <c r="C457" s="1">
        <v>0</v>
      </c>
      <c r="D457" s="1">
        <v>0</v>
      </c>
      <c r="E457" s="1">
        <v>0</v>
      </c>
      <c r="F457" s="1">
        <v>0</v>
      </c>
      <c r="G457" s="1">
        <v>0</v>
      </c>
      <c r="H457" s="1">
        <v>0</v>
      </c>
      <c r="I457" s="1">
        <v>0</v>
      </c>
      <c r="J457" s="1">
        <v>0</v>
      </c>
      <c r="K457" s="1">
        <v>0</v>
      </c>
      <c r="L457" s="1">
        <v>0</v>
      </c>
      <c r="N457" t="str">
        <f t="shared" si="7"/>
        <v>0</v>
      </c>
      <c r="O457" s="6" t="str" cm="1">
        <f t="array" ref="O457">_xlfn.TEXTJOIN(", ",TRUE,
_xlfn.UNIQUE(
_xlfn._xlws.FILTER($S$2:$S$200,
ISNUMBER(SEARCH(LOWER($R$2:$R$200),LOWER(B457)))
)
))</f>
        <v/>
      </c>
      <c r="P457" cm="1">
        <f t="array" aca="1" ref="P457" ca="1">IFERROR(
    IF(N457=0, 0,
        SUMPRODUCT(
            N(
                _xlfn.IFNA(
                    VLOOKUP(
                        TRIM(MID(SUBSTITUTE(M457,",",REPT(" ",100)),
                        (ROW(INDIRECT("1:" &amp; LEN(M457)-LEN(SUBSTITUTE(M457,",","")) + 1))-1)*100 + 1, 100)),
                        $R$2:$T$101, 3, FALSE
                    ), 0)
            )
        ) / N457
    ),
0)</f>
        <v>0</v>
      </c>
    </row>
    <row r="458" spans="1:16">
      <c r="A458">
        <v>457</v>
      </c>
      <c r="B458" s="4" t="s">
        <v>889</v>
      </c>
      <c r="C458" s="1">
        <v>0</v>
      </c>
      <c r="D458" s="1">
        <v>0</v>
      </c>
      <c r="E458" s="1">
        <v>0</v>
      </c>
      <c r="F458" s="1">
        <v>0</v>
      </c>
      <c r="G458" s="1">
        <v>0</v>
      </c>
      <c r="H458" s="1">
        <v>0</v>
      </c>
      <c r="I458" s="1">
        <v>0</v>
      </c>
      <c r="J458" s="1">
        <v>0</v>
      </c>
      <c r="K458" s="1">
        <v>0</v>
      </c>
      <c r="L458" s="1">
        <v>0</v>
      </c>
      <c r="N458" t="str">
        <f t="shared" si="7"/>
        <v>0</v>
      </c>
      <c r="O458" s="6" t="str" cm="1">
        <f t="array" ref="O458">_xlfn.TEXTJOIN(", ",TRUE,
_xlfn.UNIQUE(
_xlfn._xlws.FILTER($S$2:$S$200,
ISNUMBER(SEARCH(LOWER($R$2:$R$200),LOWER(B458)))
)
))</f>
        <v/>
      </c>
      <c r="P458" cm="1">
        <f t="array" aca="1" ref="P458" ca="1">IFERROR(
    IF(N458=0, 0,
        SUMPRODUCT(
            N(
                _xlfn.IFNA(
                    VLOOKUP(
                        TRIM(MID(SUBSTITUTE(M458,",",REPT(" ",100)),
                        (ROW(INDIRECT("1:" &amp; LEN(M458)-LEN(SUBSTITUTE(M458,",","")) + 1))-1)*100 + 1, 100)),
                        $R$2:$T$101, 3, FALSE
                    ), 0)
            )
        ) / N458
    ),
0)</f>
        <v>0</v>
      </c>
    </row>
    <row r="459" spans="1:16">
      <c r="A459">
        <v>458</v>
      </c>
      <c r="B459" s="4" t="s">
        <v>891</v>
      </c>
      <c r="C459" s="1">
        <v>0</v>
      </c>
      <c r="D459" s="1">
        <v>0</v>
      </c>
      <c r="E459" s="1">
        <v>0</v>
      </c>
      <c r="F459" s="1">
        <v>0</v>
      </c>
      <c r="G459" s="1">
        <v>0</v>
      </c>
      <c r="H459" s="1">
        <v>0</v>
      </c>
      <c r="I459" s="1">
        <v>0</v>
      </c>
      <c r="J459" s="1">
        <v>0</v>
      </c>
      <c r="K459" s="1">
        <v>0</v>
      </c>
      <c r="L459" s="1">
        <v>0</v>
      </c>
      <c r="N459" t="str">
        <f t="shared" si="7"/>
        <v>0</v>
      </c>
      <c r="O459" s="6" t="str" cm="1">
        <f t="array" ref="O459">_xlfn.TEXTJOIN(", ",TRUE,
_xlfn.UNIQUE(
_xlfn._xlws.FILTER($S$2:$S$200,
ISNUMBER(SEARCH(LOWER($R$2:$R$200),LOWER(B459)))
)
))</f>
        <v/>
      </c>
      <c r="P459" cm="1">
        <f t="array" aca="1" ref="P459" ca="1">IFERROR(
    IF(N459=0, 0,
        SUMPRODUCT(
            N(
                _xlfn.IFNA(
                    VLOOKUP(
                        TRIM(MID(SUBSTITUTE(M459,",",REPT(" ",100)),
                        (ROW(INDIRECT("1:" &amp; LEN(M459)-LEN(SUBSTITUTE(M459,",","")) + 1))-1)*100 + 1, 100)),
                        $R$2:$T$101, 3, FALSE
                    ), 0)
            )
        ) / N459
    ),
0)</f>
        <v>0</v>
      </c>
    </row>
    <row r="460" spans="1:16">
      <c r="A460">
        <v>459</v>
      </c>
      <c r="B460" s="4" t="s">
        <v>893</v>
      </c>
      <c r="C460" s="1">
        <v>0</v>
      </c>
      <c r="D460" s="1">
        <v>0</v>
      </c>
      <c r="E460" s="1">
        <v>0</v>
      </c>
      <c r="F460" s="1">
        <v>0</v>
      </c>
      <c r="G460" s="1">
        <v>0</v>
      </c>
      <c r="H460" s="1">
        <v>0</v>
      </c>
      <c r="I460" s="1">
        <v>0</v>
      </c>
      <c r="J460" s="1">
        <v>0</v>
      </c>
      <c r="K460" s="1">
        <v>0</v>
      </c>
      <c r="L460" s="1">
        <v>0</v>
      </c>
      <c r="M460" s="6" t="str" cm="1">
        <f t="array" ref="M460">_xlfn.TEXTJOIN(", ",TRUE,
_xlfn._xlws.FILTER($R$2:$R$101,
ISNUMBER(SEARCH(LOWER($R$2:$R$101),LOWER(B460)))
))</f>
        <v>proof</v>
      </c>
      <c r="N460">
        <f t="shared" si="7"/>
        <v>1</v>
      </c>
      <c r="O460" s="6" t="str" cm="1">
        <f t="array" ref="O460">_xlfn.TEXTJOIN(", ",TRUE,
_xlfn.UNIQUE(
_xlfn._xlws.FILTER($S$2:$S$200,
ISNUMBER(SEARCH(LOWER($R$2:$R$200),LOWER(B460)))
)
))</f>
        <v>Crime based</v>
      </c>
      <c r="P460" cm="1">
        <f t="array" aca="1" ref="P460" ca="1">IFERROR(
    IF(N460=0, 0,
        SUMPRODUCT(
            N(
                _xlfn.IFNA(
                    VLOOKUP(
                        TRIM(MID(SUBSTITUTE(M460,",",REPT(" ",100)),
                        (ROW(INDIRECT("1:" &amp; LEN(M460)-LEN(SUBSTITUTE(M460,",","")) + 1))-1)*100 + 1, 100)),
                        $R$2:$T$101, 3, FALSE
                    ), 0)
            )
        ) / N460
    ),
0)</f>
        <v>0</v>
      </c>
    </row>
    <row r="461" spans="1:16">
      <c r="A461">
        <v>460</v>
      </c>
      <c r="B461" s="4" t="s">
        <v>895</v>
      </c>
      <c r="C461" s="1">
        <v>0</v>
      </c>
      <c r="D461" s="1">
        <v>0</v>
      </c>
      <c r="E461" s="1">
        <v>0</v>
      </c>
      <c r="F461" s="1">
        <v>0</v>
      </c>
      <c r="G461" s="1">
        <v>0</v>
      </c>
      <c r="H461" s="1">
        <v>0</v>
      </c>
      <c r="I461" s="1">
        <v>0</v>
      </c>
      <c r="J461" s="1">
        <v>0</v>
      </c>
      <c r="K461" s="1">
        <v>0</v>
      </c>
      <c r="L461" s="1">
        <v>0</v>
      </c>
      <c r="M461" s="6" t="str" cm="1">
        <f t="array" ref="M461">_xlfn.TEXTJOIN(", ",TRUE,
_xlfn._xlws.FILTER($R$2:$R$101,
ISNUMBER(SEARCH(LOWER($R$2:$R$101),LOWER(B461)))
))</f>
        <v>guilty</v>
      </c>
      <c r="N461">
        <f t="shared" si="7"/>
        <v>1</v>
      </c>
      <c r="O461" s="6" t="str" cm="1">
        <f t="array" ref="O461">_xlfn.TEXTJOIN(", ",TRUE,
_xlfn.UNIQUE(
_xlfn._xlws.FILTER($S$2:$S$200,
ISNUMBER(SEARCH(LOWER($R$2:$R$200),LOWER(B461)))
)
))</f>
        <v>Legality based</v>
      </c>
      <c r="P461" cm="1">
        <f t="array" aca="1" ref="P461" ca="1">IFERROR(
    IF(N461=0, 0,
        SUMPRODUCT(
            N(
                _xlfn.IFNA(
                    VLOOKUP(
                        TRIM(MID(SUBSTITUTE(M461,",",REPT(" ",100)),
                        (ROW(INDIRECT("1:" &amp; LEN(M461)-LEN(SUBSTITUTE(M461,",","")) + 1))-1)*100 + 1, 100)),
                        $R$2:$T$101, 3, FALSE
                    ), 0)
            )
        ) / N461
    ),
0)</f>
        <v>0</v>
      </c>
    </row>
    <row r="462" spans="1:16">
      <c r="A462">
        <v>461</v>
      </c>
      <c r="B462" s="4" t="s">
        <v>897</v>
      </c>
      <c r="C462" s="1">
        <v>0</v>
      </c>
      <c r="D462" s="1">
        <v>0</v>
      </c>
      <c r="E462" s="1">
        <v>0</v>
      </c>
      <c r="F462" s="1">
        <v>0</v>
      </c>
      <c r="G462" s="1">
        <v>0</v>
      </c>
      <c r="H462" s="1">
        <v>0</v>
      </c>
      <c r="I462" s="1">
        <v>0</v>
      </c>
      <c r="J462" s="1">
        <v>0</v>
      </c>
      <c r="K462" s="1">
        <v>0</v>
      </c>
      <c r="L462" s="1">
        <v>0</v>
      </c>
      <c r="M462" s="6" t="str" cm="1">
        <f t="array" ref="M462">_xlfn.TEXTJOIN(", ",TRUE,
_xlfn._xlws.FILTER($R$2:$R$101,
ISNUMBER(SEARCH(LOWER($R$2:$R$101),LOWER(B462)))
))</f>
        <v>proof</v>
      </c>
      <c r="N462">
        <f t="shared" si="7"/>
        <v>1</v>
      </c>
      <c r="O462" s="6" t="str" cm="1">
        <f t="array" ref="O462">_xlfn.TEXTJOIN(", ",TRUE,
_xlfn.UNIQUE(
_xlfn._xlws.FILTER($S$2:$S$200,
ISNUMBER(SEARCH(LOWER($R$2:$R$200),LOWER(B462)))
)
))</f>
        <v>Crime based</v>
      </c>
      <c r="P462" cm="1">
        <f t="array" aca="1" ref="P462" ca="1">IFERROR(
    IF(N462=0, 0,
        SUMPRODUCT(
            N(
                _xlfn.IFNA(
                    VLOOKUP(
                        TRIM(MID(SUBSTITUTE(M462,",",REPT(" ",100)),
                        (ROW(INDIRECT("1:" &amp; LEN(M462)-LEN(SUBSTITUTE(M462,",","")) + 1))-1)*100 + 1, 100)),
                        $R$2:$T$101, 3, FALSE
                    ), 0)
            )
        ) / N462
    ),
0)</f>
        <v>0</v>
      </c>
    </row>
    <row r="463" spans="1:16" ht="30.75">
      <c r="A463">
        <v>462</v>
      </c>
      <c r="B463" s="4" t="s">
        <v>899</v>
      </c>
      <c r="C463" s="1">
        <v>0</v>
      </c>
      <c r="D463" s="1">
        <v>0</v>
      </c>
      <c r="E463" s="1">
        <v>0</v>
      </c>
      <c r="F463" s="1">
        <v>0</v>
      </c>
      <c r="G463" s="1">
        <v>0</v>
      </c>
      <c r="H463" s="1">
        <v>0</v>
      </c>
      <c r="I463" s="1">
        <v>0</v>
      </c>
      <c r="J463" s="1">
        <v>0</v>
      </c>
      <c r="K463" s="1">
        <v>0</v>
      </c>
      <c r="L463" s="1">
        <v>0</v>
      </c>
      <c r="N463" t="str">
        <f t="shared" si="7"/>
        <v>0</v>
      </c>
      <c r="O463" s="6" t="str" cm="1">
        <f t="array" ref="O463">_xlfn.TEXTJOIN(", ",TRUE,
_xlfn.UNIQUE(
_xlfn._xlws.FILTER($S$2:$S$200,
ISNUMBER(SEARCH(LOWER($R$2:$R$200),LOWER(B463)))
)
))</f>
        <v/>
      </c>
      <c r="P463" cm="1">
        <f t="array" aca="1" ref="P463" ca="1">IFERROR(
    IF(N463=0, 0,
        SUMPRODUCT(
            N(
                _xlfn.IFNA(
                    VLOOKUP(
                        TRIM(MID(SUBSTITUTE(M463,",",REPT(" ",100)),
                        (ROW(INDIRECT("1:" &amp; LEN(M463)-LEN(SUBSTITUTE(M463,",","")) + 1))-1)*100 + 1, 100)),
                        $R$2:$T$101, 3, FALSE
                    ), 0)
            )
        ) / N463
    ),
0)</f>
        <v>0</v>
      </c>
    </row>
    <row r="464" spans="1:16">
      <c r="A464">
        <v>463</v>
      </c>
      <c r="B464" s="4" t="s">
        <v>901</v>
      </c>
      <c r="C464" s="1">
        <v>0</v>
      </c>
      <c r="D464" s="1">
        <v>0</v>
      </c>
      <c r="E464" s="1">
        <v>0</v>
      </c>
      <c r="F464" s="1">
        <v>0</v>
      </c>
      <c r="G464" s="1">
        <v>0</v>
      </c>
      <c r="H464" s="1">
        <v>0</v>
      </c>
      <c r="I464" s="1">
        <v>0</v>
      </c>
      <c r="J464" s="1">
        <v>0</v>
      </c>
      <c r="K464" s="1">
        <v>0</v>
      </c>
      <c r="L464" s="1">
        <v>0</v>
      </c>
      <c r="M464" s="6" t="str" cm="1">
        <f t="array" ref="M464">_xlfn.TEXTJOIN(", ",TRUE,
_xlfn._xlws.FILTER($R$2:$R$101,
ISNUMBER(SEARCH(LOWER($R$2:$R$101),LOWER(B464)))
))</f>
        <v>guilty</v>
      </c>
      <c r="N464">
        <f t="shared" si="7"/>
        <v>1</v>
      </c>
      <c r="O464" s="6" t="str" cm="1">
        <f t="array" ref="O464">_xlfn.TEXTJOIN(", ",TRUE,
_xlfn.UNIQUE(
_xlfn._xlws.FILTER($S$2:$S$200,
ISNUMBER(SEARCH(LOWER($R$2:$R$200),LOWER(B464)))
)
))</f>
        <v>Legality based</v>
      </c>
      <c r="P464" cm="1">
        <f t="array" aca="1" ref="P464" ca="1">IFERROR(
    IF(N464=0, 0,
        SUMPRODUCT(
            N(
                _xlfn.IFNA(
                    VLOOKUP(
                        TRIM(MID(SUBSTITUTE(M464,",",REPT(" ",100)),
                        (ROW(INDIRECT("1:" &amp; LEN(M464)-LEN(SUBSTITUTE(M464,",","")) + 1))-1)*100 + 1, 100)),
                        $R$2:$T$101, 3, FALSE
                    ), 0)
            )
        ) / N464
    ),
0)</f>
        <v>0</v>
      </c>
    </row>
    <row r="465" spans="1:16" ht="76.5">
      <c r="A465">
        <v>464</v>
      </c>
      <c r="B465" s="4" t="s">
        <v>903</v>
      </c>
      <c r="C465" s="1">
        <v>0</v>
      </c>
      <c r="D465" s="1">
        <v>0</v>
      </c>
      <c r="E465" s="1">
        <v>0</v>
      </c>
      <c r="F465" s="1">
        <v>0</v>
      </c>
      <c r="G465" s="1">
        <v>0</v>
      </c>
      <c r="H465" s="1">
        <v>0</v>
      </c>
      <c r="I465" s="1">
        <v>0</v>
      </c>
      <c r="J465" s="1">
        <v>0</v>
      </c>
      <c r="K465" s="1">
        <v>0</v>
      </c>
      <c r="L465" s="1">
        <v>0</v>
      </c>
      <c r="M465" s="6" t="str" cm="1">
        <f t="array" ref="M465">_xlfn.TEXTJOIN(", ",TRUE,
_xlfn._xlws.FILTER($R$2:$R$101,
ISNUMBER(SEARCH(LOWER($R$2:$R$101),LOWER(B465)))
))</f>
        <v xml:space="preserve">possession, corby, guilty, arrested, law </v>
      </c>
      <c r="N465">
        <f t="shared" si="7"/>
        <v>5</v>
      </c>
      <c r="O465" s="6" t="str" cm="1">
        <f t="array" ref="O465">_xlfn.TEXTJOIN(", ",TRUE,
_xlfn.UNIQUE(
_xlfn._xlws.FILTER($S$2:$S$200,
ISNUMBER(SEARCH(LOWER($R$2:$R$200),LOWER(B465)))
)
))</f>
        <v>Crime based, Familial based, Legality based</v>
      </c>
      <c r="P465" cm="1">
        <f t="array" aca="1" ref="P465" ca="1">IFERROR(
    IF(N465=0, 0,
        SUMPRODUCT(
            N(
                _xlfn.IFNA(
                    VLOOKUP(
                        TRIM(MID(SUBSTITUTE(M465,",",REPT(" ",100)),
                        (ROW(INDIRECT("1:" &amp; LEN(M465)-LEN(SUBSTITUTE(M465,",","")) + 1))-1)*100 + 1, 100)),
                        $R$2:$T$101, 3, FALSE
                    ), 0)
            )
        ) / N465
    ),
0)</f>
        <v>0</v>
      </c>
    </row>
    <row r="466" spans="1:16" ht="30.75">
      <c r="A466">
        <v>465</v>
      </c>
      <c r="B466" s="4" t="s">
        <v>905</v>
      </c>
      <c r="C466" s="1">
        <v>0</v>
      </c>
      <c r="D466" s="1">
        <v>0</v>
      </c>
      <c r="E466" s="1">
        <v>0</v>
      </c>
      <c r="F466" s="1">
        <v>0</v>
      </c>
      <c r="G466" s="1">
        <v>0</v>
      </c>
      <c r="H466" s="1">
        <v>0</v>
      </c>
      <c r="I466" s="1">
        <v>0</v>
      </c>
      <c r="J466" s="1">
        <v>0</v>
      </c>
      <c r="K466" s="1">
        <v>0</v>
      </c>
      <c r="L466" s="1">
        <v>0</v>
      </c>
      <c r="N466" t="str">
        <f t="shared" si="7"/>
        <v>0</v>
      </c>
      <c r="O466" s="6" t="str" cm="1">
        <f t="array" ref="O466">_xlfn.TEXTJOIN(", ",TRUE,
_xlfn.UNIQUE(
_xlfn._xlws.FILTER($S$2:$S$200,
ISNUMBER(SEARCH(LOWER($R$2:$R$200),LOWER(B466)))
)
))</f>
        <v/>
      </c>
      <c r="P466" cm="1">
        <f t="array" aca="1" ref="P466" ca="1">IFERROR(
    IF(N466=0, 0,
        SUMPRODUCT(
            N(
                _xlfn.IFNA(
                    VLOOKUP(
                        TRIM(MID(SUBSTITUTE(M466,",",REPT(" ",100)),
                        (ROW(INDIRECT("1:" &amp; LEN(M466)-LEN(SUBSTITUTE(M466,",","")) + 1))-1)*100 + 1, 100)),
                        $R$2:$T$101, 3, FALSE
                    ), 0)
            )
        ) / N466
    ),
0)</f>
        <v>0</v>
      </c>
    </row>
    <row r="467" spans="1:16">
      <c r="A467">
        <v>466</v>
      </c>
      <c r="B467" s="4" t="s">
        <v>907</v>
      </c>
      <c r="C467" s="1">
        <v>0</v>
      </c>
      <c r="D467" s="1">
        <v>0</v>
      </c>
      <c r="E467" s="1">
        <v>0</v>
      </c>
      <c r="F467" s="1">
        <v>0</v>
      </c>
      <c r="G467" s="1">
        <v>0</v>
      </c>
      <c r="H467" s="1">
        <v>0</v>
      </c>
      <c r="I467" s="1">
        <v>0</v>
      </c>
      <c r="J467" s="1">
        <v>0</v>
      </c>
      <c r="K467" s="1">
        <v>0</v>
      </c>
      <c r="L467" s="1">
        <v>0</v>
      </c>
      <c r="N467" t="str">
        <f t="shared" si="7"/>
        <v>0</v>
      </c>
      <c r="O467" s="6" t="str" cm="1">
        <f t="array" ref="O467">_xlfn.TEXTJOIN(", ",TRUE,
_xlfn.UNIQUE(
_xlfn._xlws.FILTER($S$2:$S$200,
ISNUMBER(SEARCH(LOWER($R$2:$R$200),LOWER(B467)))
)
))</f>
        <v/>
      </c>
      <c r="P467" cm="1">
        <f t="array" aca="1" ref="P467" ca="1">IFERROR(
    IF(N467=0, 0,
        SUMPRODUCT(
            N(
                _xlfn.IFNA(
                    VLOOKUP(
                        TRIM(MID(SUBSTITUTE(M467,",",REPT(" ",100)),
                        (ROW(INDIRECT("1:" &amp; LEN(M467)-LEN(SUBSTITUTE(M467,",","")) + 1))-1)*100 + 1, 100)),
                        $R$2:$T$101, 3, FALSE
                    ), 0)
            )
        ) / N467
    ),
0)</f>
        <v>0</v>
      </c>
    </row>
    <row r="468" spans="1:16" ht="45.75">
      <c r="A468">
        <v>467</v>
      </c>
      <c r="B468" s="4" t="s">
        <v>909</v>
      </c>
      <c r="C468" s="1">
        <v>0</v>
      </c>
      <c r="D468" s="1">
        <v>0</v>
      </c>
      <c r="E468" s="1">
        <v>0</v>
      </c>
      <c r="F468" s="1">
        <v>0</v>
      </c>
      <c r="G468" s="1">
        <v>0</v>
      </c>
      <c r="H468" s="1">
        <v>0</v>
      </c>
      <c r="I468" s="1">
        <v>0</v>
      </c>
      <c r="J468" s="1">
        <v>0</v>
      </c>
      <c r="K468" s="1">
        <v>0</v>
      </c>
      <c r="L468" s="1">
        <v>0</v>
      </c>
      <c r="N468" t="str">
        <f t="shared" si="7"/>
        <v>0</v>
      </c>
      <c r="O468" s="6" t="str" cm="1">
        <f t="array" ref="O468">_xlfn.TEXTJOIN(", ",TRUE,
_xlfn.UNIQUE(
_xlfn._xlws.FILTER($S$2:$S$200,
ISNUMBER(SEARCH(LOWER($R$2:$R$200),LOWER(B468)))
)
))</f>
        <v/>
      </c>
      <c r="P468" cm="1">
        <f t="array" aca="1" ref="P468" ca="1">IFERROR(
    IF(N468=0, 0,
        SUMPRODUCT(
            N(
                _xlfn.IFNA(
                    VLOOKUP(
                        TRIM(MID(SUBSTITUTE(M468,",",REPT(" ",100)),
                        (ROW(INDIRECT("1:" &amp; LEN(M468)-LEN(SUBSTITUTE(M468,",","")) + 1))-1)*100 + 1, 100)),
                        $R$2:$T$101, 3, FALSE
                    ), 0)
            )
        ) / N468
    ),
0)</f>
        <v>0</v>
      </c>
    </row>
    <row r="469" spans="1:16" ht="45.75">
      <c r="A469">
        <v>468</v>
      </c>
      <c r="B469" s="4" t="s">
        <v>911</v>
      </c>
      <c r="C469" s="1">
        <v>1</v>
      </c>
      <c r="D469" s="1">
        <v>3</v>
      </c>
      <c r="E469" s="1">
        <v>0</v>
      </c>
      <c r="F469" s="1">
        <v>0</v>
      </c>
      <c r="G469" s="1">
        <v>1</v>
      </c>
      <c r="H469" s="1">
        <v>0</v>
      </c>
      <c r="I469" s="1">
        <v>0</v>
      </c>
      <c r="J469" s="1">
        <v>0</v>
      </c>
      <c r="K469" s="1">
        <v>0</v>
      </c>
      <c r="L469" s="1">
        <v>0</v>
      </c>
      <c r="M469" s="6" t="str" cm="1">
        <f t="array" ref="M469">_xlfn.TEXTJOIN(", ",TRUE,
_xlfn._xlws.FILTER($R$2:$R$101,
ISNUMBER(SEARCH(LOWER($R$2:$R$101),LOWER(B469)))
))</f>
        <v>af</v>
      </c>
      <c r="N469">
        <f t="shared" si="7"/>
        <v>1</v>
      </c>
      <c r="O469" s="6" t="str" cm="1">
        <f t="array" ref="O469">_xlfn.TEXTJOIN(", ",TRUE,
_xlfn.UNIQUE(
_xlfn._xlws.FILTER($S$2:$S$200,
ISNUMBER(SEARCH(LOWER($R$2:$R$200),LOWER(B469)))
)
))</f>
        <v>Intelligence based</v>
      </c>
      <c r="P469" cm="1">
        <f t="array" aca="1" ref="P469" ca="1">IFERROR(
    IF(N469=0, 0,
        SUMPRODUCT(
            N(
                _xlfn.IFNA(
                    VLOOKUP(
                        TRIM(MID(SUBSTITUTE(M469,",",REPT(" ",100)),
                        (ROW(INDIRECT("1:" &amp; LEN(M469)-LEN(SUBSTITUTE(M469,",","")) + 1))-1)*100 + 1, 100)),
                        $R$2:$T$101, 3, FALSE
                    ), 0)
            )
        ) / N469
    ),
0)</f>
        <v>1</v>
      </c>
    </row>
    <row r="470" spans="1:16">
      <c r="A470">
        <v>469</v>
      </c>
      <c r="B470" s="4" t="s">
        <v>913</v>
      </c>
      <c r="C470" s="1">
        <v>0</v>
      </c>
      <c r="D470" s="1">
        <v>0</v>
      </c>
      <c r="E470" s="1">
        <v>0</v>
      </c>
      <c r="F470" s="1">
        <v>0</v>
      </c>
      <c r="G470" s="1">
        <v>0</v>
      </c>
      <c r="H470" s="1">
        <v>0</v>
      </c>
      <c r="I470" s="1">
        <v>0</v>
      </c>
      <c r="J470" s="1">
        <v>0</v>
      </c>
      <c r="K470" s="1">
        <v>0</v>
      </c>
      <c r="L470" s="1">
        <v>0</v>
      </c>
      <c r="N470" t="str">
        <f t="shared" si="7"/>
        <v>0</v>
      </c>
      <c r="O470" s="6" t="str" cm="1">
        <f t="array" ref="O470">_xlfn.TEXTJOIN(", ",TRUE,
_xlfn.UNIQUE(
_xlfn._xlws.FILTER($S$2:$S$200,
ISNUMBER(SEARCH(LOWER($R$2:$R$200),LOWER(B470)))
)
))</f>
        <v/>
      </c>
      <c r="P470" cm="1">
        <f t="array" aca="1" ref="P470" ca="1">IFERROR(
    IF(N470=0, 0,
        SUMPRODUCT(
            N(
                _xlfn.IFNA(
                    VLOOKUP(
                        TRIM(MID(SUBSTITUTE(M470,",",REPT(" ",100)),
                        (ROW(INDIRECT("1:" &amp; LEN(M470)-LEN(SUBSTITUTE(M470,",","")) + 1))-1)*100 + 1, 100)),
                        $R$2:$T$101, 3, FALSE
                    ), 0)
            )
        ) / N470
    ),
0)</f>
        <v>0</v>
      </c>
    </row>
    <row r="471" spans="1:16">
      <c r="A471">
        <v>470</v>
      </c>
      <c r="B471" s="4" t="s">
        <v>915</v>
      </c>
      <c r="C471" s="1">
        <v>0</v>
      </c>
      <c r="D471" s="1">
        <v>0</v>
      </c>
      <c r="E471" s="1">
        <v>0</v>
      </c>
      <c r="F471" s="1">
        <v>0</v>
      </c>
      <c r="G471" s="1">
        <v>0</v>
      </c>
      <c r="H471" s="1">
        <v>0</v>
      </c>
      <c r="I471" s="1">
        <v>0</v>
      </c>
      <c r="J471" s="1">
        <v>0</v>
      </c>
      <c r="K471" s="1">
        <v>0</v>
      </c>
      <c r="L471" s="1">
        <v>0</v>
      </c>
      <c r="N471" t="str">
        <f t="shared" si="7"/>
        <v>0</v>
      </c>
      <c r="O471" s="6" t="str" cm="1">
        <f t="array" ref="O471">_xlfn.TEXTJOIN(", ",TRUE,
_xlfn.UNIQUE(
_xlfn._xlws.FILTER($S$2:$S$200,
ISNUMBER(SEARCH(LOWER($R$2:$R$200),LOWER(B471)))
)
))</f>
        <v/>
      </c>
      <c r="P471" cm="1">
        <f t="array" aca="1" ref="P471" ca="1">IFERROR(
    IF(N471=0, 0,
        SUMPRODUCT(
            N(
                _xlfn.IFNA(
                    VLOOKUP(
                        TRIM(MID(SUBSTITUTE(M471,",",REPT(" ",100)),
                        (ROW(INDIRECT("1:" &amp; LEN(M471)-LEN(SUBSTITUTE(M471,",","")) + 1))-1)*100 + 1, 100)),
                        $R$2:$T$101, 3, FALSE
                    ), 0)
            )
        ) / N471
    ),
0)</f>
        <v>0</v>
      </c>
    </row>
    <row r="472" spans="1:16">
      <c r="A472">
        <v>471</v>
      </c>
      <c r="B472" s="4" t="s">
        <v>917</v>
      </c>
      <c r="C472" s="1">
        <v>0</v>
      </c>
      <c r="D472" s="1">
        <v>0</v>
      </c>
      <c r="E472" s="1">
        <v>0</v>
      </c>
      <c r="F472" s="1">
        <v>0</v>
      </c>
      <c r="G472" s="1">
        <v>0</v>
      </c>
      <c r="H472" s="1">
        <v>0</v>
      </c>
      <c r="I472" s="1">
        <v>0</v>
      </c>
      <c r="J472" s="1">
        <v>0</v>
      </c>
      <c r="K472" s="1">
        <v>0</v>
      </c>
      <c r="L472" s="1">
        <v>0</v>
      </c>
      <c r="N472" t="str">
        <f t="shared" si="7"/>
        <v>0</v>
      </c>
      <c r="O472" s="6" t="str" cm="1">
        <f t="array" ref="O472">_xlfn.TEXTJOIN(", ",TRUE,
_xlfn.UNIQUE(
_xlfn._xlws.FILTER($S$2:$S$200,
ISNUMBER(SEARCH(LOWER($R$2:$R$200),LOWER(B472)))
)
))</f>
        <v/>
      </c>
      <c r="P472" cm="1">
        <f t="array" aca="1" ref="P472" ca="1">IFERROR(
    IF(N472=0, 0,
        SUMPRODUCT(
            N(
                _xlfn.IFNA(
                    VLOOKUP(
                        TRIM(MID(SUBSTITUTE(M472,",",REPT(" ",100)),
                        (ROW(INDIRECT("1:" &amp; LEN(M472)-LEN(SUBSTITUTE(M472,",","")) + 1))-1)*100 + 1, 100)),
                        $R$2:$T$101, 3, FALSE
                    ), 0)
            )
        ) / N472
    ),
0)</f>
        <v>0</v>
      </c>
    </row>
    <row r="473" spans="1:16">
      <c r="A473">
        <v>472</v>
      </c>
      <c r="B473" s="4" t="s">
        <v>919</v>
      </c>
      <c r="C473" s="1">
        <v>0</v>
      </c>
      <c r="D473" s="1">
        <v>0</v>
      </c>
      <c r="E473" s="1">
        <v>0</v>
      </c>
      <c r="F473" s="1">
        <v>0</v>
      </c>
      <c r="G473" s="1">
        <v>0</v>
      </c>
      <c r="H473" s="1">
        <v>0</v>
      </c>
      <c r="I473" s="1">
        <v>0</v>
      </c>
      <c r="J473" s="1">
        <v>0</v>
      </c>
      <c r="K473" s="1">
        <v>0</v>
      </c>
      <c r="L473" s="1">
        <v>0</v>
      </c>
      <c r="N473" t="str">
        <f t="shared" si="7"/>
        <v>0</v>
      </c>
      <c r="O473" s="6" t="str" cm="1">
        <f t="array" ref="O473">_xlfn.TEXTJOIN(", ",TRUE,
_xlfn.UNIQUE(
_xlfn._xlws.FILTER($S$2:$S$200,
ISNUMBER(SEARCH(LOWER($R$2:$R$200),LOWER(B473)))
)
))</f>
        <v/>
      </c>
      <c r="P473" cm="1">
        <f t="array" aca="1" ref="P473" ca="1">IFERROR(
    IF(N473=0, 0,
        SUMPRODUCT(
            N(
                _xlfn.IFNA(
                    VLOOKUP(
                        TRIM(MID(SUBSTITUTE(M473,",",REPT(" ",100)),
                        (ROW(INDIRECT("1:" &amp; LEN(M473)-LEN(SUBSTITUTE(M473,",","")) + 1))-1)*100 + 1, 100)),
                        $R$2:$T$101, 3, FALSE
                    ), 0)
            )
        ) / N473
    ),
0)</f>
        <v>0</v>
      </c>
    </row>
    <row r="474" spans="1:16" ht="30.75">
      <c r="A474">
        <v>473</v>
      </c>
      <c r="B474" s="4" t="s">
        <v>921</v>
      </c>
      <c r="C474" s="1">
        <v>0</v>
      </c>
      <c r="D474" s="1">
        <v>0</v>
      </c>
      <c r="E474" s="1">
        <v>0</v>
      </c>
      <c r="F474" s="1">
        <v>0</v>
      </c>
      <c r="G474" s="1">
        <v>0</v>
      </c>
      <c r="H474" s="1">
        <v>0</v>
      </c>
      <c r="I474" s="1">
        <v>0</v>
      </c>
      <c r="J474" s="1">
        <v>0</v>
      </c>
      <c r="K474" s="1">
        <v>0</v>
      </c>
      <c r="L474" s="1">
        <v>0</v>
      </c>
      <c r="N474" t="str">
        <f t="shared" si="7"/>
        <v>0</v>
      </c>
      <c r="O474" s="6" t="str" cm="1">
        <f t="array" ref="O474">_xlfn.TEXTJOIN(", ",TRUE,
_xlfn.UNIQUE(
_xlfn._xlws.FILTER($S$2:$S$200,
ISNUMBER(SEARCH(LOWER($R$2:$R$200),LOWER(B474)))
)
))</f>
        <v/>
      </c>
      <c r="P474" cm="1">
        <f t="array" aca="1" ref="P474" ca="1">IFERROR(
    IF(N474=0, 0,
        SUMPRODUCT(
            N(
                _xlfn.IFNA(
                    VLOOKUP(
                        TRIM(MID(SUBSTITUTE(M474,",",REPT(" ",100)),
                        (ROW(INDIRECT("1:" &amp; LEN(M474)-LEN(SUBSTITUTE(M474,",","")) + 1))-1)*100 + 1, 100)),
                        $R$2:$T$101, 3, FALSE
                    ), 0)
            )
        ) / N474
    ),
0)</f>
        <v>0</v>
      </c>
    </row>
    <row r="475" spans="1:16" ht="30.75">
      <c r="A475">
        <v>474</v>
      </c>
      <c r="B475" s="4" t="s">
        <v>923</v>
      </c>
      <c r="C475" s="1">
        <v>0</v>
      </c>
      <c r="D475" s="1">
        <v>0</v>
      </c>
      <c r="E475" s="1">
        <v>0</v>
      </c>
      <c r="F475" s="1">
        <v>0</v>
      </c>
      <c r="G475" s="1">
        <v>0</v>
      </c>
      <c r="H475" s="1">
        <v>0</v>
      </c>
      <c r="I475" s="1">
        <v>0</v>
      </c>
      <c r="J475" s="1">
        <v>0</v>
      </c>
      <c r="K475" s="1">
        <v>0</v>
      </c>
      <c r="L475" s="1">
        <v>0</v>
      </c>
      <c r="N475" t="str">
        <f t="shared" si="7"/>
        <v>0</v>
      </c>
      <c r="O475" s="6" t="str" cm="1">
        <f t="array" ref="O475">_xlfn.TEXTJOIN(", ",TRUE,
_xlfn.UNIQUE(
_xlfn._xlws.FILTER($S$2:$S$200,
ISNUMBER(SEARCH(LOWER($R$2:$R$200),LOWER(B475)))
)
))</f>
        <v/>
      </c>
      <c r="P475" cm="1">
        <f t="array" aca="1" ref="P475" ca="1">IFERROR(
    IF(N475=0, 0,
        SUMPRODUCT(
            N(
                _xlfn.IFNA(
                    VLOOKUP(
                        TRIM(MID(SUBSTITUTE(M475,",",REPT(" ",100)),
                        (ROW(INDIRECT("1:" &amp; LEN(M475)-LEN(SUBSTITUTE(M475,",","")) + 1))-1)*100 + 1, 100)),
                        $R$2:$T$101, 3, FALSE
                    ), 0)
            )
        ) / N475
    ),
0)</f>
        <v>0</v>
      </c>
    </row>
    <row r="476" spans="1:16">
      <c r="A476">
        <v>475</v>
      </c>
      <c r="B476" s="4" t="s">
        <v>925</v>
      </c>
      <c r="C476" s="1">
        <v>0</v>
      </c>
      <c r="D476" s="1">
        <v>0</v>
      </c>
      <c r="E476" s="1">
        <v>0</v>
      </c>
      <c r="F476" s="1">
        <v>0</v>
      </c>
      <c r="G476" s="1">
        <v>0</v>
      </c>
      <c r="H476" s="1">
        <v>0</v>
      </c>
      <c r="I476" s="1">
        <v>0</v>
      </c>
      <c r="J476" s="1">
        <v>0</v>
      </c>
      <c r="K476" s="1">
        <v>0</v>
      </c>
      <c r="L476" s="1">
        <v>0</v>
      </c>
      <c r="N476" t="str">
        <f t="shared" si="7"/>
        <v>0</v>
      </c>
      <c r="O476" s="6" t="str" cm="1">
        <f t="array" ref="O476">_xlfn.TEXTJOIN(", ",TRUE,
_xlfn.UNIQUE(
_xlfn._xlws.FILTER($S$2:$S$200,
ISNUMBER(SEARCH(LOWER($R$2:$R$200),LOWER(B476)))
)
))</f>
        <v/>
      </c>
      <c r="P476" cm="1">
        <f t="array" aca="1" ref="P476" ca="1">IFERROR(
    IF(N476=0, 0,
        SUMPRODUCT(
            N(
                _xlfn.IFNA(
                    VLOOKUP(
                        TRIM(MID(SUBSTITUTE(M476,",",REPT(" ",100)),
                        (ROW(INDIRECT("1:" &amp; LEN(M476)-LEN(SUBSTITUTE(M476,",","")) + 1))-1)*100 + 1, 100)),
                        $R$2:$T$101, 3, FALSE
                    ), 0)
            )
        ) / N476
    ),
0)</f>
        <v>0</v>
      </c>
    </row>
    <row r="477" spans="1:16">
      <c r="A477">
        <v>476</v>
      </c>
      <c r="B477" s="4" t="s">
        <v>927</v>
      </c>
      <c r="C477" s="1">
        <v>0</v>
      </c>
      <c r="D477" s="1">
        <v>0</v>
      </c>
      <c r="E477" s="1">
        <v>0</v>
      </c>
      <c r="F477" s="1">
        <v>0</v>
      </c>
      <c r="G477" s="1">
        <v>0</v>
      </c>
      <c r="H477" s="1">
        <v>0</v>
      </c>
      <c r="I477" s="1">
        <v>0</v>
      </c>
      <c r="J477" s="1">
        <v>0</v>
      </c>
      <c r="K477" s="1">
        <v>0</v>
      </c>
      <c r="L477" s="1">
        <v>0</v>
      </c>
      <c r="N477" t="str">
        <f t="shared" si="7"/>
        <v>0</v>
      </c>
      <c r="O477" s="6" t="str" cm="1">
        <f t="array" ref="O477">_xlfn.TEXTJOIN(", ",TRUE,
_xlfn.UNIQUE(
_xlfn._xlws.FILTER($S$2:$S$200,
ISNUMBER(SEARCH(LOWER($R$2:$R$200),LOWER(B477)))
)
))</f>
        <v/>
      </c>
      <c r="P477" cm="1">
        <f t="array" aca="1" ref="P477" ca="1">IFERROR(
    IF(N477=0, 0,
        SUMPRODUCT(
            N(
                _xlfn.IFNA(
                    VLOOKUP(
                        TRIM(MID(SUBSTITUTE(M477,",",REPT(" ",100)),
                        (ROW(INDIRECT("1:" &amp; LEN(M477)-LEN(SUBSTITUTE(M477,",","")) + 1))-1)*100 + 1, 100)),
                        $R$2:$T$101, 3, FALSE
                    ), 0)
            )
        ) / N477
    ),
0)</f>
        <v>0</v>
      </c>
    </row>
    <row r="478" spans="1:16">
      <c r="A478">
        <v>477</v>
      </c>
      <c r="B478" s="4" t="s">
        <v>929</v>
      </c>
      <c r="C478" s="1">
        <v>0</v>
      </c>
      <c r="D478" s="1">
        <v>0</v>
      </c>
      <c r="E478" s="1">
        <v>0</v>
      </c>
      <c r="F478" s="1">
        <v>0</v>
      </c>
      <c r="G478" s="1">
        <v>0</v>
      </c>
      <c r="H478" s="1">
        <v>0</v>
      </c>
      <c r="I478" s="1">
        <v>0</v>
      </c>
      <c r="J478" s="1">
        <v>0</v>
      </c>
      <c r="K478" s="1">
        <v>0</v>
      </c>
      <c r="L478" s="1">
        <v>0</v>
      </c>
      <c r="N478" t="str">
        <f t="shared" si="7"/>
        <v>0</v>
      </c>
      <c r="O478" s="6" t="str" cm="1">
        <f t="array" ref="O478">_xlfn.TEXTJOIN(", ",TRUE,
_xlfn.UNIQUE(
_xlfn._xlws.FILTER($S$2:$S$200,
ISNUMBER(SEARCH(LOWER($R$2:$R$200),LOWER(B478)))
)
))</f>
        <v/>
      </c>
      <c r="P478" cm="1">
        <f t="array" aca="1" ref="P478" ca="1">IFERROR(
    IF(N478=0, 0,
        SUMPRODUCT(
            N(
                _xlfn.IFNA(
                    VLOOKUP(
                        TRIM(MID(SUBSTITUTE(M478,",",REPT(" ",100)),
                        (ROW(INDIRECT("1:" &amp; LEN(M478)-LEN(SUBSTITUTE(M478,",","")) + 1))-1)*100 + 1, 100)),
                        $R$2:$T$101, 3, FALSE
                    ), 0)
            )
        ) / N478
    ),
0)</f>
        <v>0</v>
      </c>
    </row>
    <row r="479" spans="1:16">
      <c r="A479">
        <v>478</v>
      </c>
      <c r="B479" s="4" t="s">
        <v>931</v>
      </c>
      <c r="C479" s="1">
        <v>3</v>
      </c>
      <c r="D479" s="1">
        <v>9</v>
      </c>
      <c r="E479" s="1">
        <v>0</v>
      </c>
      <c r="F479" s="1">
        <v>0</v>
      </c>
      <c r="G479" s="1">
        <v>3</v>
      </c>
      <c r="H479" s="1">
        <v>0</v>
      </c>
      <c r="I479" s="1">
        <v>0</v>
      </c>
      <c r="J479" s="1">
        <v>0</v>
      </c>
      <c r="K479" s="1">
        <v>0</v>
      </c>
      <c r="L479" s="1">
        <v>0</v>
      </c>
      <c r="M479" s="6" t="str" cm="1">
        <f t="array" ref="M479">_xlfn.TEXTJOIN(", ",TRUE,
_xlfn._xlws.FILTER($R$2:$R$101,
ISNUMBER(SEARCH(LOWER($R$2:$R$101),LOWER(B479)))
))</f>
        <v>fucked</v>
      </c>
      <c r="N479">
        <f t="shared" si="7"/>
        <v>1</v>
      </c>
      <c r="O479" s="6" t="str" cm="1">
        <f t="array" ref="O479">_xlfn.TEXTJOIN(", ",TRUE,
_xlfn.UNIQUE(
_xlfn._xlws.FILTER($S$2:$S$200,
ISNUMBER(SEARCH(LOWER($R$2:$R$200),LOWER(B479)))
)
))</f>
        <v>Intelligence based</v>
      </c>
      <c r="P479" cm="1">
        <f t="array" aca="1" ref="P479" ca="1">IFERROR(
    IF(N479=0, 0,
        SUMPRODUCT(
            N(
                _xlfn.IFNA(
                    VLOOKUP(
                        TRIM(MID(SUBSTITUTE(M479,",",REPT(" ",100)),
                        (ROW(INDIRECT("1:" &amp; LEN(M479)-LEN(SUBSTITUTE(M479,",","")) + 1))-1)*100 + 1, 100)),
                        $R$2:$T$101, 3, FALSE
                    ), 0)
            )
        ) / N479
    ),
0)</f>
        <v>3</v>
      </c>
    </row>
    <row r="480" spans="1:16">
      <c r="A480">
        <v>479</v>
      </c>
      <c r="B480" s="4" t="s">
        <v>933</v>
      </c>
      <c r="C480" s="1">
        <v>1</v>
      </c>
      <c r="D480" s="1">
        <v>3</v>
      </c>
      <c r="E480" s="1">
        <v>0</v>
      </c>
      <c r="F480" s="1">
        <v>0</v>
      </c>
      <c r="G480" s="1">
        <v>1</v>
      </c>
      <c r="H480" s="1">
        <v>0</v>
      </c>
      <c r="I480" s="1">
        <v>0</v>
      </c>
      <c r="J480" s="1">
        <v>0</v>
      </c>
      <c r="K480" s="1">
        <v>0</v>
      </c>
      <c r="L480" s="1">
        <v>0</v>
      </c>
      <c r="M480" s="6" t="str" cm="1">
        <f t="array" ref="M480">_xlfn.TEXTJOIN(", ",TRUE,
_xlfn._xlws.FILTER($R$2:$R$101,
ISNUMBER(SEARCH(LOWER($R$2:$R$101),LOWER(B480)))
))</f>
        <v>af</v>
      </c>
      <c r="N480">
        <f t="shared" si="7"/>
        <v>1</v>
      </c>
      <c r="O480" s="6" t="str" cm="1">
        <f t="array" ref="O480">_xlfn.TEXTJOIN(", ",TRUE,
_xlfn.UNIQUE(
_xlfn._xlws.FILTER($S$2:$S$200,
ISNUMBER(SEARCH(LOWER($R$2:$R$200),LOWER(B480)))
)
))</f>
        <v>Intelligence based</v>
      </c>
      <c r="P480" cm="1">
        <f t="array" aca="1" ref="P480" ca="1">IFERROR(
    IF(N480=0, 0,
        SUMPRODUCT(
            N(
                _xlfn.IFNA(
                    VLOOKUP(
                        TRIM(MID(SUBSTITUTE(M480,",",REPT(" ",100)),
                        (ROW(INDIRECT("1:" &amp; LEN(M480)-LEN(SUBSTITUTE(M480,",","")) + 1))-1)*100 + 1, 100)),
                        $R$2:$T$101, 3, FALSE
                    ), 0)
            )
        ) / N480
    ),
0)</f>
        <v>1</v>
      </c>
    </row>
    <row r="481" spans="1:16">
      <c r="A481">
        <v>480</v>
      </c>
      <c r="B481" s="4" t="s">
        <v>935</v>
      </c>
      <c r="C481" s="1">
        <v>0</v>
      </c>
      <c r="D481" s="1">
        <v>0</v>
      </c>
      <c r="E481" s="1">
        <v>0</v>
      </c>
      <c r="F481" s="1">
        <v>0</v>
      </c>
      <c r="G481" s="1">
        <v>0</v>
      </c>
      <c r="H481" s="1">
        <v>0</v>
      </c>
      <c r="I481" s="1">
        <v>0</v>
      </c>
      <c r="J481" s="1">
        <v>0</v>
      </c>
      <c r="K481" s="1">
        <v>0</v>
      </c>
      <c r="L481" s="1">
        <v>0</v>
      </c>
      <c r="N481" t="str">
        <f t="shared" si="7"/>
        <v>0</v>
      </c>
      <c r="O481" s="6" t="str" cm="1">
        <f t="array" ref="O481">_xlfn.TEXTJOIN(", ",TRUE,
_xlfn.UNIQUE(
_xlfn._xlws.FILTER($S$2:$S$200,
ISNUMBER(SEARCH(LOWER($R$2:$R$200),LOWER(B481)))
)
))</f>
        <v/>
      </c>
      <c r="P481" cm="1">
        <f t="array" aca="1" ref="P481" ca="1">IFERROR(
    IF(N481=0, 0,
        SUMPRODUCT(
            N(
                _xlfn.IFNA(
                    VLOOKUP(
                        TRIM(MID(SUBSTITUTE(M481,",",REPT(" ",100)),
                        (ROW(INDIRECT("1:" &amp; LEN(M481)-LEN(SUBSTITUTE(M481,",","")) + 1))-1)*100 + 1, 100)),
                        $R$2:$T$101, 3, FALSE
                    ), 0)
            )
        ) / N481
    ),
0)</f>
        <v>0</v>
      </c>
    </row>
    <row r="482" spans="1:16">
      <c r="A482">
        <v>481</v>
      </c>
      <c r="B482" s="4" t="s">
        <v>937</v>
      </c>
      <c r="C482" s="1">
        <v>0</v>
      </c>
      <c r="D482" s="1">
        <v>0</v>
      </c>
      <c r="E482" s="1">
        <v>0</v>
      </c>
      <c r="F482" s="1">
        <v>0</v>
      </c>
      <c r="G482" s="1">
        <v>0</v>
      </c>
      <c r="H482" s="1">
        <v>0</v>
      </c>
      <c r="I482" s="1">
        <v>0</v>
      </c>
      <c r="J482" s="1">
        <v>0</v>
      </c>
      <c r="K482" s="1">
        <v>0</v>
      </c>
      <c r="L482" s="1">
        <v>0</v>
      </c>
      <c r="N482" t="str">
        <f t="shared" si="7"/>
        <v>0</v>
      </c>
      <c r="O482" s="6" t="str" cm="1">
        <f t="array" ref="O482">_xlfn.TEXTJOIN(", ",TRUE,
_xlfn.UNIQUE(
_xlfn._xlws.FILTER($S$2:$S$200,
ISNUMBER(SEARCH(LOWER($R$2:$R$200),LOWER(B482)))
)
))</f>
        <v/>
      </c>
      <c r="P482" cm="1">
        <f t="array" aca="1" ref="P482" ca="1">IFERROR(
    IF(N482=0, 0,
        SUMPRODUCT(
            N(
                _xlfn.IFNA(
                    VLOOKUP(
                        TRIM(MID(SUBSTITUTE(M482,",",REPT(" ",100)),
                        (ROW(INDIRECT("1:" &amp; LEN(M482)-LEN(SUBSTITUTE(M482,",","")) + 1))-1)*100 + 1, 100)),
                        $R$2:$T$101, 3, FALSE
                    ), 0)
            )
        ) / N482
    ),
0)</f>
        <v>0</v>
      </c>
    </row>
    <row r="483" spans="1:16">
      <c r="A483">
        <v>482</v>
      </c>
      <c r="B483" s="4" t="s">
        <v>939</v>
      </c>
      <c r="C483" s="1">
        <v>0</v>
      </c>
      <c r="D483" s="1">
        <v>0</v>
      </c>
      <c r="E483" s="1">
        <v>0</v>
      </c>
      <c r="F483" s="1">
        <v>0</v>
      </c>
      <c r="G483" s="1">
        <v>0</v>
      </c>
      <c r="H483" s="1">
        <v>0</v>
      </c>
      <c r="I483" s="1">
        <v>0</v>
      </c>
      <c r="J483" s="1">
        <v>0</v>
      </c>
      <c r="K483" s="1">
        <v>0</v>
      </c>
      <c r="L483" s="1">
        <v>0</v>
      </c>
      <c r="N483" t="str">
        <f t="shared" si="7"/>
        <v>0</v>
      </c>
      <c r="O483" s="6" t="str" cm="1">
        <f t="array" ref="O483">_xlfn.TEXTJOIN(", ",TRUE,
_xlfn.UNIQUE(
_xlfn._xlws.FILTER($S$2:$S$200,
ISNUMBER(SEARCH(LOWER($R$2:$R$200),LOWER(B483)))
)
))</f>
        <v/>
      </c>
      <c r="P483" cm="1">
        <f t="array" aca="1" ref="P483" ca="1">IFERROR(
    IF(N483=0, 0,
        SUMPRODUCT(
            N(
                _xlfn.IFNA(
                    VLOOKUP(
                        TRIM(MID(SUBSTITUTE(M483,",",REPT(" ",100)),
                        (ROW(INDIRECT("1:" &amp; LEN(M483)-LEN(SUBSTITUTE(M483,",","")) + 1))-1)*100 + 1, 100)),
                        $R$2:$T$101, 3, FALSE
                    ), 0)
            )
        ) / N483
    ),
0)</f>
        <v>0</v>
      </c>
    </row>
    <row r="484" spans="1:16">
      <c r="A484">
        <v>483</v>
      </c>
      <c r="B484" s="4" t="s">
        <v>941</v>
      </c>
      <c r="C484" s="1">
        <v>0</v>
      </c>
      <c r="D484" s="1">
        <v>0</v>
      </c>
      <c r="E484" s="1">
        <v>0</v>
      </c>
      <c r="F484" s="1">
        <v>0</v>
      </c>
      <c r="G484" s="1">
        <v>0</v>
      </c>
      <c r="H484" s="1">
        <v>0</v>
      </c>
      <c r="I484" s="1">
        <v>0</v>
      </c>
      <c r="J484" s="1">
        <v>0</v>
      </c>
      <c r="K484" s="1">
        <v>0</v>
      </c>
      <c r="L484" s="1">
        <v>0</v>
      </c>
      <c r="N484" t="str">
        <f t="shared" si="7"/>
        <v>0</v>
      </c>
      <c r="O484" s="6" t="str" cm="1">
        <f t="array" ref="O484">_xlfn.TEXTJOIN(", ",TRUE,
_xlfn.UNIQUE(
_xlfn._xlws.FILTER($S$2:$S$200,
ISNUMBER(SEARCH(LOWER($R$2:$R$200),LOWER(B484)))
)
))</f>
        <v/>
      </c>
      <c r="P484" cm="1">
        <f t="array" aca="1" ref="P484" ca="1">IFERROR(
    IF(N484=0, 0,
        SUMPRODUCT(
            N(
                _xlfn.IFNA(
                    VLOOKUP(
                        TRIM(MID(SUBSTITUTE(M484,",",REPT(" ",100)),
                        (ROW(INDIRECT("1:" &amp; LEN(M484)-LEN(SUBSTITUTE(M484,",","")) + 1))-1)*100 + 1, 100)),
                        $R$2:$T$101, 3, FALSE
                    ), 0)
            )
        ) / N484
    ),
0)</f>
        <v>0</v>
      </c>
    </row>
    <row r="485" spans="1:16" ht="91.5">
      <c r="A485">
        <v>484</v>
      </c>
      <c r="B485" s="4" t="s">
        <v>942</v>
      </c>
      <c r="C485" s="10">
        <v>0.16666666699999999</v>
      </c>
      <c r="D485" s="1">
        <v>0.5</v>
      </c>
      <c r="E485" s="1">
        <v>0</v>
      </c>
      <c r="F485" s="1">
        <v>0</v>
      </c>
      <c r="G485" s="1">
        <v>1</v>
      </c>
      <c r="H485" s="1">
        <v>0</v>
      </c>
      <c r="I485" s="1">
        <v>0</v>
      </c>
      <c r="J485" s="1">
        <v>0</v>
      </c>
      <c r="K485" s="1">
        <v>0</v>
      </c>
      <c r="L485" s="1">
        <v>0</v>
      </c>
      <c r="M485" s="6" t="str" cm="1">
        <f t="array" ref="M485">_xlfn.TEXTJOIN(", ",TRUE,
_xlfn._xlws.FILTER($R$2:$R$101,
ISNUMBER(SEARCH(LOWER($R$2:$R$101),LOWER(B485)))
))</f>
        <v>schapelle corby, af, corby, parole, convicted</v>
      </c>
      <c r="N485">
        <f t="shared" si="7"/>
        <v>5</v>
      </c>
      <c r="O485" s="6" t="str" cm="1">
        <f t="array" ref="O485">_xlfn.TEXTJOIN(", ",TRUE,
_xlfn.UNIQUE(
_xlfn._xlws.FILTER($S$2:$S$200,
ISNUMBER(SEARCH(LOWER($R$2:$R$200),LOWER(B485)))
)
))</f>
        <v>Case Related, Intelligence based, Familial based, Legality based</v>
      </c>
      <c r="P485" cm="1">
        <f t="array" aca="1" ref="P485" ca="1">IFERROR(
    IF(N485=0, 0,
        SUMPRODUCT(
            N(
                _xlfn.IFNA(
                    VLOOKUP(
                        TRIM(MID(SUBSTITUTE(M485,",",REPT(" ",100)),
                        (ROW(INDIRECT("1:" &amp; LEN(M485)-LEN(SUBSTITUTE(M485,",","")) + 1))-1)*100 + 1, 100)),
                        $R$2:$T$101, 3, FALSE
                    ), 0)
            )
        ) / N485
    ),
0)</f>
        <v>0.2</v>
      </c>
    </row>
    <row r="486" spans="1:16" ht="91.5">
      <c r="A486">
        <v>485</v>
      </c>
      <c r="B486" s="4" t="s">
        <v>943</v>
      </c>
      <c r="C486" s="10">
        <v>0.25</v>
      </c>
      <c r="D486" s="1">
        <v>0.25</v>
      </c>
      <c r="E486" s="1">
        <v>0</v>
      </c>
      <c r="F486" s="1">
        <v>0.66666666699999999</v>
      </c>
      <c r="G486" s="1">
        <v>1</v>
      </c>
      <c r="H486" s="1">
        <v>0</v>
      </c>
      <c r="I486" s="1">
        <v>0</v>
      </c>
      <c r="J486" s="1">
        <v>0</v>
      </c>
      <c r="K486" s="1">
        <v>0</v>
      </c>
      <c r="L486" s="1">
        <v>0</v>
      </c>
      <c r="M486" s="6" t="str" cm="1">
        <f t="array" ref="M486">_xlfn.TEXTJOIN(", ",TRUE,
_xlfn._xlws.FILTER($R$2:$R$101,
ISNUMBER(SEARCH(LOWER($R$2:$R$101),LOWER(B486)))
))</f>
        <v>schapelle corby, boogie board, australian, indonesia , australia, trafficker, marijuana , jail, af, corby, sentenced</v>
      </c>
      <c r="N486">
        <f t="shared" si="7"/>
        <v>11</v>
      </c>
      <c r="O486" s="6" t="str" cm="1">
        <f t="array" ref="O486">_xlfn.TEXTJOIN(", ",TRUE,
_xlfn.UNIQUE(
_xlfn._xlws.FILTER($S$2:$S$200,
ISNUMBER(SEARCH(LOWER($R$2:$R$200),LOWER(B486)))
)
))</f>
        <v>Case Related, Crime based, Intelligence based, Familial based, Legality based</v>
      </c>
      <c r="P486" cm="1">
        <f t="array" aca="1" ref="P486" ca="1">IFERROR(
    IF(N486=0, 0,
        SUMPRODUCT(
            N(
                _xlfn.IFNA(
                    VLOOKUP(
                        TRIM(MID(SUBSTITUTE(M486,",",REPT(" ",100)),
                        (ROW(INDIRECT("1:" &amp; LEN(M486)-LEN(SUBSTITUTE(M486,",","")) + 1))-1)*100 + 1, 100)),
                        $R$2:$T$101, 3, FALSE
                    ), 0)
            )
        ) / N486
    ),
0)</f>
        <v>0.27272727272727271</v>
      </c>
    </row>
    <row r="487" spans="1:16" ht="91.5">
      <c r="A487">
        <v>486</v>
      </c>
      <c r="B487" s="4" t="s">
        <v>944</v>
      </c>
      <c r="C487" s="10">
        <v>0.14285714299999999</v>
      </c>
      <c r="D487" s="1">
        <v>0.428571429</v>
      </c>
      <c r="E487" s="1">
        <v>0</v>
      </c>
      <c r="F487" s="1">
        <v>0</v>
      </c>
      <c r="G487" s="1">
        <v>1</v>
      </c>
      <c r="H487" s="1">
        <v>0</v>
      </c>
      <c r="I487" s="1">
        <v>0</v>
      </c>
      <c r="J487" s="1">
        <v>0</v>
      </c>
      <c r="K487" s="1">
        <v>0</v>
      </c>
      <c r="L487" s="1">
        <v>0</v>
      </c>
      <c r="M487" s="6" t="str" cm="1">
        <f t="array" ref="M487">_xlfn.TEXTJOIN(", ",TRUE,
_xlfn._xlws.FILTER($R$2:$R$101,
ISNUMBER(SEARCH(LOWER($R$2:$R$101),LOWER(B487)))
))</f>
        <v>schapelle corby, cannabis, smuggling, indonesia , cannabis, af, corby, convicted</v>
      </c>
      <c r="N487">
        <f t="shared" si="7"/>
        <v>8</v>
      </c>
      <c r="O487" s="6" t="str" cm="1">
        <f t="array" ref="O487">_xlfn.TEXTJOIN(", ",TRUE,
_xlfn.UNIQUE(
_xlfn._xlws.FILTER($S$2:$S$200,
ISNUMBER(SEARCH(LOWER($R$2:$R$200),LOWER(B487)))
)
))</f>
        <v>Case Related, Crime based, Intelligence based, Familial based, Legality based</v>
      </c>
      <c r="P487" cm="1">
        <f t="array" aca="1" ref="P487" ca="1">IFERROR(
    IF(N487=0, 0,
        SUMPRODUCT(
            N(
                _xlfn.IFNA(
                    VLOOKUP(
                        TRIM(MID(SUBSTITUTE(M487,",",REPT(" ",100)),
                        (ROW(INDIRECT("1:" &amp; LEN(M487)-LEN(SUBSTITUTE(M487,",","")) + 1))-1)*100 + 1, 100)),
                        $R$2:$T$101, 3, FALSE
                    ), 0)
            )
        ) / N487
    ),
0)</f>
        <v>0.125</v>
      </c>
    </row>
    <row r="488" spans="1:16" ht="91.5">
      <c r="A488">
        <v>487</v>
      </c>
      <c r="B488" s="4" t="s">
        <v>945</v>
      </c>
      <c r="C488" s="1">
        <v>0</v>
      </c>
      <c r="D488" s="1">
        <v>0</v>
      </c>
      <c r="E488" s="1">
        <v>0</v>
      </c>
      <c r="F488" s="1">
        <v>0</v>
      </c>
      <c r="G488" s="1">
        <v>0</v>
      </c>
      <c r="H488" s="1">
        <v>0</v>
      </c>
      <c r="I488" s="1">
        <v>0</v>
      </c>
      <c r="J488" s="1">
        <v>0</v>
      </c>
      <c r="K488" s="1">
        <v>0</v>
      </c>
      <c r="L488" s="1">
        <v>0</v>
      </c>
      <c r="M488" s="6" t="str" cm="1">
        <f t="array" ref="M488">_xlfn.TEXTJOIN(", ",TRUE,
_xlfn._xlws.FILTER($R$2:$R$101,
ISNUMBER(SEARCH(LOWER($R$2:$R$101),LOWER(B488)))
))</f>
        <v>schapelle corby, scandal, sister, corby</v>
      </c>
      <c r="N488">
        <f t="shared" si="7"/>
        <v>4</v>
      </c>
      <c r="O488" s="6" t="str" cm="1">
        <f t="array" ref="O488">_xlfn.TEXTJOIN(", ",TRUE,
_xlfn.UNIQUE(
_xlfn._xlws.FILTER($S$2:$S$200,
ISNUMBER(SEARCH(LOWER($R$2:$R$200),LOWER(B488)))
)
))</f>
        <v>Case Related, Crime based, Familial based</v>
      </c>
      <c r="P488" cm="1">
        <f t="array" aca="1" ref="P488" ca="1">IFERROR(
    IF(N488=0, 0,
        SUMPRODUCT(
            N(
                _xlfn.IFNA(
                    VLOOKUP(
                        TRIM(MID(SUBSTITUTE(M488,",",REPT(" ",100)),
                        (ROW(INDIRECT("1:" &amp; LEN(M488)-LEN(SUBSTITUTE(M488,",","")) + 1))-1)*100 + 1, 100)),
                        $R$2:$T$101, 3, FALSE
                    ), 0)
            )
        ) / N488
    ),
0)</f>
        <v>0</v>
      </c>
    </row>
    <row r="489" spans="1:16" ht="91.5">
      <c r="A489">
        <v>488</v>
      </c>
      <c r="B489" s="4" t="s">
        <v>946</v>
      </c>
      <c r="C489" s="1">
        <v>0.125</v>
      </c>
      <c r="D489" s="1">
        <v>0.375</v>
      </c>
      <c r="E489" s="1">
        <v>0</v>
      </c>
      <c r="F489" s="1">
        <v>0</v>
      </c>
      <c r="G489" s="1">
        <v>1</v>
      </c>
      <c r="H489" s="1">
        <v>0</v>
      </c>
      <c r="I489" s="1">
        <v>0</v>
      </c>
      <c r="J489" s="1">
        <v>0</v>
      </c>
      <c r="K489" s="1">
        <v>0</v>
      </c>
      <c r="L489" s="1">
        <v>0</v>
      </c>
      <c r="M489" s="6" t="str" cm="1">
        <f t="array" ref="M489">_xlfn.TEXTJOIN(", ",TRUE,
_xlfn._xlws.FILTER($R$2:$R$101,
ISNUMBER(SEARCH(LOWER($R$2:$R$101),LOWER(B489)))
))</f>
        <v>schapelle corby, indonesia , marijuana , af, corby, brother, AFP, arrested</v>
      </c>
      <c r="N489">
        <f t="shared" si="7"/>
        <v>8</v>
      </c>
      <c r="O489" s="6" t="str" cm="1">
        <f t="array" ref="O489">_xlfn.TEXTJOIN(", ",TRUE,
_xlfn.UNIQUE(
_xlfn._xlws.FILTER($S$2:$S$200,
ISNUMBER(SEARCH(LOWER($R$2:$R$200),LOWER(B489)))
)
))</f>
        <v>Case Related, Crime based, Intelligence based, Familial based, Authority based, Legality based</v>
      </c>
      <c r="P489" cm="1">
        <f t="array" aca="1" ref="P489" ca="1">IFERROR(
    IF(N489=0, 0,
        SUMPRODUCT(
            N(
                _xlfn.IFNA(
                    VLOOKUP(
                        TRIM(MID(SUBSTITUTE(M489,",",REPT(" ",100)),
                        (ROW(INDIRECT("1:" &amp; LEN(M489)-LEN(SUBSTITUTE(M489,",","")) + 1))-1)*100 + 1, 100)),
                        $R$2:$T$101, 3, FALSE
                    ), 0)
            )
        ) / N489
    ),
0)</f>
        <v>0.125</v>
      </c>
    </row>
    <row r="490" spans="1:16" ht="91.5">
      <c r="A490">
        <v>489</v>
      </c>
      <c r="B490" s="4" t="s">
        <v>947</v>
      </c>
      <c r="C490" s="1">
        <v>0</v>
      </c>
      <c r="D490" s="1">
        <v>0</v>
      </c>
      <c r="E490" s="1">
        <v>0</v>
      </c>
      <c r="F490" s="1">
        <v>0</v>
      </c>
      <c r="G490" s="1">
        <v>0</v>
      </c>
      <c r="H490" s="1">
        <v>0</v>
      </c>
      <c r="I490" s="1">
        <v>0</v>
      </c>
      <c r="J490" s="1">
        <v>0</v>
      </c>
      <c r="K490" s="1">
        <v>0</v>
      </c>
      <c r="L490" s="1">
        <v>0</v>
      </c>
      <c r="M490" s="6" t="str" cm="1">
        <f t="array" ref="M490">_xlfn.TEXTJOIN(", ",TRUE,
_xlfn._xlws.FILTER($R$2:$R$101,
ISNUMBER(SEARCH(LOWER($R$2:$R$101),LOWER(B490)))
))</f>
        <v>schapelle corby, boogie board, australia, marijuana , corby, guilty, import</v>
      </c>
      <c r="N490">
        <f t="shared" si="7"/>
        <v>7</v>
      </c>
      <c r="O490" s="6" t="str" cm="1">
        <f t="array" ref="O490">_xlfn.TEXTJOIN(", ",TRUE,
_xlfn.UNIQUE(
_xlfn._xlws.FILTER($S$2:$S$200,
ISNUMBER(SEARCH(LOWER($R$2:$R$200),LOWER(B490)))
)
))</f>
        <v>Case Related, Crime based, Familial based, Legality based</v>
      </c>
      <c r="P490" cm="1">
        <f t="array" aca="1" ref="P490" ca="1">IFERROR(
    IF(N490=0, 0,
        SUMPRODUCT(
            N(
                _xlfn.IFNA(
                    VLOOKUP(
                        TRIM(MID(SUBSTITUTE(M490,",",REPT(" ",100)),
                        (ROW(INDIRECT("1:" &amp; LEN(M490)-LEN(SUBSTITUTE(M490,",","")) + 1))-1)*100 + 1, 100)),
                        $R$2:$T$101, 3, FALSE
                    ), 0)
            )
        ) / N490
    ),
0)</f>
        <v>0</v>
      </c>
    </row>
    <row r="491" spans="1:16" ht="91.5">
      <c r="A491">
        <v>490</v>
      </c>
      <c r="B491" s="4" t="s">
        <v>948</v>
      </c>
      <c r="C491" s="1">
        <v>0</v>
      </c>
      <c r="D491" s="1">
        <v>0</v>
      </c>
      <c r="E491" s="1">
        <v>0</v>
      </c>
      <c r="F491" s="1">
        <v>0</v>
      </c>
      <c r="G491" s="1">
        <v>0</v>
      </c>
      <c r="H491" s="1">
        <v>0</v>
      </c>
      <c r="I491" s="1">
        <v>0</v>
      </c>
      <c r="J491" s="1">
        <v>0</v>
      </c>
      <c r="K491" s="1">
        <v>0</v>
      </c>
      <c r="L491" s="1">
        <v>0</v>
      </c>
      <c r="N491" t="str">
        <f t="shared" si="7"/>
        <v>0</v>
      </c>
      <c r="O491" s="6" t="str" cm="1">
        <f t="array" ref="O491">_xlfn.TEXTJOIN(", ",TRUE,
_xlfn.UNIQUE(
_xlfn._xlws.FILTER($S$2:$S$200,
ISNUMBER(SEARCH(LOWER($R$2:$R$200),LOWER(B491)))
)
))</f>
        <v/>
      </c>
      <c r="P491" cm="1">
        <f t="array" aca="1" ref="P491" ca="1">IFERROR(
    IF(N491=0, 0,
        SUMPRODUCT(
            N(
                _xlfn.IFNA(
                    VLOOKUP(
                        TRIM(MID(SUBSTITUTE(M491,",",REPT(" ",100)),
                        (ROW(INDIRECT("1:" &amp; LEN(M491)-LEN(SUBSTITUTE(M491,",","")) + 1))-1)*100 + 1, 100)),
                        $R$2:$T$101, 3, FALSE
                    ), 0)
            )
        ) / N491
    ),
0)</f>
        <v>0</v>
      </c>
    </row>
    <row r="492" spans="1:16" ht="91.5">
      <c r="A492">
        <v>491</v>
      </c>
      <c r="B492" s="4" t="s">
        <v>949</v>
      </c>
      <c r="C492" s="1">
        <v>0.25</v>
      </c>
      <c r="D492" s="1">
        <v>0.75</v>
      </c>
      <c r="E492" s="1">
        <v>0</v>
      </c>
      <c r="F492" s="1">
        <v>0</v>
      </c>
      <c r="G492" s="1">
        <v>1</v>
      </c>
      <c r="H492" s="1">
        <v>0</v>
      </c>
      <c r="I492" s="1">
        <v>0</v>
      </c>
      <c r="J492" s="1">
        <v>0</v>
      </c>
      <c r="K492" s="1">
        <v>0</v>
      </c>
      <c r="L492" s="1">
        <v>0</v>
      </c>
      <c r="M492" s="6" t="str" cm="1">
        <f t="array" ref="M492">_xlfn.TEXTJOIN(", ",TRUE,
_xlfn._xlws.FILTER($R$2:$R$101,
ISNUMBER(SEARCH(LOWER($R$2:$R$101),LOWER(B492)))
))</f>
        <v>schapelle corby, af, corby, parole</v>
      </c>
      <c r="N492">
        <f t="shared" si="7"/>
        <v>4</v>
      </c>
      <c r="O492" s="6" t="str" cm="1">
        <f t="array" ref="O492">_xlfn.TEXTJOIN(", ",TRUE,
_xlfn.UNIQUE(
_xlfn._xlws.FILTER($S$2:$S$200,
ISNUMBER(SEARCH(LOWER($R$2:$R$200),LOWER(B492)))
)
))</f>
        <v>Case Related, Intelligence based, Familial based, Legality based</v>
      </c>
      <c r="P492" cm="1">
        <f t="array" aca="1" ref="P492" ca="1">IFERROR(
    IF(N492=0, 0,
        SUMPRODUCT(
            N(
                _xlfn.IFNA(
                    VLOOKUP(
                        TRIM(MID(SUBSTITUTE(M492,",",REPT(" ",100)),
                        (ROW(INDIRECT("1:" &amp; LEN(M492)-LEN(SUBSTITUTE(M492,",","")) + 1))-1)*100 + 1, 100)),
                        $R$2:$T$101, 3, FALSE
                    ), 0)
            )
        ) / N492
    ),
0)</f>
        <v>0.25</v>
      </c>
    </row>
    <row r="493" spans="1:16" ht="91.5">
      <c r="A493">
        <v>492</v>
      </c>
      <c r="B493" s="4" t="s">
        <v>950</v>
      </c>
      <c r="C493" s="1">
        <v>9.0909090999999997E-2</v>
      </c>
      <c r="D493" s="1">
        <v>0</v>
      </c>
      <c r="E493" s="1">
        <v>0</v>
      </c>
      <c r="F493" s="1">
        <v>0.33333333300000001</v>
      </c>
      <c r="G493" s="1">
        <v>0</v>
      </c>
      <c r="H493" s="1">
        <v>0</v>
      </c>
      <c r="I493" s="1">
        <v>0</v>
      </c>
      <c r="J493" s="1">
        <v>0</v>
      </c>
      <c r="K493" s="1">
        <v>0</v>
      </c>
      <c r="L493" s="1">
        <v>0</v>
      </c>
      <c r="M493" s="6" t="str" cm="1">
        <f t="array" ref="M493">_xlfn.TEXTJOIN(", ",TRUE,
_xlfn._xlws.FILTER($R$2:$R$101,
ISNUMBER(SEARCH(LOWER($R$2:$R$101),LOWER(B493)))
))</f>
        <v>schapelle corby, australian, cannabis, smuggling, conviction, australia, criminal, marijuana , cannabis, corby, conviction, convicted, import</v>
      </c>
      <c r="N493">
        <f>IF(M493="","0",LEN(M493)-LEN(SUBSTITUTE(M493,",",""))+1)</f>
        <v>13</v>
      </c>
      <c r="O493" s="6" t="str" cm="1">
        <f t="array" ref="O493">_xlfn.TEXTJOIN(", ",TRUE,
_xlfn.UNIQUE(
_xlfn._xlws.FILTER($S$2:$S$200,
ISNUMBER(SEARCH(LOWER($R$2:$R$200),LOWER(B493)))
)
))</f>
        <v>Case Related, Crime based, Familial based, Legality based</v>
      </c>
      <c r="P493" cm="1">
        <f t="array" aca="1" ref="P493" ca="1">IFERROR(
    IF(N493=0, 0,
        SUMPRODUCT(
            N(
                _xlfn.IFNA(
                    VLOOKUP(
                        TRIM(MID(SUBSTITUTE(M493,",",REPT(" ",100)),
                        (ROW(INDIRECT("1:" &amp; LEN(M493)-LEN(SUBSTITUTE(M493,",","")) + 1))-1)*100 + 1, 100)),
                        $R$2:$T$101, 3, FALSE
                    ), 0)
            )
        ) / N493
    ),
0)</f>
        <v>7.6923076923076927E-2</v>
      </c>
    </row>
    <row r="494" spans="1:16" ht="91.5">
      <c r="A494">
        <v>493</v>
      </c>
      <c r="B494" s="4" t="s">
        <v>951</v>
      </c>
      <c r="C494" s="10">
        <v>0.125</v>
      </c>
      <c r="D494" s="1">
        <v>0.375</v>
      </c>
      <c r="E494" s="1">
        <v>0</v>
      </c>
      <c r="F494" s="1">
        <v>0</v>
      </c>
      <c r="G494" s="1">
        <v>1</v>
      </c>
      <c r="H494" s="1">
        <v>0</v>
      </c>
      <c r="I494" s="1">
        <v>0</v>
      </c>
      <c r="J494" s="1">
        <v>0</v>
      </c>
      <c r="K494" s="1">
        <v>0</v>
      </c>
      <c r="L494" s="1">
        <v>0</v>
      </c>
      <c r="M494" s="6" t="str" cm="1">
        <f t="array" ref="M494">_xlfn.TEXTJOIN(", ",TRUE,
_xlfn._xlws.FILTER($R$2:$R$101,
ISNUMBER(SEARCH(LOWER($R$2:$R$101),LOWER(B494)))
))</f>
        <v>schapelle corby, boogie board, drugs, marijuana , af, corby, arrested</v>
      </c>
      <c r="N494">
        <f t="shared" si="7"/>
        <v>7</v>
      </c>
      <c r="O494" s="6" t="str" cm="1">
        <f t="array" ref="O494">_xlfn.TEXTJOIN(", ",TRUE,
_xlfn.UNIQUE(
_xlfn._xlws.FILTER($S$2:$S$200,
ISNUMBER(SEARCH(LOWER($R$2:$R$200),LOWER(B494)))
)
))</f>
        <v>Case Related, Crime based, Intelligence based, Familial based, Legality based</v>
      </c>
      <c r="P494" cm="1">
        <f t="array" aca="1" ref="P494" ca="1">IFERROR(
    IF(N494=0, 0,
        SUMPRODUCT(
            N(
                _xlfn.IFNA(
                    VLOOKUP(
                        TRIM(MID(SUBSTITUTE(M494,",",REPT(" ",100)),
                        (ROW(INDIRECT("1:" &amp; LEN(M494)-LEN(SUBSTITUTE(M494,",","")) + 1))-1)*100 + 1, 100)),
                        $R$2:$T$101, 3, FALSE
                    ), 0)
            )
        ) / N494
    ),
0)</f>
        <v>0.14285714285714285</v>
      </c>
    </row>
    <row r="495" spans="1:16" ht="91.5">
      <c r="A495">
        <v>494</v>
      </c>
      <c r="B495" s="4" t="s">
        <v>952</v>
      </c>
      <c r="C495" s="10">
        <v>0.111111111</v>
      </c>
      <c r="D495" s="1">
        <v>0</v>
      </c>
      <c r="E495" s="1">
        <v>0</v>
      </c>
      <c r="F495" s="1">
        <v>0.5</v>
      </c>
      <c r="G495" s="1">
        <v>0</v>
      </c>
      <c r="H495" s="1">
        <v>0</v>
      </c>
      <c r="I495" s="1">
        <v>0</v>
      </c>
      <c r="J495" s="1">
        <v>0</v>
      </c>
      <c r="K495" s="1">
        <v>0</v>
      </c>
      <c r="L495" s="1">
        <v>0</v>
      </c>
      <c r="M495" s="6" t="str" cm="1">
        <f t="array" ref="M495">_xlfn.TEXTJOIN(", ",TRUE,
_xlfn._xlws.FILTER($R$2:$R$101,
ISNUMBER(SEARCH(LOWER($R$2:$R$101),LOWER(B495)))
))</f>
        <v>schapelle corby, australian, australia, criminal, marijuana , corby, sentenced, convicted</v>
      </c>
      <c r="N495">
        <f t="shared" si="7"/>
        <v>8</v>
      </c>
      <c r="O495" s="6" t="str" cm="1">
        <f t="array" ref="O495">_xlfn.TEXTJOIN(", ",TRUE,
_xlfn.UNIQUE(
_xlfn._xlws.FILTER($S$2:$S$200,
ISNUMBER(SEARCH(LOWER($R$2:$R$200),LOWER(B495)))
)
))</f>
        <v>Case Related, Crime based, Familial based, Legality based</v>
      </c>
      <c r="P495" cm="1">
        <f t="array" aca="1" ref="P495" ca="1">IFERROR(
    IF(N495=0, 0,
        SUMPRODUCT(
            N(
                _xlfn.IFNA(
                    VLOOKUP(
                        TRIM(MID(SUBSTITUTE(M495,",",REPT(" ",100)),
                        (ROW(INDIRECT("1:" &amp; LEN(M495)-LEN(SUBSTITUTE(M495,",","")) + 1))-1)*100 + 1, 100)),
                        $R$2:$T$101, 3, FALSE
                    ), 0)
            )
        ) / N495
    ),
0)</f>
        <v>0.125</v>
      </c>
    </row>
    <row r="496" spans="1:16" ht="91.5">
      <c r="A496">
        <v>495</v>
      </c>
      <c r="B496" s="4" t="s">
        <v>953</v>
      </c>
      <c r="C496" s="1">
        <v>0</v>
      </c>
      <c r="D496" s="1">
        <v>0</v>
      </c>
      <c r="E496" s="1">
        <v>0</v>
      </c>
      <c r="F496" s="1">
        <v>0</v>
      </c>
      <c r="G496" s="1">
        <v>0</v>
      </c>
      <c r="H496" s="1">
        <v>0</v>
      </c>
      <c r="I496" s="1">
        <v>0</v>
      </c>
      <c r="J496" s="1">
        <v>0</v>
      </c>
      <c r="K496" s="1">
        <v>0</v>
      </c>
      <c r="L496" s="1">
        <v>0</v>
      </c>
      <c r="M496" s="6" t="str" cm="1">
        <f t="array" ref="M496">_xlfn.TEXTJOIN(", ",TRUE,
_xlfn._xlws.FILTER($R$2:$R$101,
ISNUMBER(SEARCH(LOWER($R$2:$R$101),LOWER(B496)))
))</f>
        <v>schapelle corby, australia, marijuana , corby, brother, convicted, import</v>
      </c>
      <c r="N496">
        <f t="shared" si="7"/>
        <v>7</v>
      </c>
      <c r="O496" s="6" t="str" cm="1">
        <f t="array" ref="O496">_xlfn.TEXTJOIN(", ",TRUE,
_xlfn.UNIQUE(
_xlfn._xlws.FILTER($S$2:$S$200,
ISNUMBER(SEARCH(LOWER($R$2:$R$200),LOWER(B496)))
)
))</f>
        <v>Case Related, Crime based, Familial based, Legality based</v>
      </c>
      <c r="P496" cm="1">
        <f t="array" aca="1" ref="P496" ca="1">IFERROR(
    IF(N496=0, 0,
        SUMPRODUCT(
            N(
                _xlfn.IFNA(
                    VLOOKUP(
                        TRIM(MID(SUBSTITUTE(M496,",",REPT(" ",100)),
                        (ROW(INDIRECT("1:" &amp; LEN(M496)-LEN(SUBSTITUTE(M496,",","")) + 1))-1)*100 + 1, 100)),
                        $R$2:$T$101, 3, FALSE
                    ), 0)
            )
        ) / N496
    ),
0)</f>
        <v>0</v>
      </c>
    </row>
    <row r="497" spans="1:16" ht="106.5">
      <c r="A497">
        <v>496</v>
      </c>
      <c r="B497" s="4" t="s">
        <v>954</v>
      </c>
      <c r="C497" s="1">
        <v>0.125</v>
      </c>
      <c r="D497" s="1">
        <v>0</v>
      </c>
      <c r="E497" s="1">
        <v>0</v>
      </c>
      <c r="F497" s="1">
        <v>0.33333333300000001</v>
      </c>
      <c r="G497" s="1">
        <v>0</v>
      </c>
      <c r="H497" s="1">
        <v>0</v>
      </c>
      <c r="I497" s="1">
        <v>0</v>
      </c>
      <c r="J497" s="1">
        <v>0</v>
      </c>
      <c r="K497" s="1">
        <v>0</v>
      </c>
      <c r="L497" s="1">
        <v>0</v>
      </c>
      <c r="M497" s="6" t="str" cm="1">
        <f t="array" ref="M497">_xlfn.TEXTJOIN(", ",TRUE,
_xlfn._xlws.FILTER($R$2:$R$101,
ISNUMBER(SEARCH(LOWER($R$2:$R$101),LOWER(B497)))
))</f>
        <v>schapelle corby, cannabis, smuggling, drug smuggler, cannabis, scandal, corby, convicted</v>
      </c>
      <c r="N497">
        <f t="shared" si="7"/>
        <v>8</v>
      </c>
      <c r="O497" s="6" t="str" cm="1">
        <f t="array" ref="O497">_xlfn.TEXTJOIN(", ",TRUE,
_xlfn.UNIQUE(
_xlfn._xlws.FILTER($S$2:$S$200,
ISNUMBER(SEARCH(LOWER($R$2:$R$200),LOWER(B497)))
)
))</f>
        <v>Case Related, Crime based, Familial based, Legality based</v>
      </c>
      <c r="P497" cm="1">
        <f t="array" aca="1" ref="P497" ca="1">IFERROR(
    IF(N497=0, 0,
        SUMPRODUCT(
            N(
                _xlfn.IFNA(
                    VLOOKUP(
                        TRIM(MID(SUBSTITUTE(M497,",",REPT(" ",100)),
                        (ROW(INDIRECT("1:" &amp; LEN(M497)-LEN(SUBSTITUTE(M497,",","")) + 1))-1)*100 + 1, 100)),
                        $R$2:$T$101, 3, FALSE
                    ), 0)
            )
        ) / N497
    ),
0)</f>
        <v>0.125</v>
      </c>
    </row>
    <row r="498" spans="1:16">
      <c r="B498" s="1"/>
      <c r="C498" s="1"/>
      <c r="D498" s="1"/>
      <c r="E498" s="1"/>
      <c r="F498" s="1"/>
      <c r="G498" s="1"/>
      <c r="H498" s="1"/>
      <c r="I498" s="1"/>
      <c r="J498" s="1"/>
      <c r="K498" s="1"/>
      <c r="L49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1D1C-5BB5-4ABC-BC80-F538826C4F42}">
  <dimension ref="A1:D25"/>
  <sheetViews>
    <sheetView workbookViewId="0">
      <selection activeCell="D3" sqref="D3"/>
    </sheetView>
  </sheetViews>
  <sheetFormatPr defaultRowHeight="15"/>
  <cols>
    <col min="1" max="1" width="49.7109375" style="6" customWidth="1"/>
    <col min="4" max="4" width="97.85546875" bestFit="1" customWidth="1"/>
  </cols>
  <sheetData>
    <row r="1" spans="1:4" ht="76.5">
      <c r="A1" s="4" t="s">
        <v>32</v>
      </c>
      <c r="B1" s="10">
        <v>0.6</v>
      </c>
      <c r="C1">
        <v>0.5</v>
      </c>
      <c r="D1" t="s">
        <v>1079</v>
      </c>
    </row>
    <row r="2" spans="1:4" ht="30.75">
      <c r="A2" s="4" t="s">
        <v>60</v>
      </c>
      <c r="B2" s="10">
        <v>0.75</v>
      </c>
      <c r="C2">
        <v>0.66666666666666663</v>
      </c>
      <c r="D2" t="s">
        <v>1080</v>
      </c>
    </row>
    <row r="3" spans="1:4" ht="60.75">
      <c r="A3" s="4" t="s">
        <v>132</v>
      </c>
      <c r="B3" s="10">
        <v>0.16666666699999999</v>
      </c>
      <c r="C3">
        <v>0.2</v>
      </c>
      <c r="D3" t="s">
        <v>1081</v>
      </c>
    </row>
    <row r="4" spans="1:4" ht="30.75">
      <c r="A4" s="4" t="s">
        <v>134</v>
      </c>
      <c r="B4" s="11">
        <v>0.33333333300000001</v>
      </c>
      <c r="C4">
        <v>0</v>
      </c>
      <c r="D4" t="s">
        <v>1082</v>
      </c>
    </row>
    <row r="5" spans="1:4" ht="76.5">
      <c r="A5" s="4" t="s">
        <v>275</v>
      </c>
      <c r="B5" s="10">
        <v>0.14285714299999999</v>
      </c>
      <c r="C5">
        <v>0.16666666666666666</v>
      </c>
      <c r="D5" t="s">
        <v>1083</v>
      </c>
    </row>
    <row r="6" spans="1:4" ht="45.75">
      <c r="A6" s="4" t="s">
        <v>302</v>
      </c>
      <c r="B6" s="10">
        <v>0.2</v>
      </c>
      <c r="C6">
        <v>0.25</v>
      </c>
      <c r="D6" t="s">
        <v>1084</v>
      </c>
    </row>
    <row r="7" spans="1:4" ht="137.25">
      <c r="A7" s="4" t="s">
        <v>308</v>
      </c>
      <c r="B7" s="10">
        <v>0.25</v>
      </c>
      <c r="C7">
        <v>0.33333333333333331</v>
      </c>
      <c r="D7" t="s">
        <v>1085</v>
      </c>
    </row>
    <row r="8" spans="1:4" ht="60.75">
      <c r="A8" s="4" t="s">
        <v>364</v>
      </c>
      <c r="B8" s="10">
        <v>2.3333333330000001</v>
      </c>
      <c r="C8">
        <v>1</v>
      </c>
      <c r="D8" t="s">
        <v>1086</v>
      </c>
    </row>
    <row r="9" spans="1:4" ht="121.5">
      <c r="A9" s="4" t="s">
        <v>390</v>
      </c>
      <c r="B9" s="10">
        <v>0.5</v>
      </c>
      <c r="C9">
        <v>1</v>
      </c>
      <c r="D9" t="s">
        <v>989</v>
      </c>
    </row>
    <row r="10" spans="1:4" ht="45.75">
      <c r="A10" s="4" t="s">
        <v>404</v>
      </c>
      <c r="B10" s="10">
        <v>1.5</v>
      </c>
      <c r="C10">
        <v>3</v>
      </c>
      <c r="D10" t="s">
        <v>1031</v>
      </c>
    </row>
    <row r="11" spans="1:4" ht="305.25">
      <c r="A11" s="4" t="s">
        <v>449</v>
      </c>
      <c r="B11" s="10">
        <v>0.428571429</v>
      </c>
      <c r="C11">
        <v>0.5</v>
      </c>
      <c r="D11" t="s">
        <v>1087</v>
      </c>
    </row>
    <row r="12" spans="1:4" ht="106.5">
      <c r="A12" s="4" t="s">
        <v>517</v>
      </c>
      <c r="B12" s="10">
        <v>1</v>
      </c>
      <c r="C12">
        <v>1.5</v>
      </c>
      <c r="D12" t="s">
        <v>1088</v>
      </c>
    </row>
    <row r="13" spans="1:4" ht="336">
      <c r="A13" s="4" t="s">
        <v>519</v>
      </c>
      <c r="B13" s="10">
        <v>0.33333333300000001</v>
      </c>
      <c r="C13">
        <v>0.375</v>
      </c>
      <c r="D13" t="s">
        <v>1089</v>
      </c>
    </row>
    <row r="14" spans="1:4" ht="76.5">
      <c r="A14" s="4" t="s">
        <v>565</v>
      </c>
      <c r="B14" s="10">
        <v>2</v>
      </c>
      <c r="C14">
        <v>1.3333333333333333</v>
      </c>
      <c r="D14" t="s">
        <v>1090</v>
      </c>
    </row>
    <row r="15" spans="1:4" ht="336">
      <c r="A15" s="4" t="s">
        <v>700</v>
      </c>
      <c r="B15" s="10">
        <v>0.5</v>
      </c>
      <c r="C15">
        <v>0.4</v>
      </c>
      <c r="D15" t="s">
        <v>1091</v>
      </c>
    </row>
    <row r="16" spans="1:4" ht="60.75">
      <c r="A16" s="4" t="s">
        <v>724</v>
      </c>
      <c r="B16" s="10">
        <v>0.75</v>
      </c>
      <c r="C16">
        <v>1</v>
      </c>
      <c r="D16" t="s">
        <v>1092</v>
      </c>
    </row>
    <row r="17" spans="1:4" ht="198">
      <c r="A17" s="4" t="s">
        <v>770</v>
      </c>
      <c r="B17" s="10">
        <v>3</v>
      </c>
      <c r="C17">
        <v>2.2000000000000002</v>
      </c>
      <c r="D17" t="s">
        <v>1093</v>
      </c>
    </row>
    <row r="18" spans="1:4" ht="60.75">
      <c r="A18" s="4" t="s">
        <v>850</v>
      </c>
      <c r="B18" s="10">
        <v>0.16666666699999999</v>
      </c>
      <c r="C18">
        <v>0.2</v>
      </c>
      <c r="D18" t="s">
        <v>1094</v>
      </c>
    </row>
    <row r="19" spans="1:4" ht="45.75">
      <c r="A19" s="4" t="s">
        <v>869</v>
      </c>
      <c r="B19" s="10">
        <v>0.33333333300000001</v>
      </c>
      <c r="C19">
        <v>0.5</v>
      </c>
      <c r="D19" t="s">
        <v>1095</v>
      </c>
    </row>
    <row r="20" spans="1:4" ht="183">
      <c r="A20" s="4" t="s">
        <v>871</v>
      </c>
      <c r="B20" s="10">
        <v>0.72727272700000001</v>
      </c>
      <c r="C20">
        <v>0.8</v>
      </c>
      <c r="D20" t="s">
        <v>1096</v>
      </c>
    </row>
    <row r="21" spans="1:4" ht="152.25">
      <c r="A21" s="4" t="s">
        <v>942</v>
      </c>
      <c r="B21" s="10">
        <v>0.16666666699999999</v>
      </c>
      <c r="C21">
        <v>0.2</v>
      </c>
      <c r="D21" t="s">
        <v>1097</v>
      </c>
    </row>
    <row r="22" spans="1:4" ht="152.25">
      <c r="A22" s="4" t="s">
        <v>943</v>
      </c>
      <c r="B22" s="10">
        <v>0.25</v>
      </c>
      <c r="C22">
        <v>0.27272727272727271</v>
      </c>
      <c r="D22" t="s">
        <v>1098</v>
      </c>
    </row>
    <row r="23" spans="1:4" ht="152.25">
      <c r="A23" s="4" t="s">
        <v>944</v>
      </c>
      <c r="B23" s="10">
        <v>0.14285714299999999</v>
      </c>
      <c r="C23">
        <v>0.125</v>
      </c>
      <c r="D23" t="s">
        <v>1099</v>
      </c>
    </row>
    <row r="24" spans="1:4" ht="152.25">
      <c r="A24" s="4" t="s">
        <v>951</v>
      </c>
      <c r="B24" s="10">
        <v>0.125</v>
      </c>
      <c r="C24">
        <v>0.14285714285714285</v>
      </c>
      <c r="D24" t="s">
        <v>1100</v>
      </c>
    </row>
    <row r="25" spans="1:4" ht="152.25">
      <c r="A25" s="4" t="s">
        <v>952</v>
      </c>
      <c r="B25" s="10">
        <v>0.111111111</v>
      </c>
      <c r="C25">
        <v>0.125</v>
      </c>
      <c r="D25" t="s">
        <v>1101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0BE6-CCC4-4AF3-ADA8-2BC7BCC7E144}">
  <dimension ref="A1:T497"/>
  <sheetViews>
    <sheetView workbookViewId="0">
      <selection activeCell="R1" sqref="R1"/>
    </sheetView>
  </sheetViews>
  <sheetFormatPr defaultRowHeight="15"/>
  <cols>
    <col min="1" max="1" width="18.7109375" customWidth="1"/>
    <col min="2" max="2" width="26" customWidth="1"/>
    <col min="3" max="3" width="16.28515625" customWidth="1"/>
    <col min="18" max="18" width="23.28515625" customWidth="1"/>
  </cols>
  <sheetData>
    <row r="1" spans="1:20">
      <c r="A1" t="s">
        <v>1102</v>
      </c>
      <c r="B1" t="s">
        <v>1103</v>
      </c>
      <c r="C1" t="s">
        <v>1104</v>
      </c>
      <c r="G1" s="1" t="s">
        <v>6</v>
      </c>
      <c r="H1" s="1" t="s">
        <v>7</v>
      </c>
      <c r="I1" s="1" t="s">
        <v>8</v>
      </c>
      <c r="J1" s="1" t="s">
        <v>9</v>
      </c>
      <c r="K1" s="1" t="s">
        <v>10</v>
      </c>
      <c r="L1" s="1" t="s">
        <v>11</v>
      </c>
      <c r="M1" s="1" t="s">
        <v>12</v>
      </c>
      <c r="N1" s="1" t="s">
        <v>13</v>
      </c>
      <c r="R1" t="s">
        <v>1105</v>
      </c>
      <c r="S1" t="s">
        <v>964</v>
      </c>
      <c r="T1" t="s">
        <v>1106</v>
      </c>
    </row>
    <row r="2" spans="1:20">
      <c r="A2" t="s">
        <v>9</v>
      </c>
      <c r="B2">
        <v>0</v>
      </c>
      <c r="C2">
        <v>0</v>
      </c>
      <c r="G2" s="1">
        <v>0.5</v>
      </c>
      <c r="H2" s="1">
        <v>2</v>
      </c>
      <c r="I2" s="1">
        <v>3</v>
      </c>
      <c r="J2" s="1">
        <v>0</v>
      </c>
      <c r="K2" s="1">
        <v>4</v>
      </c>
      <c r="L2" s="1">
        <v>2</v>
      </c>
      <c r="M2" s="1">
        <v>3</v>
      </c>
      <c r="N2" s="1">
        <v>0.5</v>
      </c>
      <c r="R2" t="s">
        <v>1107</v>
      </c>
      <c r="S2">
        <f>MEDIAN(G2:G3)</f>
        <v>0.5</v>
      </c>
    </row>
    <row r="3" spans="1:20">
      <c r="A3" t="s">
        <v>13</v>
      </c>
      <c r="B3">
        <v>1</v>
      </c>
      <c r="C3">
        <v>0.20161290322580644</v>
      </c>
      <c r="G3" s="1">
        <v>0.5</v>
      </c>
      <c r="H3" s="1">
        <v>2</v>
      </c>
      <c r="I3" s="1">
        <v>3</v>
      </c>
      <c r="J3" s="1">
        <v>0</v>
      </c>
      <c r="K3" s="1">
        <v>4</v>
      </c>
      <c r="L3" s="1">
        <v>2</v>
      </c>
      <c r="M3" s="1">
        <v>3</v>
      </c>
      <c r="N3" s="1">
        <v>0</v>
      </c>
      <c r="R3" t="s">
        <v>1108</v>
      </c>
      <c r="S3">
        <f>MEDIAN(H2:H46)</f>
        <v>1</v>
      </c>
    </row>
    <row r="4" spans="1:20">
      <c r="A4" t="s">
        <v>6</v>
      </c>
      <c r="B4">
        <v>2</v>
      </c>
      <c r="C4">
        <v>0.40322580645161288</v>
      </c>
      <c r="G4" s="1">
        <v>0</v>
      </c>
      <c r="H4" s="1">
        <v>1.5</v>
      </c>
      <c r="I4" s="1">
        <v>3</v>
      </c>
      <c r="J4" s="1">
        <v>0</v>
      </c>
      <c r="K4" s="1">
        <v>3.5</v>
      </c>
      <c r="L4" s="1">
        <v>0</v>
      </c>
      <c r="M4" s="1">
        <v>3</v>
      </c>
      <c r="N4" s="1">
        <v>0</v>
      </c>
      <c r="R4" t="s">
        <v>1109</v>
      </c>
      <c r="S4">
        <f>MEDIAN(I2:I79)</f>
        <v>1</v>
      </c>
    </row>
    <row r="5" spans="1:20">
      <c r="A5" t="s">
        <v>11</v>
      </c>
      <c r="B5">
        <v>2</v>
      </c>
      <c r="C5">
        <v>0.40322580645161288</v>
      </c>
      <c r="G5" s="1">
        <v>0</v>
      </c>
      <c r="H5" s="1">
        <v>1.5</v>
      </c>
      <c r="I5" s="1">
        <v>3</v>
      </c>
      <c r="J5" s="1">
        <v>0</v>
      </c>
      <c r="K5" s="1">
        <v>3.5</v>
      </c>
      <c r="L5" s="1">
        <v>0</v>
      </c>
      <c r="M5" s="1">
        <v>2</v>
      </c>
      <c r="N5" s="1">
        <v>0</v>
      </c>
      <c r="R5" t="s">
        <v>1110</v>
      </c>
      <c r="S5">
        <f>STDEV(J2:J497)</f>
        <v>0</v>
      </c>
    </row>
    <row r="6" spans="1:20">
      <c r="A6" t="s">
        <v>12</v>
      </c>
      <c r="B6">
        <v>4</v>
      </c>
      <c r="C6">
        <v>0.80645161290322576</v>
      </c>
      <c r="G6" s="1">
        <v>0</v>
      </c>
      <c r="H6" s="1">
        <v>1</v>
      </c>
      <c r="I6" s="1">
        <v>3</v>
      </c>
      <c r="J6" s="1">
        <v>0</v>
      </c>
      <c r="K6" s="1">
        <v>3</v>
      </c>
      <c r="L6" s="1">
        <v>0</v>
      </c>
      <c r="M6" s="1">
        <v>0</v>
      </c>
      <c r="N6" s="1">
        <v>0</v>
      </c>
      <c r="R6" t="s">
        <v>1111</v>
      </c>
      <c r="S6">
        <f>MEDIAN(K2:K497)</f>
        <v>0</v>
      </c>
    </row>
    <row r="7" spans="1:20">
      <c r="A7" t="s">
        <v>10</v>
      </c>
      <c r="B7">
        <v>29</v>
      </c>
      <c r="C7">
        <v>5.846774193548387</v>
      </c>
      <c r="G7" s="1">
        <v>0</v>
      </c>
      <c r="H7" s="1">
        <v>1</v>
      </c>
      <c r="I7" s="1">
        <v>3</v>
      </c>
      <c r="J7" s="1">
        <v>0</v>
      </c>
      <c r="K7" s="1">
        <v>3</v>
      </c>
      <c r="L7" s="1">
        <v>0</v>
      </c>
      <c r="M7" s="1">
        <v>0</v>
      </c>
      <c r="N7" s="1">
        <v>0</v>
      </c>
      <c r="R7" t="s">
        <v>1112</v>
      </c>
      <c r="S7">
        <f>STDEV(L2:L497)</f>
        <v>0.12687177918872608</v>
      </c>
    </row>
    <row r="8" spans="1:20">
      <c r="A8" t="s">
        <v>7</v>
      </c>
      <c r="B8">
        <v>45</v>
      </c>
      <c r="C8">
        <v>9.07258064516129</v>
      </c>
      <c r="G8" s="1">
        <v>0</v>
      </c>
      <c r="H8" s="1">
        <v>1</v>
      </c>
      <c r="I8" s="1">
        <v>3</v>
      </c>
      <c r="J8" s="1">
        <v>0</v>
      </c>
      <c r="K8" s="1">
        <v>3</v>
      </c>
      <c r="L8" s="1">
        <v>0</v>
      </c>
      <c r="M8" s="1">
        <v>0</v>
      </c>
      <c r="N8" s="1">
        <v>0</v>
      </c>
      <c r="R8" t="s">
        <v>1113</v>
      </c>
      <c r="S8">
        <f>STDEV(M2:M497)</f>
        <v>0.24926578402388883</v>
      </c>
    </row>
    <row r="9" spans="1:20">
      <c r="A9" t="s">
        <v>8</v>
      </c>
      <c r="B9">
        <v>78</v>
      </c>
      <c r="C9">
        <v>15.725806451612904</v>
      </c>
      <c r="G9" s="1">
        <v>0</v>
      </c>
      <c r="H9" s="1">
        <v>1</v>
      </c>
      <c r="I9" s="1">
        <v>3</v>
      </c>
      <c r="J9" s="1">
        <v>0</v>
      </c>
      <c r="K9" s="1">
        <v>3</v>
      </c>
      <c r="L9" s="1">
        <v>0</v>
      </c>
      <c r="M9" s="1">
        <v>0</v>
      </c>
      <c r="N9" s="1">
        <v>0</v>
      </c>
      <c r="R9" t="s">
        <v>1114</v>
      </c>
      <c r="S9">
        <f>STDEV(N2:N496)</f>
        <v>2.2473328748774737E-2</v>
      </c>
    </row>
    <row r="10" spans="1:20">
      <c r="G10" s="1">
        <v>0</v>
      </c>
      <c r="H10" s="1">
        <v>1</v>
      </c>
      <c r="I10" s="1">
        <v>3</v>
      </c>
      <c r="J10" s="1">
        <v>0</v>
      </c>
      <c r="K10" s="1">
        <v>3</v>
      </c>
      <c r="L10" s="1">
        <v>0</v>
      </c>
      <c r="M10" s="1">
        <v>0</v>
      </c>
      <c r="N10" s="1">
        <v>0</v>
      </c>
    </row>
    <row r="11" spans="1:20">
      <c r="G11" s="1">
        <v>0</v>
      </c>
      <c r="H11" s="1">
        <v>1</v>
      </c>
      <c r="I11" s="1">
        <v>3</v>
      </c>
      <c r="J11" s="1">
        <v>0</v>
      </c>
      <c r="K11" s="1">
        <v>3</v>
      </c>
      <c r="L11" s="1">
        <v>0</v>
      </c>
      <c r="M11" s="1">
        <v>0</v>
      </c>
      <c r="N11" s="1">
        <v>0</v>
      </c>
    </row>
    <row r="12" spans="1:20">
      <c r="G12" s="1">
        <v>0</v>
      </c>
      <c r="H12" s="1">
        <v>1</v>
      </c>
      <c r="I12" s="1">
        <v>3</v>
      </c>
      <c r="J12" s="1">
        <v>0</v>
      </c>
      <c r="K12" s="1">
        <v>3</v>
      </c>
      <c r="L12" s="1">
        <v>0</v>
      </c>
      <c r="M12" s="1">
        <v>0</v>
      </c>
      <c r="N12" s="1">
        <v>0</v>
      </c>
    </row>
    <row r="13" spans="1:20">
      <c r="G13" s="1">
        <v>0</v>
      </c>
      <c r="H13" s="1">
        <v>1</v>
      </c>
      <c r="I13" s="1">
        <v>3</v>
      </c>
      <c r="J13" s="1">
        <v>0</v>
      </c>
      <c r="K13" s="1">
        <v>3</v>
      </c>
      <c r="L13" s="1">
        <v>0</v>
      </c>
      <c r="M13" s="1">
        <v>0</v>
      </c>
      <c r="N13" s="1">
        <v>0</v>
      </c>
    </row>
    <row r="14" spans="1:20">
      <c r="G14" s="1">
        <v>0</v>
      </c>
      <c r="H14" s="1">
        <v>1</v>
      </c>
      <c r="I14" s="1">
        <v>3</v>
      </c>
      <c r="J14" s="1">
        <v>0</v>
      </c>
      <c r="K14" s="1">
        <v>3</v>
      </c>
      <c r="L14" s="1">
        <v>0</v>
      </c>
      <c r="M14" s="1">
        <v>0</v>
      </c>
      <c r="N14" s="1">
        <v>0</v>
      </c>
    </row>
    <row r="15" spans="1:20">
      <c r="G15" s="1">
        <v>0</v>
      </c>
      <c r="H15" s="1">
        <v>1</v>
      </c>
      <c r="I15" s="1">
        <v>3</v>
      </c>
      <c r="J15" s="1">
        <v>0</v>
      </c>
      <c r="K15" s="1">
        <v>3</v>
      </c>
      <c r="L15" s="1">
        <v>0</v>
      </c>
      <c r="M15" s="1">
        <v>0</v>
      </c>
      <c r="N15" s="1">
        <v>0</v>
      </c>
    </row>
    <row r="16" spans="1:20">
      <c r="G16" s="1">
        <v>0</v>
      </c>
      <c r="H16" s="1">
        <v>1</v>
      </c>
      <c r="I16" s="1">
        <v>3</v>
      </c>
      <c r="J16" s="1">
        <v>0</v>
      </c>
      <c r="K16" s="1">
        <v>3</v>
      </c>
      <c r="L16" s="1">
        <v>0</v>
      </c>
      <c r="M16" s="1">
        <v>0</v>
      </c>
      <c r="N16" s="1">
        <v>0</v>
      </c>
    </row>
    <row r="17" spans="7:14">
      <c r="G17" s="1">
        <v>0</v>
      </c>
      <c r="H17" s="1">
        <v>1</v>
      </c>
      <c r="I17" s="1">
        <v>3</v>
      </c>
      <c r="J17" s="1">
        <v>0</v>
      </c>
      <c r="K17" s="1">
        <v>3</v>
      </c>
      <c r="L17" s="1">
        <v>0</v>
      </c>
      <c r="M17" s="1">
        <v>0</v>
      </c>
      <c r="N17" s="1">
        <v>0</v>
      </c>
    </row>
    <row r="18" spans="7:14">
      <c r="G18" s="1">
        <v>0</v>
      </c>
      <c r="H18" s="1">
        <v>1</v>
      </c>
      <c r="I18" s="1">
        <v>3</v>
      </c>
      <c r="J18" s="1">
        <v>0</v>
      </c>
      <c r="K18" s="1">
        <v>3</v>
      </c>
      <c r="L18" s="1">
        <v>0</v>
      </c>
      <c r="M18" s="1">
        <v>0</v>
      </c>
      <c r="N18" s="1">
        <v>0</v>
      </c>
    </row>
    <row r="19" spans="7:14">
      <c r="G19" s="1">
        <v>0</v>
      </c>
      <c r="H19" s="1">
        <v>1</v>
      </c>
      <c r="I19" s="1">
        <v>3</v>
      </c>
      <c r="J19" s="1">
        <v>0</v>
      </c>
      <c r="K19" s="1">
        <v>3</v>
      </c>
      <c r="L19" s="1">
        <v>0</v>
      </c>
      <c r="M19" s="1">
        <v>0</v>
      </c>
      <c r="N19" s="1">
        <v>0</v>
      </c>
    </row>
    <row r="20" spans="7:14">
      <c r="G20" s="1">
        <v>0</v>
      </c>
      <c r="H20" s="1">
        <v>1</v>
      </c>
      <c r="I20" s="1">
        <v>3</v>
      </c>
      <c r="J20" s="1">
        <v>0</v>
      </c>
      <c r="K20" s="1">
        <v>3</v>
      </c>
      <c r="L20" s="1">
        <v>0</v>
      </c>
      <c r="M20" s="1">
        <v>0</v>
      </c>
      <c r="N20" s="1">
        <v>0</v>
      </c>
    </row>
    <row r="21" spans="7:14">
      <c r="G21" s="1">
        <v>0</v>
      </c>
      <c r="H21" s="1">
        <v>1</v>
      </c>
      <c r="I21" s="1">
        <v>3</v>
      </c>
      <c r="J21" s="1">
        <v>0</v>
      </c>
      <c r="K21" s="1">
        <v>3</v>
      </c>
      <c r="L21" s="1">
        <v>0</v>
      </c>
      <c r="M21" s="1">
        <v>0</v>
      </c>
      <c r="N21" s="1">
        <v>0</v>
      </c>
    </row>
    <row r="22" spans="7:14">
      <c r="G22" s="1">
        <v>0</v>
      </c>
      <c r="H22" s="1">
        <v>1</v>
      </c>
      <c r="I22" s="1">
        <v>2.3333333330000001</v>
      </c>
      <c r="J22" s="1">
        <v>0</v>
      </c>
      <c r="K22" s="1">
        <v>3</v>
      </c>
      <c r="L22" s="1">
        <v>0</v>
      </c>
      <c r="M22" s="1">
        <v>0</v>
      </c>
      <c r="N22" s="1">
        <v>0</v>
      </c>
    </row>
    <row r="23" spans="7:14">
      <c r="G23" s="1">
        <v>0</v>
      </c>
      <c r="H23" s="1">
        <v>1</v>
      </c>
      <c r="I23" s="1">
        <v>1</v>
      </c>
      <c r="J23" s="1">
        <v>0</v>
      </c>
      <c r="K23" s="1">
        <v>3</v>
      </c>
      <c r="L23" s="1">
        <v>0</v>
      </c>
      <c r="M23" s="1">
        <v>0</v>
      </c>
      <c r="N23" s="1">
        <v>0</v>
      </c>
    </row>
    <row r="24" spans="7:14">
      <c r="G24" s="1">
        <v>0</v>
      </c>
      <c r="H24" s="1">
        <v>1</v>
      </c>
      <c r="I24" s="1">
        <v>1</v>
      </c>
      <c r="J24" s="1">
        <v>0</v>
      </c>
      <c r="K24" s="1">
        <v>3</v>
      </c>
      <c r="L24" s="1">
        <v>0</v>
      </c>
      <c r="M24" s="1">
        <v>0</v>
      </c>
      <c r="N24" s="1">
        <v>0</v>
      </c>
    </row>
    <row r="25" spans="7:14">
      <c r="G25" s="1">
        <v>0</v>
      </c>
      <c r="H25" s="1">
        <v>1</v>
      </c>
      <c r="I25" s="1">
        <v>1</v>
      </c>
      <c r="J25" s="1">
        <v>0</v>
      </c>
      <c r="K25" s="1">
        <v>3</v>
      </c>
      <c r="L25" s="1">
        <v>0</v>
      </c>
      <c r="M25" s="1">
        <v>0</v>
      </c>
      <c r="N25" s="1">
        <v>0</v>
      </c>
    </row>
    <row r="26" spans="7:14">
      <c r="G26" s="1">
        <v>0</v>
      </c>
      <c r="H26" s="1">
        <v>1</v>
      </c>
      <c r="I26" s="1">
        <v>1</v>
      </c>
      <c r="J26" s="1">
        <v>0</v>
      </c>
      <c r="K26" s="1">
        <v>3</v>
      </c>
      <c r="L26" s="1">
        <v>0</v>
      </c>
      <c r="M26" s="1">
        <v>0</v>
      </c>
      <c r="N26" s="1">
        <v>0</v>
      </c>
    </row>
    <row r="27" spans="7:14">
      <c r="G27" s="1">
        <v>0</v>
      </c>
      <c r="H27" s="1">
        <v>0.66666666699999999</v>
      </c>
      <c r="I27" s="1">
        <v>1</v>
      </c>
      <c r="J27" s="1">
        <v>0</v>
      </c>
      <c r="K27" s="1">
        <v>3</v>
      </c>
      <c r="L27" s="1">
        <v>0</v>
      </c>
      <c r="M27" s="1">
        <v>0</v>
      </c>
      <c r="N27" s="1">
        <v>0</v>
      </c>
    </row>
    <row r="28" spans="7:14">
      <c r="G28" s="1">
        <v>0</v>
      </c>
      <c r="H28" s="1">
        <v>0.5</v>
      </c>
      <c r="I28" s="1">
        <v>1</v>
      </c>
      <c r="J28" s="1">
        <v>0</v>
      </c>
      <c r="K28" s="1">
        <v>3</v>
      </c>
      <c r="L28" s="1">
        <v>0</v>
      </c>
      <c r="M28" s="1">
        <v>0</v>
      </c>
      <c r="N28" s="1">
        <v>0</v>
      </c>
    </row>
    <row r="29" spans="7:14">
      <c r="G29" s="1">
        <v>0</v>
      </c>
      <c r="H29" s="1">
        <v>0.5</v>
      </c>
      <c r="I29" s="1">
        <v>1</v>
      </c>
      <c r="J29" s="1">
        <v>0</v>
      </c>
      <c r="K29" s="1">
        <v>3</v>
      </c>
      <c r="L29" s="1">
        <v>0</v>
      </c>
      <c r="M29" s="1">
        <v>0</v>
      </c>
      <c r="N29" s="1">
        <v>0</v>
      </c>
    </row>
    <row r="30" spans="7:14">
      <c r="G30" s="1">
        <v>0</v>
      </c>
      <c r="H30" s="1">
        <v>0.5</v>
      </c>
      <c r="I30" s="1">
        <v>1</v>
      </c>
      <c r="J30" s="1">
        <v>0</v>
      </c>
      <c r="K30" s="1">
        <v>2</v>
      </c>
      <c r="L30" s="1">
        <v>0</v>
      </c>
      <c r="M30" s="1">
        <v>0</v>
      </c>
      <c r="N30" s="1">
        <v>0</v>
      </c>
    </row>
    <row r="31" spans="7:14">
      <c r="G31" s="1">
        <v>0</v>
      </c>
      <c r="H31" s="1">
        <v>0.5</v>
      </c>
      <c r="I31" s="1">
        <v>1</v>
      </c>
      <c r="J31" s="1">
        <v>0</v>
      </c>
      <c r="K31" s="1">
        <v>0</v>
      </c>
      <c r="L31" s="1">
        <v>0</v>
      </c>
      <c r="M31" s="1">
        <v>0</v>
      </c>
      <c r="N31" s="1">
        <v>0</v>
      </c>
    </row>
    <row r="32" spans="7:14">
      <c r="G32" s="1">
        <v>0</v>
      </c>
      <c r="H32" s="1">
        <v>0.5</v>
      </c>
      <c r="I32" s="1">
        <v>1</v>
      </c>
      <c r="J32" s="1">
        <v>0</v>
      </c>
      <c r="K32" s="1">
        <v>0</v>
      </c>
      <c r="L32" s="1">
        <v>0</v>
      </c>
      <c r="M32" s="1">
        <v>0</v>
      </c>
      <c r="N32" s="1">
        <v>0</v>
      </c>
    </row>
    <row r="33" spans="7:14">
      <c r="G33" s="1">
        <v>0</v>
      </c>
      <c r="H33" s="1">
        <v>0.5</v>
      </c>
      <c r="I33" s="1">
        <v>1</v>
      </c>
      <c r="J33" s="1">
        <v>0</v>
      </c>
      <c r="K33" s="1">
        <v>0</v>
      </c>
      <c r="L33" s="1">
        <v>0</v>
      </c>
      <c r="M33" s="1">
        <v>0</v>
      </c>
      <c r="N33" s="1">
        <v>0</v>
      </c>
    </row>
    <row r="34" spans="7:14">
      <c r="G34" s="1">
        <v>0</v>
      </c>
      <c r="H34" s="1">
        <v>0.5</v>
      </c>
      <c r="I34" s="1">
        <v>1</v>
      </c>
      <c r="J34" s="1">
        <v>0</v>
      </c>
      <c r="K34" s="1">
        <v>0</v>
      </c>
      <c r="L34" s="1">
        <v>0</v>
      </c>
      <c r="M34" s="1">
        <v>0</v>
      </c>
      <c r="N34" s="1">
        <v>0</v>
      </c>
    </row>
    <row r="35" spans="7:14">
      <c r="G35" s="1">
        <v>0</v>
      </c>
      <c r="H35" s="1">
        <v>0.5</v>
      </c>
      <c r="I35" s="1">
        <v>1</v>
      </c>
      <c r="J35" s="1">
        <v>0</v>
      </c>
      <c r="K35" s="1">
        <v>0</v>
      </c>
      <c r="L35" s="1">
        <v>0</v>
      </c>
      <c r="M35" s="1">
        <v>0</v>
      </c>
      <c r="N35" s="1">
        <v>0</v>
      </c>
    </row>
    <row r="36" spans="7:14">
      <c r="G36" s="1">
        <v>0</v>
      </c>
      <c r="H36" s="1">
        <v>0.5</v>
      </c>
      <c r="I36" s="1">
        <v>1</v>
      </c>
      <c r="J36" s="1">
        <v>0</v>
      </c>
      <c r="K36" s="1">
        <v>0</v>
      </c>
      <c r="L36" s="1">
        <v>0</v>
      </c>
      <c r="M36" s="1">
        <v>0</v>
      </c>
      <c r="N36" s="1">
        <v>0</v>
      </c>
    </row>
    <row r="37" spans="7:14">
      <c r="G37" s="1">
        <v>0</v>
      </c>
      <c r="H37" s="1">
        <v>0.5</v>
      </c>
      <c r="I37" s="1">
        <v>1</v>
      </c>
      <c r="J37" s="1">
        <v>0</v>
      </c>
      <c r="K37" s="1">
        <v>0</v>
      </c>
      <c r="L37" s="1">
        <v>0</v>
      </c>
      <c r="M37" s="1">
        <v>0</v>
      </c>
      <c r="N37" s="1">
        <v>0</v>
      </c>
    </row>
    <row r="38" spans="7:14">
      <c r="G38" s="1">
        <v>0</v>
      </c>
      <c r="H38" s="1">
        <v>0.5</v>
      </c>
      <c r="I38" s="1">
        <v>1</v>
      </c>
      <c r="J38" s="1">
        <v>0</v>
      </c>
      <c r="K38" s="1">
        <v>0</v>
      </c>
      <c r="L38" s="1">
        <v>0</v>
      </c>
      <c r="M38" s="1">
        <v>0</v>
      </c>
      <c r="N38" s="1">
        <v>0</v>
      </c>
    </row>
    <row r="39" spans="7:14">
      <c r="G39" s="1">
        <v>0</v>
      </c>
      <c r="H39" s="1">
        <v>0.5</v>
      </c>
      <c r="I39" s="1">
        <v>1</v>
      </c>
      <c r="J39" s="1">
        <v>0</v>
      </c>
      <c r="K39" s="1">
        <v>0</v>
      </c>
      <c r="L39" s="1">
        <v>0</v>
      </c>
      <c r="M39" s="1">
        <v>0</v>
      </c>
      <c r="N39" s="1">
        <v>0</v>
      </c>
    </row>
    <row r="40" spans="7:14">
      <c r="G40" s="1">
        <v>0</v>
      </c>
      <c r="H40" s="1">
        <v>0.5</v>
      </c>
      <c r="I40" s="1">
        <v>1</v>
      </c>
      <c r="J40" s="1">
        <v>0</v>
      </c>
      <c r="K40" s="1">
        <v>0</v>
      </c>
      <c r="L40" s="1">
        <v>0</v>
      </c>
      <c r="M40" s="1">
        <v>0</v>
      </c>
      <c r="N40" s="1">
        <v>0</v>
      </c>
    </row>
    <row r="41" spans="7:14">
      <c r="G41" s="1">
        <v>0</v>
      </c>
      <c r="H41" s="1">
        <v>0.5</v>
      </c>
      <c r="I41" s="1">
        <v>1</v>
      </c>
      <c r="J41" s="1">
        <v>0</v>
      </c>
      <c r="K41" s="1">
        <v>0</v>
      </c>
      <c r="L41" s="1">
        <v>0</v>
      </c>
      <c r="M41" s="1">
        <v>0</v>
      </c>
      <c r="N41" s="1">
        <v>0</v>
      </c>
    </row>
    <row r="42" spans="7:14">
      <c r="G42" s="1">
        <v>0</v>
      </c>
      <c r="H42" s="1">
        <v>0.5</v>
      </c>
      <c r="I42" s="1">
        <v>1</v>
      </c>
      <c r="J42" s="1">
        <v>0</v>
      </c>
      <c r="K42" s="1">
        <v>0</v>
      </c>
      <c r="L42" s="1">
        <v>0</v>
      </c>
      <c r="M42" s="1">
        <v>0</v>
      </c>
      <c r="N42" s="1">
        <v>0</v>
      </c>
    </row>
    <row r="43" spans="7:14">
      <c r="G43" s="1">
        <v>0</v>
      </c>
      <c r="H43" s="1">
        <v>0.5</v>
      </c>
      <c r="I43" s="1">
        <v>1</v>
      </c>
      <c r="J43" s="1">
        <v>0</v>
      </c>
      <c r="K43" s="1">
        <v>0</v>
      </c>
      <c r="L43" s="1">
        <v>0</v>
      </c>
      <c r="M43" s="1">
        <v>0</v>
      </c>
      <c r="N43" s="1">
        <v>0</v>
      </c>
    </row>
    <row r="44" spans="7:14">
      <c r="G44" s="1">
        <v>0</v>
      </c>
      <c r="H44" s="1">
        <v>0.33333333300000001</v>
      </c>
      <c r="I44" s="1">
        <v>1</v>
      </c>
      <c r="J44" s="1">
        <v>0</v>
      </c>
      <c r="K44" s="1">
        <v>0</v>
      </c>
      <c r="L44" s="1">
        <v>0</v>
      </c>
      <c r="M44" s="1">
        <v>0</v>
      </c>
      <c r="N44" s="1">
        <v>0</v>
      </c>
    </row>
    <row r="45" spans="7:14">
      <c r="G45" s="1">
        <v>0</v>
      </c>
      <c r="H45" s="1">
        <v>0.33333333300000001</v>
      </c>
      <c r="I45" s="1">
        <v>1</v>
      </c>
      <c r="J45" s="1">
        <v>0</v>
      </c>
      <c r="K45" s="1">
        <v>0</v>
      </c>
      <c r="L45" s="1">
        <v>0</v>
      </c>
      <c r="M45" s="1">
        <v>0</v>
      </c>
      <c r="N45" s="1">
        <v>0</v>
      </c>
    </row>
    <row r="46" spans="7:14">
      <c r="G46" s="1">
        <v>0</v>
      </c>
      <c r="H46" s="1">
        <v>0.25</v>
      </c>
      <c r="I46" s="1">
        <v>1</v>
      </c>
      <c r="J46" s="1">
        <v>0</v>
      </c>
      <c r="K46" s="1">
        <v>0</v>
      </c>
      <c r="L46" s="1">
        <v>0</v>
      </c>
      <c r="M46" s="1">
        <v>0</v>
      </c>
      <c r="N46" s="1">
        <v>0</v>
      </c>
    </row>
    <row r="47" spans="7:14">
      <c r="G47" s="1">
        <v>0</v>
      </c>
      <c r="H47" s="1">
        <v>0</v>
      </c>
      <c r="I47" s="1">
        <v>1</v>
      </c>
      <c r="J47" s="1">
        <v>0</v>
      </c>
      <c r="K47" s="1">
        <v>0</v>
      </c>
      <c r="L47" s="1">
        <v>0</v>
      </c>
      <c r="M47" s="1">
        <v>0</v>
      </c>
      <c r="N47" s="1">
        <v>0</v>
      </c>
    </row>
    <row r="48" spans="7:14">
      <c r="G48" s="1">
        <v>0</v>
      </c>
      <c r="H48" s="1">
        <v>0</v>
      </c>
      <c r="I48" s="1">
        <v>1</v>
      </c>
      <c r="J48" s="1">
        <v>0</v>
      </c>
      <c r="K48" s="1">
        <v>0</v>
      </c>
      <c r="L48" s="1">
        <v>0</v>
      </c>
      <c r="M48" s="1">
        <v>0</v>
      </c>
      <c r="N48" s="1">
        <v>0</v>
      </c>
    </row>
    <row r="49" spans="7:14">
      <c r="G49" s="1">
        <v>0</v>
      </c>
      <c r="H49" s="1">
        <v>0</v>
      </c>
      <c r="I49" s="1">
        <v>1</v>
      </c>
      <c r="J49" s="1">
        <v>0</v>
      </c>
      <c r="K49" s="1">
        <v>0</v>
      </c>
      <c r="L49" s="1">
        <v>0</v>
      </c>
      <c r="M49" s="1">
        <v>0</v>
      </c>
      <c r="N49" s="1">
        <v>0</v>
      </c>
    </row>
    <row r="50" spans="7:14">
      <c r="G50" s="1">
        <v>0</v>
      </c>
      <c r="H50" s="1">
        <v>0</v>
      </c>
      <c r="I50" s="1">
        <v>1</v>
      </c>
      <c r="J50" s="1">
        <v>0</v>
      </c>
      <c r="K50" s="1">
        <v>0</v>
      </c>
      <c r="L50" s="1">
        <v>0</v>
      </c>
      <c r="M50" s="1">
        <v>0</v>
      </c>
      <c r="N50" s="1">
        <v>0</v>
      </c>
    </row>
    <row r="51" spans="7:14">
      <c r="G51" s="1">
        <v>0</v>
      </c>
      <c r="H51" s="1">
        <v>0</v>
      </c>
      <c r="I51" s="1">
        <v>1</v>
      </c>
      <c r="J51" s="1">
        <v>0</v>
      </c>
      <c r="K51" s="1">
        <v>0</v>
      </c>
      <c r="L51" s="1">
        <v>0</v>
      </c>
      <c r="M51" s="1">
        <v>0</v>
      </c>
      <c r="N51" s="1">
        <v>0</v>
      </c>
    </row>
    <row r="52" spans="7:14">
      <c r="G52" s="1">
        <v>0</v>
      </c>
      <c r="H52" s="1">
        <v>0</v>
      </c>
      <c r="I52" s="1">
        <v>1</v>
      </c>
      <c r="J52" s="1">
        <v>0</v>
      </c>
      <c r="K52" s="1">
        <v>0</v>
      </c>
      <c r="L52" s="1">
        <v>0</v>
      </c>
      <c r="M52" s="1">
        <v>0</v>
      </c>
      <c r="N52" s="1">
        <v>0</v>
      </c>
    </row>
    <row r="53" spans="7:14">
      <c r="G53" s="1">
        <v>0</v>
      </c>
      <c r="H53" s="1">
        <v>0</v>
      </c>
      <c r="I53" s="1">
        <v>1</v>
      </c>
      <c r="J53" s="1">
        <v>0</v>
      </c>
      <c r="K53" s="1">
        <v>0</v>
      </c>
      <c r="L53" s="1">
        <v>0</v>
      </c>
      <c r="M53" s="1">
        <v>0</v>
      </c>
      <c r="N53" s="1">
        <v>0</v>
      </c>
    </row>
    <row r="54" spans="7:14">
      <c r="G54" s="1">
        <v>0</v>
      </c>
      <c r="H54" s="1">
        <v>0</v>
      </c>
      <c r="I54" s="1">
        <v>1</v>
      </c>
      <c r="J54" s="1">
        <v>0</v>
      </c>
      <c r="K54" s="1">
        <v>0</v>
      </c>
      <c r="L54" s="1">
        <v>0</v>
      </c>
      <c r="M54" s="1">
        <v>0</v>
      </c>
      <c r="N54" s="1">
        <v>0</v>
      </c>
    </row>
    <row r="55" spans="7:14">
      <c r="G55" s="1">
        <v>0</v>
      </c>
      <c r="H55" s="1">
        <v>0</v>
      </c>
      <c r="I55" s="1">
        <v>1</v>
      </c>
      <c r="J55" s="1">
        <v>0</v>
      </c>
      <c r="K55" s="1">
        <v>0</v>
      </c>
      <c r="L55" s="1">
        <v>0</v>
      </c>
      <c r="M55" s="1">
        <v>0</v>
      </c>
      <c r="N55" s="1">
        <v>0</v>
      </c>
    </row>
    <row r="56" spans="7:14">
      <c r="G56" s="1">
        <v>0</v>
      </c>
      <c r="H56" s="1">
        <v>0</v>
      </c>
      <c r="I56" s="1">
        <v>1</v>
      </c>
      <c r="J56" s="1">
        <v>0</v>
      </c>
      <c r="K56" s="1">
        <v>0</v>
      </c>
      <c r="L56" s="1">
        <v>0</v>
      </c>
      <c r="M56" s="1">
        <v>0</v>
      </c>
      <c r="N56" s="1">
        <v>0</v>
      </c>
    </row>
    <row r="57" spans="7:14">
      <c r="G57" s="1">
        <v>0</v>
      </c>
      <c r="H57" s="1">
        <v>0</v>
      </c>
      <c r="I57" s="1">
        <v>1</v>
      </c>
      <c r="J57" s="1">
        <v>0</v>
      </c>
      <c r="K57" s="1">
        <v>0</v>
      </c>
      <c r="L57" s="1">
        <v>0</v>
      </c>
      <c r="M57" s="1">
        <v>0</v>
      </c>
      <c r="N57" s="1">
        <v>0</v>
      </c>
    </row>
    <row r="58" spans="7:14">
      <c r="G58" s="1">
        <v>0</v>
      </c>
      <c r="H58" s="1">
        <v>0</v>
      </c>
      <c r="I58" s="1">
        <v>1</v>
      </c>
      <c r="J58" s="1">
        <v>0</v>
      </c>
      <c r="K58" s="1">
        <v>0</v>
      </c>
      <c r="L58" s="1">
        <v>0</v>
      </c>
      <c r="M58" s="1">
        <v>0</v>
      </c>
      <c r="N58" s="1">
        <v>0</v>
      </c>
    </row>
    <row r="59" spans="7:14">
      <c r="G59" s="1">
        <v>0</v>
      </c>
      <c r="H59" s="1">
        <v>0</v>
      </c>
      <c r="I59" s="1">
        <v>1</v>
      </c>
      <c r="J59" s="1">
        <v>0</v>
      </c>
      <c r="K59" s="1">
        <v>0</v>
      </c>
      <c r="L59" s="1">
        <v>0</v>
      </c>
      <c r="M59" s="1">
        <v>0</v>
      </c>
      <c r="N59" s="1">
        <v>0</v>
      </c>
    </row>
    <row r="60" spans="7:14">
      <c r="G60" s="1">
        <v>0</v>
      </c>
      <c r="H60" s="1">
        <v>0</v>
      </c>
      <c r="I60" s="1">
        <v>1</v>
      </c>
      <c r="J60" s="1">
        <v>0</v>
      </c>
      <c r="K60" s="1">
        <v>0</v>
      </c>
      <c r="L60" s="1">
        <v>0</v>
      </c>
      <c r="M60" s="1">
        <v>0</v>
      </c>
      <c r="N60" s="1">
        <v>0</v>
      </c>
    </row>
    <row r="61" spans="7:14">
      <c r="G61" s="1">
        <v>0</v>
      </c>
      <c r="H61" s="1">
        <v>0</v>
      </c>
      <c r="I61" s="1">
        <v>1</v>
      </c>
      <c r="J61" s="1">
        <v>0</v>
      </c>
      <c r="K61" s="1">
        <v>0</v>
      </c>
      <c r="L61" s="1">
        <v>0</v>
      </c>
      <c r="M61" s="1">
        <v>0</v>
      </c>
      <c r="N61" s="1">
        <v>0</v>
      </c>
    </row>
    <row r="62" spans="7:14">
      <c r="G62" s="1">
        <v>0</v>
      </c>
      <c r="H62" s="1">
        <v>0</v>
      </c>
      <c r="I62" s="1">
        <v>1</v>
      </c>
      <c r="J62" s="1">
        <v>0</v>
      </c>
      <c r="K62" s="1">
        <v>0</v>
      </c>
      <c r="L62" s="1">
        <v>0</v>
      </c>
      <c r="M62" s="1">
        <v>0</v>
      </c>
      <c r="N62" s="1">
        <v>0</v>
      </c>
    </row>
    <row r="63" spans="7:14">
      <c r="G63" s="1">
        <v>0</v>
      </c>
      <c r="H63" s="1">
        <v>0</v>
      </c>
      <c r="I63" s="1">
        <v>1</v>
      </c>
      <c r="J63" s="1">
        <v>0</v>
      </c>
      <c r="K63" s="1">
        <v>0</v>
      </c>
      <c r="L63" s="1">
        <v>0</v>
      </c>
      <c r="M63" s="1">
        <v>0</v>
      </c>
      <c r="N63" s="1">
        <v>0</v>
      </c>
    </row>
    <row r="64" spans="7:14">
      <c r="G64" s="1">
        <v>0</v>
      </c>
      <c r="H64" s="1">
        <v>0</v>
      </c>
      <c r="I64" s="1">
        <v>1</v>
      </c>
      <c r="J64" s="1">
        <v>0</v>
      </c>
      <c r="K64" s="1">
        <v>0</v>
      </c>
      <c r="L64" s="1">
        <v>0</v>
      </c>
      <c r="M64" s="1">
        <v>0</v>
      </c>
      <c r="N64" s="1">
        <v>0</v>
      </c>
    </row>
    <row r="65" spans="7:14">
      <c r="G65" s="1">
        <v>0</v>
      </c>
      <c r="H65" s="1">
        <v>0</v>
      </c>
      <c r="I65" s="1">
        <v>1</v>
      </c>
      <c r="J65" s="1">
        <v>0</v>
      </c>
      <c r="K65" s="1">
        <v>0</v>
      </c>
      <c r="L65" s="1">
        <v>0</v>
      </c>
      <c r="M65" s="1">
        <v>0</v>
      </c>
      <c r="N65" s="1">
        <v>0</v>
      </c>
    </row>
    <row r="66" spans="7:14">
      <c r="G66" s="1">
        <v>0</v>
      </c>
      <c r="H66" s="1">
        <v>0</v>
      </c>
      <c r="I66" s="1">
        <v>1</v>
      </c>
      <c r="J66" s="1">
        <v>0</v>
      </c>
      <c r="K66" s="1">
        <v>0</v>
      </c>
      <c r="L66" s="1">
        <v>0</v>
      </c>
      <c r="M66" s="1">
        <v>0</v>
      </c>
      <c r="N66" s="1">
        <v>0</v>
      </c>
    </row>
    <row r="67" spans="7:14">
      <c r="G67" s="1">
        <v>0</v>
      </c>
      <c r="H67" s="1">
        <v>0</v>
      </c>
      <c r="I67" s="1">
        <v>1</v>
      </c>
      <c r="J67" s="1">
        <v>0</v>
      </c>
      <c r="K67" s="1">
        <v>0</v>
      </c>
      <c r="L67" s="1">
        <v>0</v>
      </c>
      <c r="M67" s="1">
        <v>0</v>
      </c>
      <c r="N67" s="1">
        <v>0</v>
      </c>
    </row>
    <row r="68" spans="7:14">
      <c r="G68" s="1">
        <v>0</v>
      </c>
      <c r="H68" s="1">
        <v>0</v>
      </c>
      <c r="I68" s="1">
        <v>1</v>
      </c>
      <c r="J68" s="1">
        <v>0</v>
      </c>
      <c r="K68" s="1">
        <v>0</v>
      </c>
      <c r="L68" s="1">
        <v>0</v>
      </c>
      <c r="M68" s="1">
        <v>0</v>
      </c>
      <c r="N68" s="1">
        <v>0</v>
      </c>
    </row>
    <row r="69" spans="7:14">
      <c r="G69" s="1">
        <v>0</v>
      </c>
      <c r="H69" s="1">
        <v>0</v>
      </c>
      <c r="I69" s="1">
        <v>1</v>
      </c>
      <c r="J69" s="1">
        <v>0</v>
      </c>
      <c r="K69" s="1">
        <v>0</v>
      </c>
      <c r="L69" s="1">
        <v>0</v>
      </c>
      <c r="M69" s="1">
        <v>0</v>
      </c>
      <c r="N69" s="1">
        <v>0</v>
      </c>
    </row>
    <row r="70" spans="7:14">
      <c r="G70" s="1">
        <v>0</v>
      </c>
      <c r="H70" s="1">
        <v>0</v>
      </c>
      <c r="I70" s="1">
        <v>1</v>
      </c>
      <c r="J70" s="1">
        <v>0</v>
      </c>
      <c r="K70" s="1">
        <v>0</v>
      </c>
      <c r="L70" s="1">
        <v>0</v>
      </c>
      <c r="M70" s="1">
        <v>0</v>
      </c>
      <c r="N70" s="1">
        <v>0</v>
      </c>
    </row>
    <row r="71" spans="7:14">
      <c r="G71" s="1">
        <v>0</v>
      </c>
      <c r="H71" s="1">
        <v>0</v>
      </c>
      <c r="I71" s="1">
        <v>1</v>
      </c>
      <c r="J71" s="1">
        <v>0</v>
      </c>
      <c r="K71" s="1">
        <v>0</v>
      </c>
      <c r="L71" s="1">
        <v>0</v>
      </c>
      <c r="M71" s="1">
        <v>0</v>
      </c>
      <c r="N71" s="1">
        <v>0</v>
      </c>
    </row>
    <row r="72" spans="7:14">
      <c r="G72" s="1">
        <v>0</v>
      </c>
      <c r="H72" s="1">
        <v>0</v>
      </c>
      <c r="I72" s="1">
        <v>1</v>
      </c>
      <c r="J72" s="1">
        <v>0</v>
      </c>
      <c r="K72" s="1">
        <v>0</v>
      </c>
      <c r="L72" s="1">
        <v>0</v>
      </c>
      <c r="M72" s="1">
        <v>0</v>
      </c>
      <c r="N72" s="1">
        <v>0</v>
      </c>
    </row>
    <row r="73" spans="7:14">
      <c r="G73" s="1">
        <v>0</v>
      </c>
      <c r="H73" s="1">
        <v>0</v>
      </c>
      <c r="I73" s="1">
        <v>1</v>
      </c>
      <c r="J73" s="1">
        <v>0</v>
      </c>
      <c r="K73" s="1">
        <v>0</v>
      </c>
      <c r="L73" s="1">
        <v>0</v>
      </c>
      <c r="M73" s="1">
        <v>0</v>
      </c>
      <c r="N73" s="1">
        <v>0</v>
      </c>
    </row>
    <row r="74" spans="7:14">
      <c r="G74" s="1">
        <v>0</v>
      </c>
      <c r="H74" s="1">
        <v>0</v>
      </c>
      <c r="I74" s="1">
        <v>1</v>
      </c>
      <c r="J74" s="1">
        <v>0</v>
      </c>
      <c r="K74" s="1">
        <v>0</v>
      </c>
      <c r="L74" s="1">
        <v>0</v>
      </c>
      <c r="M74" s="1">
        <v>0</v>
      </c>
      <c r="N74" s="1">
        <v>0</v>
      </c>
    </row>
    <row r="75" spans="7:14">
      <c r="G75" s="1">
        <v>0</v>
      </c>
      <c r="H75" s="1">
        <v>0</v>
      </c>
      <c r="I75" s="1">
        <v>1</v>
      </c>
      <c r="J75" s="1">
        <v>0</v>
      </c>
      <c r="K75" s="1">
        <v>0</v>
      </c>
      <c r="L75" s="1">
        <v>0</v>
      </c>
      <c r="M75" s="1">
        <v>0</v>
      </c>
      <c r="N75" s="1">
        <v>0</v>
      </c>
    </row>
    <row r="76" spans="7:14">
      <c r="G76" s="1">
        <v>0</v>
      </c>
      <c r="H76" s="1">
        <v>0</v>
      </c>
      <c r="I76" s="1">
        <v>1</v>
      </c>
      <c r="J76" s="1">
        <v>0</v>
      </c>
      <c r="K76" s="1">
        <v>0</v>
      </c>
      <c r="L76" s="1">
        <v>0</v>
      </c>
      <c r="M76" s="1">
        <v>0</v>
      </c>
      <c r="N76" s="1">
        <v>0</v>
      </c>
    </row>
    <row r="77" spans="7:14">
      <c r="G77" s="1">
        <v>0</v>
      </c>
      <c r="H77" s="1">
        <v>0</v>
      </c>
      <c r="I77" s="1">
        <v>1</v>
      </c>
      <c r="J77" s="1">
        <v>0</v>
      </c>
      <c r="K77" s="1">
        <v>0</v>
      </c>
      <c r="L77" s="1">
        <v>0</v>
      </c>
      <c r="M77" s="1">
        <v>0</v>
      </c>
      <c r="N77" s="1">
        <v>0</v>
      </c>
    </row>
    <row r="78" spans="7:14">
      <c r="G78" s="1">
        <v>0</v>
      </c>
      <c r="H78" s="1">
        <v>0</v>
      </c>
      <c r="I78" s="1">
        <v>1</v>
      </c>
      <c r="J78" s="1">
        <v>0</v>
      </c>
      <c r="K78" s="1">
        <v>0</v>
      </c>
      <c r="L78" s="1">
        <v>0</v>
      </c>
      <c r="M78" s="1">
        <v>0</v>
      </c>
      <c r="N78" s="1">
        <v>0</v>
      </c>
    </row>
    <row r="79" spans="7:14">
      <c r="G79" s="1">
        <v>0</v>
      </c>
      <c r="H79" s="1">
        <v>0</v>
      </c>
      <c r="I79" s="1">
        <v>1</v>
      </c>
      <c r="J79" s="1">
        <v>0</v>
      </c>
      <c r="K79" s="1">
        <v>0</v>
      </c>
      <c r="L79" s="1">
        <v>0</v>
      </c>
      <c r="M79" s="1">
        <v>0</v>
      </c>
      <c r="N79" s="1">
        <v>0</v>
      </c>
    </row>
    <row r="80" spans="7:14">
      <c r="G80" s="1">
        <v>0</v>
      </c>
      <c r="H80" s="1">
        <v>0</v>
      </c>
      <c r="I80" s="1">
        <v>0</v>
      </c>
      <c r="J80" s="1">
        <v>0</v>
      </c>
      <c r="K80" s="1">
        <v>0</v>
      </c>
      <c r="L80" s="1">
        <v>0</v>
      </c>
      <c r="M80" s="1">
        <v>0</v>
      </c>
      <c r="N80" s="1">
        <v>0</v>
      </c>
    </row>
    <row r="81" spans="7:14">
      <c r="G81" s="1">
        <v>0</v>
      </c>
      <c r="H81" s="1">
        <v>0</v>
      </c>
      <c r="I81" s="1">
        <v>0</v>
      </c>
      <c r="J81" s="1">
        <v>0</v>
      </c>
      <c r="K81" s="1">
        <v>0</v>
      </c>
      <c r="L81" s="1">
        <v>0</v>
      </c>
      <c r="M81" s="1">
        <v>0</v>
      </c>
      <c r="N81" s="1">
        <v>0</v>
      </c>
    </row>
    <row r="82" spans="7:14">
      <c r="G82" s="1">
        <v>0</v>
      </c>
      <c r="H82" s="1">
        <v>0</v>
      </c>
      <c r="I82" s="1">
        <v>0</v>
      </c>
      <c r="J82" s="1">
        <v>0</v>
      </c>
      <c r="K82" s="1">
        <v>0</v>
      </c>
      <c r="L82" s="1">
        <v>0</v>
      </c>
      <c r="M82" s="1">
        <v>0</v>
      </c>
      <c r="N82" s="1">
        <v>0</v>
      </c>
    </row>
    <row r="83" spans="7:14">
      <c r="G83" s="1">
        <v>0</v>
      </c>
      <c r="H83" s="1">
        <v>0</v>
      </c>
      <c r="I83" s="1">
        <v>0</v>
      </c>
      <c r="J83" s="1">
        <v>0</v>
      </c>
      <c r="K83" s="1">
        <v>0</v>
      </c>
      <c r="L83" s="1">
        <v>0</v>
      </c>
      <c r="M83" s="1">
        <v>0</v>
      </c>
      <c r="N83" s="1">
        <v>0</v>
      </c>
    </row>
    <row r="84" spans="7:14">
      <c r="G84" s="1">
        <v>0</v>
      </c>
      <c r="H84" s="1">
        <v>0</v>
      </c>
      <c r="I84" s="1">
        <v>0</v>
      </c>
      <c r="J84" s="1">
        <v>0</v>
      </c>
      <c r="K84" s="1">
        <v>0</v>
      </c>
      <c r="L84" s="1">
        <v>0</v>
      </c>
      <c r="M84" s="1">
        <v>0</v>
      </c>
      <c r="N84" s="1">
        <v>0</v>
      </c>
    </row>
    <row r="85" spans="7:14">
      <c r="G85" s="1">
        <v>0</v>
      </c>
      <c r="H85" s="1">
        <v>0</v>
      </c>
      <c r="I85" s="1">
        <v>0</v>
      </c>
      <c r="J85" s="1">
        <v>0</v>
      </c>
      <c r="K85" s="1">
        <v>0</v>
      </c>
      <c r="L85" s="1">
        <v>0</v>
      </c>
      <c r="M85" s="1">
        <v>0</v>
      </c>
      <c r="N85" s="1">
        <v>0</v>
      </c>
    </row>
    <row r="86" spans="7:14">
      <c r="G86" s="1">
        <v>0</v>
      </c>
      <c r="H86" s="1">
        <v>0</v>
      </c>
      <c r="I86" s="1">
        <v>0</v>
      </c>
      <c r="J86" s="1">
        <v>0</v>
      </c>
      <c r="K86" s="1">
        <v>0</v>
      </c>
      <c r="L86" s="1">
        <v>0</v>
      </c>
      <c r="M86" s="1">
        <v>0</v>
      </c>
      <c r="N86" s="1">
        <v>0</v>
      </c>
    </row>
    <row r="87" spans="7:14">
      <c r="G87" s="1">
        <v>0</v>
      </c>
      <c r="H87" s="1">
        <v>0</v>
      </c>
      <c r="I87" s="1">
        <v>0</v>
      </c>
      <c r="J87" s="1">
        <v>0</v>
      </c>
      <c r="K87" s="1">
        <v>0</v>
      </c>
      <c r="L87" s="1">
        <v>0</v>
      </c>
      <c r="M87" s="1">
        <v>0</v>
      </c>
      <c r="N87" s="1">
        <v>0</v>
      </c>
    </row>
    <row r="88" spans="7:14">
      <c r="G88" s="1">
        <v>0</v>
      </c>
      <c r="H88" s="1">
        <v>0</v>
      </c>
      <c r="I88" s="1">
        <v>0</v>
      </c>
      <c r="J88" s="1">
        <v>0</v>
      </c>
      <c r="K88" s="1">
        <v>0</v>
      </c>
      <c r="L88" s="1">
        <v>0</v>
      </c>
      <c r="M88" s="1">
        <v>0</v>
      </c>
      <c r="N88" s="1">
        <v>0</v>
      </c>
    </row>
    <row r="89" spans="7:14">
      <c r="G89" s="1">
        <v>0</v>
      </c>
      <c r="H89" s="1">
        <v>0</v>
      </c>
      <c r="I89" s="1">
        <v>0</v>
      </c>
      <c r="J89" s="1">
        <v>0</v>
      </c>
      <c r="K89" s="1">
        <v>0</v>
      </c>
      <c r="L89" s="1">
        <v>0</v>
      </c>
      <c r="M89" s="1">
        <v>0</v>
      </c>
      <c r="N89" s="1">
        <v>0</v>
      </c>
    </row>
    <row r="90" spans="7:14">
      <c r="G90" s="1">
        <v>0</v>
      </c>
      <c r="H90" s="1">
        <v>0</v>
      </c>
      <c r="I90" s="1">
        <v>0</v>
      </c>
      <c r="J90" s="1">
        <v>0</v>
      </c>
      <c r="K90" s="1">
        <v>0</v>
      </c>
      <c r="L90" s="1">
        <v>0</v>
      </c>
      <c r="M90" s="1">
        <v>0</v>
      </c>
      <c r="N90" s="1">
        <v>0</v>
      </c>
    </row>
    <row r="91" spans="7:14">
      <c r="G91" s="1">
        <v>0</v>
      </c>
      <c r="H91" s="1">
        <v>0</v>
      </c>
      <c r="I91" s="1">
        <v>0</v>
      </c>
      <c r="J91" s="1">
        <v>0</v>
      </c>
      <c r="K91" s="1">
        <v>0</v>
      </c>
      <c r="L91" s="1">
        <v>0</v>
      </c>
      <c r="M91" s="1">
        <v>0</v>
      </c>
      <c r="N91" s="1">
        <v>0</v>
      </c>
    </row>
    <row r="92" spans="7:14">
      <c r="G92" s="1">
        <v>0</v>
      </c>
      <c r="H92" s="1">
        <v>0</v>
      </c>
      <c r="I92" s="1">
        <v>0</v>
      </c>
      <c r="J92" s="1">
        <v>0</v>
      </c>
      <c r="K92" s="1">
        <v>0</v>
      </c>
      <c r="L92" s="1">
        <v>0</v>
      </c>
      <c r="M92" s="1">
        <v>0</v>
      </c>
      <c r="N92" s="1">
        <v>0</v>
      </c>
    </row>
    <row r="93" spans="7:14">
      <c r="G93" s="1">
        <v>0</v>
      </c>
      <c r="H93" s="1">
        <v>0</v>
      </c>
      <c r="I93" s="1">
        <v>0</v>
      </c>
      <c r="J93" s="1">
        <v>0</v>
      </c>
      <c r="K93" s="1">
        <v>0</v>
      </c>
      <c r="L93" s="1">
        <v>0</v>
      </c>
      <c r="M93" s="1">
        <v>0</v>
      </c>
      <c r="N93" s="1">
        <v>0</v>
      </c>
    </row>
    <row r="94" spans="7:14">
      <c r="G94" s="1">
        <v>0</v>
      </c>
      <c r="H94" s="1">
        <v>0</v>
      </c>
      <c r="I94" s="1">
        <v>0</v>
      </c>
      <c r="J94" s="1">
        <v>0</v>
      </c>
      <c r="K94" s="1">
        <v>0</v>
      </c>
      <c r="L94" s="1">
        <v>0</v>
      </c>
      <c r="M94" s="1">
        <v>0</v>
      </c>
      <c r="N94" s="1">
        <v>0</v>
      </c>
    </row>
    <row r="95" spans="7:14">
      <c r="G95" s="1">
        <v>0</v>
      </c>
      <c r="H95" s="1">
        <v>0</v>
      </c>
      <c r="I95" s="1">
        <v>0</v>
      </c>
      <c r="J95" s="1">
        <v>0</v>
      </c>
      <c r="K95" s="1">
        <v>0</v>
      </c>
      <c r="L95" s="1">
        <v>0</v>
      </c>
      <c r="M95" s="1">
        <v>0</v>
      </c>
      <c r="N95" s="1">
        <v>0</v>
      </c>
    </row>
    <row r="96" spans="7:14">
      <c r="G96" s="1">
        <v>0</v>
      </c>
      <c r="H96" s="1">
        <v>0</v>
      </c>
      <c r="I96" s="1">
        <v>0</v>
      </c>
      <c r="J96" s="1">
        <v>0</v>
      </c>
      <c r="K96" s="1">
        <v>0</v>
      </c>
      <c r="L96" s="1">
        <v>0</v>
      </c>
      <c r="M96" s="1">
        <v>0</v>
      </c>
      <c r="N96" s="1">
        <v>0</v>
      </c>
    </row>
    <row r="97" spans="7:14">
      <c r="G97" s="1">
        <v>0</v>
      </c>
      <c r="H97" s="1">
        <v>0</v>
      </c>
      <c r="I97" s="1">
        <v>0</v>
      </c>
      <c r="J97" s="1">
        <v>0</v>
      </c>
      <c r="K97" s="1">
        <v>0</v>
      </c>
      <c r="L97" s="1">
        <v>0</v>
      </c>
      <c r="M97" s="1">
        <v>0</v>
      </c>
      <c r="N97" s="1">
        <v>0</v>
      </c>
    </row>
    <row r="98" spans="7:14">
      <c r="G98" s="1">
        <v>0</v>
      </c>
      <c r="H98" s="1">
        <v>0</v>
      </c>
      <c r="I98" s="1">
        <v>0</v>
      </c>
      <c r="J98" s="1">
        <v>0</v>
      </c>
      <c r="K98" s="1">
        <v>0</v>
      </c>
      <c r="L98" s="1">
        <v>0</v>
      </c>
      <c r="M98" s="1">
        <v>0</v>
      </c>
      <c r="N98" s="1">
        <v>0</v>
      </c>
    </row>
    <row r="99" spans="7:14">
      <c r="G99" s="1">
        <v>0</v>
      </c>
      <c r="H99" s="1">
        <v>0</v>
      </c>
      <c r="I99" s="1">
        <v>0</v>
      </c>
      <c r="J99" s="1">
        <v>0</v>
      </c>
      <c r="K99" s="1">
        <v>0</v>
      </c>
      <c r="L99" s="1">
        <v>0</v>
      </c>
      <c r="M99" s="1">
        <v>0</v>
      </c>
      <c r="N99" s="1">
        <v>0</v>
      </c>
    </row>
    <row r="100" spans="7:14">
      <c r="G100" s="1">
        <v>0</v>
      </c>
      <c r="H100" s="1">
        <v>0</v>
      </c>
      <c r="I100" s="1">
        <v>0</v>
      </c>
      <c r="J100" s="1">
        <v>0</v>
      </c>
      <c r="K100" s="1">
        <v>0</v>
      </c>
      <c r="L100" s="1">
        <v>0</v>
      </c>
      <c r="M100" s="1">
        <v>0</v>
      </c>
      <c r="N100" s="1">
        <v>0</v>
      </c>
    </row>
    <row r="101" spans="7:14">
      <c r="G101" s="1">
        <v>0</v>
      </c>
      <c r="H101" s="1">
        <v>0</v>
      </c>
      <c r="I101" s="1">
        <v>0</v>
      </c>
      <c r="J101" s="1">
        <v>0</v>
      </c>
      <c r="K101" s="1">
        <v>0</v>
      </c>
      <c r="L101" s="1">
        <v>0</v>
      </c>
      <c r="M101" s="1">
        <v>0</v>
      </c>
      <c r="N101" s="1">
        <v>0</v>
      </c>
    </row>
    <row r="102" spans="7:14">
      <c r="G102" s="1">
        <v>0</v>
      </c>
      <c r="H102" s="1">
        <v>0</v>
      </c>
      <c r="I102" s="1">
        <v>0</v>
      </c>
      <c r="J102" s="1">
        <v>0</v>
      </c>
      <c r="K102" s="1">
        <v>0</v>
      </c>
      <c r="L102" s="1">
        <v>0</v>
      </c>
      <c r="M102" s="1">
        <v>0</v>
      </c>
      <c r="N102" s="1">
        <v>0</v>
      </c>
    </row>
    <row r="103" spans="7:14">
      <c r="G103" s="1">
        <v>0</v>
      </c>
      <c r="H103" s="1">
        <v>0</v>
      </c>
      <c r="I103" s="1">
        <v>0</v>
      </c>
      <c r="J103" s="1">
        <v>0</v>
      </c>
      <c r="K103" s="1">
        <v>0</v>
      </c>
      <c r="L103" s="1">
        <v>0</v>
      </c>
      <c r="M103" s="1">
        <v>0</v>
      </c>
      <c r="N103" s="1">
        <v>0</v>
      </c>
    </row>
    <row r="104" spans="7:14">
      <c r="G104" s="1">
        <v>0</v>
      </c>
      <c r="H104" s="1">
        <v>0</v>
      </c>
      <c r="I104" s="1">
        <v>0</v>
      </c>
      <c r="J104" s="1">
        <v>0</v>
      </c>
      <c r="K104" s="1">
        <v>0</v>
      </c>
      <c r="L104" s="1">
        <v>0</v>
      </c>
      <c r="M104" s="1">
        <v>0</v>
      </c>
      <c r="N104" s="1">
        <v>0</v>
      </c>
    </row>
    <row r="105" spans="7:14">
      <c r="G105" s="1">
        <v>0</v>
      </c>
      <c r="H105" s="1">
        <v>0</v>
      </c>
      <c r="I105" s="1">
        <v>0</v>
      </c>
      <c r="J105" s="1">
        <v>0</v>
      </c>
      <c r="K105" s="1">
        <v>0</v>
      </c>
      <c r="L105" s="1">
        <v>0</v>
      </c>
      <c r="M105" s="1">
        <v>0</v>
      </c>
      <c r="N105" s="1">
        <v>0</v>
      </c>
    </row>
    <row r="106" spans="7:14">
      <c r="G106" s="1">
        <v>0</v>
      </c>
      <c r="H106" s="1">
        <v>0</v>
      </c>
      <c r="I106" s="1">
        <v>0</v>
      </c>
      <c r="J106" s="1">
        <v>0</v>
      </c>
      <c r="K106" s="1">
        <v>0</v>
      </c>
      <c r="L106" s="1">
        <v>0</v>
      </c>
      <c r="M106" s="1">
        <v>0</v>
      </c>
      <c r="N106" s="1">
        <v>0</v>
      </c>
    </row>
    <row r="107" spans="7:14">
      <c r="G107" s="1">
        <v>0</v>
      </c>
      <c r="H107" s="1">
        <v>0</v>
      </c>
      <c r="I107" s="1">
        <v>0</v>
      </c>
      <c r="J107" s="1">
        <v>0</v>
      </c>
      <c r="K107" s="1">
        <v>0</v>
      </c>
      <c r="L107" s="1">
        <v>0</v>
      </c>
      <c r="M107" s="1">
        <v>0</v>
      </c>
      <c r="N107" s="1">
        <v>0</v>
      </c>
    </row>
    <row r="108" spans="7:14">
      <c r="G108" s="1">
        <v>0</v>
      </c>
      <c r="H108" s="1">
        <v>0</v>
      </c>
      <c r="I108" s="1">
        <v>0</v>
      </c>
      <c r="J108" s="1">
        <v>0</v>
      </c>
      <c r="K108" s="1">
        <v>0</v>
      </c>
      <c r="L108" s="1">
        <v>0</v>
      </c>
      <c r="M108" s="1">
        <v>0</v>
      </c>
      <c r="N108" s="1">
        <v>0</v>
      </c>
    </row>
    <row r="109" spans="7:14">
      <c r="G109" s="1">
        <v>0</v>
      </c>
      <c r="H109" s="1">
        <v>0</v>
      </c>
      <c r="I109" s="1">
        <v>0</v>
      </c>
      <c r="J109" s="1">
        <v>0</v>
      </c>
      <c r="K109" s="1">
        <v>0</v>
      </c>
      <c r="L109" s="1">
        <v>0</v>
      </c>
      <c r="M109" s="1">
        <v>0</v>
      </c>
      <c r="N109" s="1">
        <v>0</v>
      </c>
    </row>
    <row r="110" spans="7:14">
      <c r="G110" s="1">
        <v>0</v>
      </c>
      <c r="H110" s="1">
        <v>0</v>
      </c>
      <c r="I110" s="1">
        <v>0</v>
      </c>
      <c r="J110" s="1">
        <v>0</v>
      </c>
      <c r="K110" s="1">
        <v>0</v>
      </c>
      <c r="L110" s="1">
        <v>0</v>
      </c>
      <c r="M110" s="1">
        <v>0</v>
      </c>
      <c r="N110" s="1">
        <v>0</v>
      </c>
    </row>
    <row r="111" spans="7:14">
      <c r="G111" s="1">
        <v>0</v>
      </c>
      <c r="H111" s="1">
        <v>0</v>
      </c>
      <c r="I111" s="1">
        <v>0</v>
      </c>
      <c r="J111" s="1">
        <v>0</v>
      </c>
      <c r="K111" s="1">
        <v>0</v>
      </c>
      <c r="L111" s="1">
        <v>0</v>
      </c>
      <c r="M111" s="1">
        <v>0</v>
      </c>
      <c r="N111" s="1">
        <v>0</v>
      </c>
    </row>
    <row r="112" spans="7:14">
      <c r="G112" s="1">
        <v>0</v>
      </c>
      <c r="H112" s="1">
        <v>0</v>
      </c>
      <c r="I112" s="1">
        <v>0</v>
      </c>
      <c r="J112" s="1">
        <v>0</v>
      </c>
      <c r="K112" s="1">
        <v>0</v>
      </c>
      <c r="L112" s="1">
        <v>0</v>
      </c>
      <c r="M112" s="1">
        <v>0</v>
      </c>
      <c r="N112" s="1">
        <v>0</v>
      </c>
    </row>
    <row r="113" spans="7:14">
      <c r="G113" s="1">
        <v>0</v>
      </c>
      <c r="H113" s="1">
        <v>0</v>
      </c>
      <c r="I113" s="1">
        <v>0</v>
      </c>
      <c r="J113" s="1">
        <v>0</v>
      </c>
      <c r="K113" s="1">
        <v>0</v>
      </c>
      <c r="L113" s="1">
        <v>0</v>
      </c>
      <c r="M113" s="1">
        <v>0</v>
      </c>
      <c r="N113" s="1">
        <v>0</v>
      </c>
    </row>
    <row r="114" spans="7:14">
      <c r="G114" s="1">
        <v>0</v>
      </c>
      <c r="H114" s="1">
        <v>0</v>
      </c>
      <c r="I114" s="1">
        <v>0</v>
      </c>
      <c r="J114" s="1">
        <v>0</v>
      </c>
      <c r="K114" s="1">
        <v>0</v>
      </c>
      <c r="L114" s="1">
        <v>0</v>
      </c>
      <c r="M114" s="1">
        <v>0</v>
      </c>
      <c r="N114" s="1">
        <v>0</v>
      </c>
    </row>
    <row r="115" spans="7:14">
      <c r="G115" s="1">
        <v>0</v>
      </c>
      <c r="H115" s="1">
        <v>0</v>
      </c>
      <c r="I115" s="1">
        <v>0</v>
      </c>
      <c r="J115" s="1">
        <v>0</v>
      </c>
      <c r="K115" s="1">
        <v>0</v>
      </c>
      <c r="L115" s="1">
        <v>0</v>
      </c>
      <c r="M115" s="1">
        <v>0</v>
      </c>
      <c r="N115" s="1">
        <v>0</v>
      </c>
    </row>
    <row r="116" spans="7:14">
      <c r="G116" s="1">
        <v>0</v>
      </c>
      <c r="H116" s="1">
        <v>0</v>
      </c>
      <c r="I116" s="1">
        <v>0</v>
      </c>
      <c r="J116" s="1">
        <v>0</v>
      </c>
      <c r="K116" s="1">
        <v>0</v>
      </c>
      <c r="L116" s="1">
        <v>0</v>
      </c>
      <c r="M116" s="1">
        <v>0</v>
      </c>
      <c r="N116" s="1">
        <v>0</v>
      </c>
    </row>
    <row r="117" spans="7:14">
      <c r="G117" s="1">
        <v>0</v>
      </c>
      <c r="H117" s="1">
        <v>0</v>
      </c>
      <c r="I117" s="1">
        <v>0</v>
      </c>
      <c r="J117" s="1">
        <v>0</v>
      </c>
      <c r="K117" s="1">
        <v>0</v>
      </c>
      <c r="L117" s="1">
        <v>0</v>
      </c>
      <c r="M117" s="1">
        <v>0</v>
      </c>
      <c r="N117" s="1">
        <v>0</v>
      </c>
    </row>
    <row r="118" spans="7:14">
      <c r="G118" s="1">
        <v>0</v>
      </c>
      <c r="H118" s="1">
        <v>0</v>
      </c>
      <c r="I118" s="1">
        <v>0</v>
      </c>
      <c r="J118" s="1">
        <v>0</v>
      </c>
      <c r="K118" s="1">
        <v>0</v>
      </c>
      <c r="L118" s="1">
        <v>0</v>
      </c>
      <c r="M118" s="1">
        <v>0</v>
      </c>
      <c r="N118" s="1">
        <v>0</v>
      </c>
    </row>
    <row r="119" spans="7:14">
      <c r="G119" s="1">
        <v>0</v>
      </c>
      <c r="H119" s="1">
        <v>0</v>
      </c>
      <c r="I119" s="1">
        <v>0</v>
      </c>
      <c r="J119" s="1">
        <v>0</v>
      </c>
      <c r="K119" s="1">
        <v>0</v>
      </c>
      <c r="L119" s="1">
        <v>0</v>
      </c>
      <c r="M119" s="1">
        <v>0</v>
      </c>
      <c r="N119" s="1">
        <v>0</v>
      </c>
    </row>
    <row r="120" spans="7:14">
      <c r="G120" s="1">
        <v>0</v>
      </c>
      <c r="H120" s="1">
        <v>0</v>
      </c>
      <c r="I120" s="1">
        <v>0</v>
      </c>
      <c r="J120" s="1">
        <v>0</v>
      </c>
      <c r="K120" s="1">
        <v>0</v>
      </c>
      <c r="L120" s="1">
        <v>0</v>
      </c>
      <c r="M120" s="1">
        <v>0</v>
      </c>
      <c r="N120" s="1">
        <v>0</v>
      </c>
    </row>
    <row r="121" spans="7:14">
      <c r="G121" s="1">
        <v>0</v>
      </c>
      <c r="H121" s="1">
        <v>0</v>
      </c>
      <c r="I121" s="1">
        <v>0</v>
      </c>
      <c r="J121" s="1">
        <v>0</v>
      </c>
      <c r="K121" s="1">
        <v>0</v>
      </c>
      <c r="L121" s="1">
        <v>0</v>
      </c>
      <c r="M121" s="1">
        <v>0</v>
      </c>
      <c r="N121" s="1">
        <v>0</v>
      </c>
    </row>
    <row r="122" spans="7:14">
      <c r="G122" s="1">
        <v>0</v>
      </c>
      <c r="H122" s="1">
        <v>0</v>
      </c>
      <c r="I122" s="1">
        <v>0</v>
      </c>
      <c r="J122" s="1">
        <v>0</v>
      </c>
      <c r="K122" s="1">
        <v>0</v>
      </c>
      <c r="L122" s="1">
        <v>0</v>
      </c>
      <c r="M122" s="1">
        <v>0</v>
      </c>
      <c r="N122" s="1">
        <v>0</v>
      </c>
    </row>
    <row r="123" spans="7:14">
      <c r="G123" s="1">
        <v>0</v>
      </c>
      <c r="H123" s="1">
        <v>0</v>
      </c>
      <c r="I123" s="1">
        <v>0</v>
      </c>
      <c r="J123" s="1">
        <v>0</v>
      </c>
      <c r="K123" s="1">
        <v>0</v>
      </c>
      <c r="L123" s="1">
        <v>0</v>
      </c>
      <c r="M123" s="1">
        <v>0</v>
      </c>
      <c r="N123" s="1">
        <v>0</v>
      </c>
    </row>
    <row r="124" spans="7:14">
      <c r="G124" s="1">
        <v>0</v>
      </c>
      <c r="H124" s="1">
        <v>0</v>
      </c>
      <c r="I124" s="1">
        <v>0</v>
      </c>
      <c r="J124" s="1">
        <v>0</v>
      </c>
      <c r="K124" s="1">
        <v>0</v>
      </c>
      <c r="L124" s="1">
        <v>0</v>
      </c>
      <c r="M124" s="1">
        <v>0</v>
      </c>
      <c r="N124" s="1">
        <v>0</v>
      </c>
    </row>
    <row r="125" spans="7:14">
      <c r="G125" s="1">
        <v>0</v>
      </c>
      <c r="H125" s="1">
        <v>0</v>
      </c>
      <c r="I125" s="1">
        <v>0</v>
      </c>
      <c r="J125" s="1">
        <v>0</v>
      </c>
      <c r="K125" s="1">
        <v>0</v>
      </c>
      <c r="L125" s="1">
        <v>0</v>
      </c>
      <c r="M125" s="1">
        <v>0</v>
      </c>
      <c r="N125" s="1">
        <v>0</v>
      </c>
    </row>
    <row r="126" spans="7:14">
      <c r="G126" s="1">
        <v>0</v>
      </c>
      <c r="H126" s="1">
        <v>0</v>
      </c>
      <c r="I126" s="1">
        <v>0</v>
      </c>
      <c r="J126" s="1">
        <v>0</v>
      </c>
      <c r="K126" s="1">
        <v>0</v>
      </c>
      <c r="L126" s="1">
        <v>0</v>
      </c>
      <c r="M126" s="1">
        <v>0</v>
      </c>
      <c r="N126" s="1">
        <v>0</v>
      </c>
    </row>
    <row r="127" spans="7:14">
      <c r="G127" s="1">
        <v>0</v>
      </c>
      <c r="H127" s="1">
        <v>0</v>
      </c>
      <c r="I127" s="1">
        <v>0</v>
      </c>
      <c r="J127" s="1">
        <v>0</v>
      </c>
      <c r="K127" s="1">
        <v>0</v>
      </c>
      <c r="L127" s="1">
        <v>0</v>
      </c>
      <c r="M127" s="1">
        <v>0</v>
      </c>
      <c r="N127" s="1">
        <v>0</v>
      </c>
    </row>
    <row r="128" spans="7:14">
      <c r="G128" s="1">
        <v>0</v>
      </c>
      <c r="H128" s="1">
        <v>0</v>
      </c>
      <c r="I128" s="1">
        <v>0</v>
      </c>
      <c r="J128" s="1">
        <v>0</v>
      </c>
      <c r="K128" s="1">
        <v>0</v>
      </c>
      <c r="L128" s="1">
        <v>0</v>
      </c>
      <c r="M128" s="1">
        <v>0</v>
      </c>
      <c r="N128" s="1">
        <v>0</v>
      </c>
    </row>
    <row r="129" spans="7:14">
      <c r="G129" s="1">
        <v>0</v>
      </c>
      <c r="H129" s="1">
        <v>0</v>
      </c>
      <c r="I129" s="1">
        <v>0</v>
      </c>
      <c r="J129" s="1">
        <v>0</v>
      </c>
      <c r="K129" s="1">
        <v>0</v>
      </c>
      <c r="L129" s="1">
        <v>0</v>
      </c>
      <c r="M129" s="1">
        <v>0</v>
      </c>
      <c r="N129" s="1">
        <v>0</v>
      </c>
    </row>
    <row r="130" spans="7:14">
      <c r="G130" s="1">
        <v>0</v>
      </c>
      <c r="H130" s="1">
        <v>0</v>
      </c>
      <c r="I130" s="1">
        <v>0</v>
      </c>
      <c r="J130" s="1">
        <v>0</v>
      </c>
      <c r="K130" s="1">
        <v>0</v>
      </c>
      <c r="L130" s="1">
        <v>0</v>
      </c>
      <c r="M130" s="1">
        <v>0</v>
      </c>
      <c r="N130" s="1">
        <v>0</v>
      </c>
    </row>
    <row r="131" spans="7:14">
      <c r="G131" s="1">
        <v>0</v>
      </c>
      <c r="H131" s="1">
        <v>0</v>
      </c>
      <c r="I131" s="1">
        <v>0</v>
      </c>
      <c r="J131" s="1">
        <v>0</v>
      </c>
      <c r="K131" s="1">
        <v>0</v>
      </c>
      <c r="L131" s="1">
        <v>0</v>
      </c>
      <c r="M131" s="1">
        <v>0</v>
      </c>
      <c r="N131" s="1">
        <v>0</v>
      </c>
    </row>
    <row r="132" spans="7:14">
      <c r="G132" s="1">
        <v>0</v>
      </c>
      <c r="H132" s="1">
        <v>0</v>
      </c>
      <c r="I132" s="1">
        <v>0</v>
      </c>
      <c r="J132" s="1">
        <v>0</v>
      </c>
      <c r="K132" s="1">
        <v>0</v>
      </c>
      <c r="L132" s="1">
        <v>0</v>
      </c>
      <c r="M132" s="1">
        <v>0</v>
      </c>
      <c r="N132" s="1">
        <v>0</v>
      </c>
    </row>
    <row r="133" spans="7:14">
      <c r="G133" s="1">
        <v>0</v>
      </c>
      <c r="H133" s="1">
        <v>0</v>
      </c>
      <c r="I133" s="1">
        <v>0</v>
      </c>
      <c r="J133" s="1">
        <v>0</v>
      </c>
      <c r="K133" s="1">
        <v>0</v>
      </c>
      <c r="L133" s="1">
        <v>0</v>
      </c>
      <c r="M133" s="1">
        <v>0</v>
      </c>
      <c r="N133" s="1">
        <v>0</v>
      </c>
    </row>
    <row r="134" spans="7:14">
      <c r="G134" s="1">
        <v>0</v>
      </c>
      <c r="H134" s="1">
        <v>0</v>
      </c>
      <c r="I134" s="1">
        <v>0</v>
      </c>
      <c r="J134" s="1">
        <v>0</v>
      </c>
      <c r="K134" s="1">
        <v>0</v>
      </c>
      <c r="L134" s="1">
        <v>0</v>
      </c>
      <c r="M134" s="1">
        <v>0</v>
      </c>
      <c r="N134" s="1">
        <v>0</v>
      </c>
    </row>
    <row r="135" spans="7:14">
      <c r="G135" s="1">
        <v>0</v>
      </c>
      <c r="H135" s="1">
        <v>0</v>
      </c>
      <c r="I135" s="1">
        <v>0</v>
      </c>
      <c r="J135" s="1">
        <v>0</v>
      </c>
      <c r="K135" s="1">
        <v>0</v>
      </c>
      <c r="L135" s="1">
        <v>0</v>
      </c>
      <c r="M135" s="1">
        <v>0</v>
      </c>
      <c r="N135" s="1">
        <v>0</v>
      </c>
    </row>
    <row r="136" spans="7:14">
      <c r="G136" s="1">
        <v>0</v>
      </c>
      <c r="H136" s="1">
        <v>0</v>
      </c>
      <c r="I136" s="1">
        <v>0</v>
      </c>
      <c r="J136" s="1">
        <v>0</v>
      </c>
      <c r="K136" s="1">
        <v>0</v>
      </c>
      <c r="L136" s="1">
        <v>0</v>
      </c>
      <c r="M136" s="1">
        <v>0</v>
      </c>
      <c r="N136" s="1">
        <v>0</v>
      </c>
    </row>
    <row r="137" spans="7:14">
      <c r="G137" s="1">
        <v>0</v>
      </c>
      <c r="H137" s="1">
        <v>0</v>
      </c>
      <c r="I137" s="1">
        <v>0</v>
      </c>
      <c r="J137" s="1">
        <v>0</v>
      </c>
      <c r="K137" s="1">
        <v>0</v>
      </c>
      <c r="L137" s="1">
        <v>0</v>
      </c>
      <c r="M137" s="1">
        <v>0</v>
      </c>
      <c r="N137" s="1">
        <v>0</v>
      </c>
    </row>
    <row r="138" spans="7:14">
      <c r="G138" s="1">
        <v>0</v>
      </c>
      <c r="H138" s="1">
        <v>0</v>
      </c>
      <c r="I138" s="1">
        <v>0</v>
      </c>
      <c r="J138" s="1">
        <v>0</v>
      </c>
      <c r="K138" s="1">
        <v>0</v>
      </c>
      <c r="L138" s="1">
        <v>0</v>
      </c>
      <c r="M138" s="1">
        <v>0</v>
      </c>
      <c r="N138" s="1">
        <v>0</v>
      </c>
    </row>
    <row r="139" spans="7:14">
      <c r="G139" s="1">
        <v>0</v>
      </c>
      <c r="H139" s="1">
        <v>0</v>
      </c>
      <c r="I139" s="1">
        <v>0</v>
      </c>
      <c r="J139" s="1">
        <v>0</v>
      </c>
      <c r="K139" s="1">
        <v>0</v>
      </c>
      <c r="L139" s="1">
        <v>0</v>
      </c>
      <c r="M139" s="1">
        <v>0</v>
      </c>
      <c r="N139" s="1">
        <v>0</v>
      </c>
    </row>
    <row r="140" spans="7:14">
      <c r="G140" s="1">
        <v>0</v>
      </c>
      <c r="H140" s="1">
        <v>0</v>
      </c>
      <c r="I140" s="1">
        <v>0</v>
      </c>
      <c r="J140" s="1">
        <v>0</v>
      </c>
      <c r="K140" s="1">
        <v>0</v>
      </c>
      <c r="L140" s="1">
        <v>0</v>
      </c>
      <c r="M140" s="1">
        <v>0</v>
      </c>
      <c r="N140" s="1">
        <v>0</v>
      </c>
    </row>
    <row r="141" spans="7:14">
      <c r="G141" s="1">
        <v>0</v>
      </c>
      <c r="H141" s="1">
        <v>0</v>
      </c>
      <c r="I141" s="1">
        <v>0</v>
      </c>
      <c r="J141" s="1">
        <v>0</v>
      </c>
      <c r="K141" s="1">
        <v>0</v>
      </c>
      <c r="L141" s="1">
        <v>0</v>
      </c>
      <c r="M141" s="1">
        <v>0</v>
      </c>
      <c r="N141" s="1">
        <v>0</v>
      </c>
    </row>
    <row r="142" spans="7:14">
      <c r="G142" s="1">
        <v>0</v>
      </c>
      <c r="H142" s="1">
        <v>0</v>
      </c>
      <c r="I142" s="1">
        <v>0</v>
      </c>
      <c r="J142" s="1">
        <v>0</v>
      </c>
      <c r="K142" s="1">
        <v>0</v>
      </c>
      <c r="L142" s="1">
        <v>0</v>
      </c>
      <c r="M142" s="1">
        <v>0</v>
      </c>
      <c r="N142" s="1">
        <v>0</v>
      </c>
    </row>
    <row r="143" spans="7:14">
      <c r="G143" s="1">
        <v>0</v>
      </c>
      <c r="H143" s="1">
        <v>0</v>
      </c>
      <c r="I143" s="1">
        <v>0</v>
      </c>
      <c r="J143" s="1">
        <v>0</v>
      </c>
      <c r="K143" s="1">
        <v>0</v>
      </c>
      <c r="L143" s="1">
        <v>0</v>
      </c>
      <c r="M143" s="1">
        <v>0</v>
      </c>
      <c r="N143" s="1">
        <v>0</v>
      </c>
    </row>
    <row r="144" spans="7:14">
      <c r="G144" s="1">
        <v>0</v>
      </c>
      <c r="H144" s="1">
        <v>0</v>
      </c>
      <c r="I144" s="1">
        <v>0</v>
      </c>
      <c r="J144" s="1">
        <v>0</v>
      </c>
      <c r="K144" s="1">
        <v>0</v>
      </c>
      <c r="L144" s="1">
        <v>0</v>
      </c>
      <c r="M144" s="1">
        <v>0</v>
      </c>
      <c r="N144" s="1">
        <v>0</v>
      </c>
    </row>
    <row r="145" spans="7:14">
      <c r="G145" s="1">
        <v>0</v>
      </c>
      <c r="H145" s="1">
        <v>0</v>
      </c>
      <c r="I145" s="1">
        <v>0</v>
      </c>
      <c r="J145" s="1">
        <v>0</v>
      </c>
      <c r="K145" s="1">
        <v>0</v>
      </c>
      <c r="L145" s="1">
        <v>0</v>
      </c>
      <c r="M145" s="1">
        <v>0</v>
      </c>
      <c r="N145" s="1">
        <v>0</v>
      </c>
    </row>
    <row r="146" spans="7:14">
      <c r="G146" s="1">
        <v>0</v>
      </c>
      <c r="H146" s="1">
        <v>0</v>
      </c>
      <c r="I146" s="1">
        <v>0</v>
      </c>
      <c r="J146" s="1">
        <v>0</v>
      </c>
      <c r="K146" s="1">
        <v>0</v>
      </c>
      <c r="L146" s="1">
        <v>0</v>
      </c>
      <c r="M146" s="1">
        <v>0</v>
      </c>
      <c r="N146" s="1">
        <v>0</v>
      </c>
    </row>
    <row r="147" spans="7:14">
      <c r="G147" s="1">
        <v>0</v>
      </c>
      <c r="H147" s="1">
        <v>0</v>
      </c>
      <c r="I147" s="1">
        <v>0</v>
      </c>
      <c r="J147" s="1">
        <v>0</v>
      </c>
      <c r="K147" s="1">
        <v>0</v>
      </c>
      <c r="L147" s="1">
        <v>0</v>
      </c>
      <c r="M147" s="1">
        <v>0</v>
      </c>
      <c r="N147" s="1">
        <v>0</v>
      </c>
    </row>
    <row r="148" spans="7:14">
      <c r="G148" s="1">
        <v>0</v>
      </c>
      <c r="H148" s="1">
        <v>0</v>
      </c>
      <c r="I148" s="1">
        <v>0</v>
      </c>
      <c r="J148" s="1">
        <v>0</v>
      </c>
      <c r="K148" s="1">
        <v>0</v>
      </c>
      <c r="L148" s="1">
        <v>0</v>
      </c>
      <c r="M148" s="1">
        <v>0</v>
      </c>
      <c r="N148" s="1">
        <v>0</v>
      </c>
    </row>
    <row r="149" spans="7:14">
      <c r="G149" s="1">
        <v>0</v>
      </c>
      <c r="H149" s="1">
        <v>0</v>
      </c>
      <c r="I149" s="1">
        <v>0</v>
      </c>
      <c r="J149" s="1">
        <v>0</v>
      </c>
      <c r="K149" s="1">
        <v>0</v>
      </c>
      <c r="L149" s="1">
        <v>0</v>
      </c>
      <c r="M149" s="1">
        <v>0</v>
      </c>
      <c r="N149" s="1">
        <v>0</v>
      </c>
    </row>
    <row r="150" spans="7:14">
      <c r="G150" s="1">
        <v>0</v>
      </c>
      <c r="H150" s="1">
        <v>0</v>
      </c>
      <c r="I150" s="1">
        <v>0</v>
      </c>
      <c r="J150" s="1">
        <v>0</v>
      </c>
      <c r="K150" s="1">
        <v>0</v>
      </c>
      <c r="L150" s="1">
        <v>0</v>
      </c>
      <c r="M150" s="1">
        <v>0</v>
      </c>
      <c r="N150" s="1">
        <v>0</v>
      </c>
    </row>
    <row r="151" spans="7:14">
      <c r="G151" s="1">
        <v>0</v>
      </c>
      <c r="H151" s="1">
        <v>0</v>
      </c>
      <c r="I151" s="1">
        <v>0</v>
      </c>
      <c r="J151" s="1">
        <v>0</v>
      </c>
      <c r="K151" s="1">
        <v>0</v>
      </c>
      <c r="L151" s="1">
        <v>0</v>
      </c>
      <c r="M151" s="1">
        <v>0</v>
      </c>
      <c r="N151" s="1">
        <v>0</v>
      </c>
    </row>
    <row r="152" spans="7:14">
      <c r="G152" s="1">
        <v>0</v>
      </c>
      <c r="H152" s="1">
        <v>0</v>
      </c>
      <c r="I152" s="1">
        <v>0</v>
      </c>
      <c r="J152" s="1">
        <v>0</v>
      </c>
      <c r="K152" s="1">
        <v>0</v>
      </c>
      <c r="L152" s="1">
        <v>0</v>
      </c>
      <c r="M152" s="1">
        <v>0</v>
      </c>
      <c r="N152" s="1">
        <v>0</v>
      </c>
    </row>
    <row r="153" spans="7:14">
      <c r="G153" s="1">
        <v>0</v>
      </c>
      <c r="H153" s="1">
        <v>0</v>
      </c>
      <c r="I153" s="1">
        <v>0</v>
      </c>
      <c r="J153" s="1">
        <v>0</v>
      </c>
      <c r="K153" s="1">
        <v>0</v>
      </c>
      <c r="L153" s="1">
        <v>0</v>
      </c>
      <c r="M153" s="1">
        <v>0</v>
      </c>
      <c r="N153" s="1">
        <v>0</v>
      </c>
    </row>
    <row r="154" spans="7:14">
      <c r="G154" s="1">
        <v>0</v>
      </c>
      <c r="H154" s="1">
        <v>0</v>
      </c>
      <c r="I154" s="1">
        <v>0</v>
      </c>
      <c r="J154" s="1">
        <v>0</v>
      </c>
      <c r="K154" s="1">
        <v>0</v>
      </c>
      <c r="L154" s="1">
        <v>0</v>
      </c>
      <c r="M154" s="1">
        <v>0</v>
      </c>
      <c r="N154" s="1">
        <v>0</v>
      </c>
    </row>
    <row r="155" spans="7:14">
      <c r="G155" s="1">
        <v>0</v>
      </c>
      <c r="H155" s="1">
        <v>0</v>
      </c>
      <c r="I155" s="1">
        <v>0</v>
      </c>
      <c r="J155" s="1">
        <v>0</v>
      </c>
      <c r="K155" s="1">
        <v>0</v>
      </c>
      <c r="L155" s="1">
        <v>0</v>
      </c>
      <c r="M155" s="1">
        <v>0</v>
      </c>
      <c r="N155" s="1">
        <v>0</v>
      </c>
    </row>
    <row r="156" spans="7:14">
      <c r="G156" s="1">
        <v>0</v>
      </c>
      <c r="H156" s="1">
        <v>0</v>
      </c>
      <c r="I156" s="1">
        <v>0</v>
      </c>
      <c r="J156" s="1">
        <v>0</v>
      </c>
      <c r="K156" s="1">
        <v>0</v>
      </c>
      <c r="L156" s="1">
        <v>0</v>
      </c>
      <c r="M156" s="1">
        <v>0</v>
      </c>
      <c r="N156" s="1">
        <v>0</v>
      </c>
    </row>
    <row r="157" spans="7:14">
      <c r="G157" s="1">
        <v>0</v>
      </c>
      <c r="H157" s="1">
        <v>0</v>
      </c>
      <c r="I157" s="1">
        <v>0</v>
      </c>
      <c r="J157" s="1">
        <v>0</v>
      </c>
      <c r="K157" s="1">
        <v>0</v>
      </c>
      <c r="L157" s="1">
        <v>0</v>
      </c>
      <c r="M157" s="1">
        <v>0</v>
      </c>
      <c r="N157" s="1">
        <v>0</v>
      </c>
    </row>
    <row r="158" spans="7:14">
      <c r="G158" s="1">
        <v>0</v>
      </c>
      <c r="H158" s="1">
        <v>0</v>
      </c>
      <c r="I158" s="1">
        <v>0</v>
      </c>
      <c r="J158" s="1">
        <v>0</v>
      </c>
      <c r="K158" s="1">
        <v>0</v>
      </c>
      <c r="L158" s="1">
        <v>0</v>
      </c>
      <c r="M158" s="1">
        <v>0</v>
      </c>
      <c r="N158" s="1">
        <v>0</v>
      </c>
    </row>
    <row r="159" spans="7:14">
      <c r="G159" s="1">
        <v>0</v>
      </c>
      <c r="H159" s="1">
        <v>0</v>
      </c>
      <c r="I159" s="1">
        <v>0</v>
      </c>
      <c r="J159" s="1">
        <v>0</v>
      </c>
      <c r="K159" s="1">
        <v>0</v>
      </c>
      <c r="L159" s="1">
        <v>0</v>
      </c>
      <c r="M159" s="1">
        <v>0</v>
      </c>
      <c r="N159" s="1">
        <v>0</v>
      </c>
    </row>
    <row r="160" spans="7:14">
      <c r="G160" s="1">
        <v>0</v>
      </c>
      <c r="H160" s="1">
        <v>0</v>
      </c>
      <c r="I160" s="1">
        <v>0</v>
      </c>
      <c r="J160" s="1">
        <v>0</v>
      </c>
      <c r="K160" s="1">
        <v>0</v>
      </c>
      <c r="L160" s="1">
        <v>0</v>
      </c>
      <c r="M160" s="1">
        <v>0</v>
      </c>
      <c r="N160" s="1">
        <v>0</v>
      </c>
    </row>
    <row r="161" spans="7:14">
      <c r="G161" s="1">
        <v>0</v>
      </c>
      <c r="H161" s="1">
        <v>0</v>
      </c>
      <c r="I161" s="1">
        <v>0</v>
      </c>
      <c r="J161" s="1">
        <v>0</v>
      </c>
      <c r="K161" s="1">
        <v>0</v>
      </c>
      <c r="L161" s="1">
        <v>0</v>
      </c>
      <c r="M161" s="1">
        <v>0</v>
      </c>
      <c r="N161" s="1">
        <v>0</v>
      </c>
    </row>
    <row r="162" spans="7:14">
      <c r="G162" s="1">
        <v>0</v>
      </c>
      <c r="H162" s="1">
        <v>0</v>
      </c>
      <c r="I162" s="1">
        <v>0</v>
      </c>
      <c r="J162" s="1">
        <v>0</v>
      </c>
      <c r="K162" s="1">
        <v>0</v>
      </c>
      <c r="L162" s="1">
        <v>0</v>
      </c>
      <c r="M162" s="1">
        <v>0</v>
      </c>
      <c r="N162" s="1">
        <v>0</v>
      </c>
    </row>
    <row r="163" spans="7:14">
      <c r="G163" s="1">
        <v>0</v>
      </c>
      <c r="H163" s="1">
        <v>0</v>
      </c>
      <c r="I163" s="1">
        <v>0</v>
      </c>
      <c r="J163" s="1">
        <v>0</v>
      </c>
      <c r="K163" s="1">
        <v>0</v>
      </c>
      <c r="L163" s="1">
        <v>0</v>
      </c>
      <c r="M163" s="1">
        <v>0</v>
      </c>
      <c r="N163" s="1">
        <v>0</v>
      </c>
    </row>
    <row r="164" spans="7:14">
      <c r="G164" s="1">
        <v>0</v>
      </c>
      <c r="H164" s="1">
        <v>0</v>
      </c>
      <c r="I164" s="1">
        <v>0</v>
      </c>
      <c r="J164" s="1">
        <v>0</v>
      </c>
      <c r="K164" s="1">
        <v>0</v>
      </c>
      <c r="L164" s="1">
        <v>0</v>
      </c>
      <c r="M164" s="1">
        <v>0</v>
      </c>
      <c r="N164" s="1">
        <v>0</v>
      </c>
    </row>
    <row r="165" spans="7:14">
      <c r="G165" s="1">
        <v>0</v>
      </c>
      <c r="H165" s="1">
        <v>0</v>
      </c>
      <c r="I165" s="1">
        <v>0</v>
      </c>
      <c r="J165" s="1">
        <v>0</v>
      </c>
      <c r="K165" s="1">
        <v>0</v>
      </c>
      <c r="L165" s="1">
        <v>0</v>
      </c>
      <c r="M165" s="1">
        <v>0</v>
      </c>
      <c r="N165" s="1">
        <v>0</v>
      </c>
    </row>
    <row r="166" spans="7:14">
      <c r="G166" s="1">
        <v>0</v>
      </c>
      <c r="H166" s="1">
        <v>0</v>
      </c>
      <c r="I166" s="1">
        <v>0</v>
      </c>
      <c r="J166" s="1">
        <v>0</v>
      </c>
      <c r="K166" s="1">
        <v>0</v>
      </c>
      <c r="L166" s="1">
        <v>0</v>
      </c>
      <c r="M166" s="1">
        <v>0</v>
      </c>
      <c r="N166" s="1">
        <v>0</v>
      </c>
    </row>
    <row r="167" spans="7:14">
      <c r="G167" s="1">
        <v>0</v>
      </c>
      <c r="H167" s="1">
        <v>0</v>
      </c>
      <c r="I167" s="1">
        <v>0</v>
      </c>
      <c r="J167" s="1">
        <v>0</v>
      </c>
      <c r="K167" s="1">
        <v>0</v>
      </c>
      <c r="L167" s="1">
        <v>0</v>
      </c>
      <c r="M167" s="1">
        <v>0</v>
      </c>
      <c r="N167" s="1">
        <v>0</v>
      </c>
    </row>
    <row r="168" spans="7:14">
      <c r="G168" s="1">
        <v>0</v>
      </c>
      <c r="H168" s="1">
        <v>0</v>
      </c>
      <c r="I168" s="1">
        <v>0</v>
      </c>
      <c r="J168" s="1">
        <v>0</v>
      </c>
      <c r="K168" s="1">
        <v>0</v>
      </c>
      <c r="L168" s="1">
        <v>0</v>
      </c>
      <c r="M168" s="1">
        <v>0</v>
      </c>
      <c r="N168" s="1">
        <v>0</v>
      </c>
    </row>
    <row r="169" spans="7:14">
      <c r="G169" s="1">
        <v>0</v>
      </c>
      <c r="H169" s="1">
        <v>0</v>
      </c>
      <c r="I169" s="1">
        <v>0</v>
      </c>
      <c r="J169" s="1">
        <v>0</v>
      </c>
      <c r="K169" s="1">
        <v>0</v>
      </c>
      <c r="L169" s="1">
        <v>0</v>
      </c>
      <c r="M169" s="1">
        <v>0</v>
      </c>
      <c r="N169" s="1">
        <v>0</v>
      </c>
    </row>
    <row r="170" spans="7:14">
      <c r="G170" s="1">
        <v>0</v>
      </c>
      <c r="H170" s="1">
        <v>0</v>
      </c>
      <c r="I170" s="1">
        <v>0</v>
      </c>
      <c r="J170" s="1">
        <v>0</v>
      </c>
      <c r="K170" s="1">
        <v>0</v>
      </c>
      <c r="L170" s="1">
        <v>0</v>
      </c>
      <c r="M170" s="1">
        <v>0</v>
      </c>
      <c r="N170" s="1">
        <v>0</v>
      </c>
    </row>
    <row r="171" spans="7:14">
      <c r="G171" s="1">
        <v>0</v>
      </c>
      <c r="H171" s="1">
        <v>0</v>
      </c>
      <c r="I171" s="1">
        <v>0</v>
      </c>
      <c r="J171" s="1">
        <v>0</v>
      </c>
      <c r="K171" s="1">
        <v>0</v>
      </c>
      <c r="L171" s="1">
        <v>0</v>
      </c>
      <c r="M171" s="1">
        <v>0</v>
      </c>
      <c r="N171" s="1">
        <v>0</v>
      </c>
    </row>
    <row r="172" spans="7:14">
      <c r="G172" s="1">
        <v>0</v>
      </c>
      <c r="H172" s="1">
        <v>0</v>
      </c>
      <c r="I172" s="1">
        <v>0</v>
      </c>
      <c r="J172" s="1">
        <v>0</v>
      </c>
      <c r="K172" s="1">
        <v>0</v>
      </c>
      <c r="L172" s="1">
        <v>0</v>
      </c>
      <c r="M172" s="1">
        <v>0</v>
      </c>
      <c r="N172" s="1">
        <v>0</v>
      </c>
    </row>
    <row r="173" spans="7:14">
      <c r="G173" s="1">
        <v>0</v>
      </c>
      <c r="H173" s="1">
        <v>0</v>
      </c>
      <c r="I173" s="1">
        <v>0</v>
      </c>
      <c r="J173" s="1">
        <v>0</v>
      </c>
      <c r="K173" s="1">
        <v>0</v>
      </c>
      <c r="L173" s="1">
        <v>0</v>
      </c>
      <c r="M173" s="1">
        <v>0</v>
      </c>
      <c r="N173" s="1">
        <v>0</v>
      </c>
    </row>
    <row r="174" spans="7:14">
      <c r="G174" s="1">
        <v>0</v>
      </c>
      <c r="H174" s="1">
        <v>0</v>
      </c>
      <c r="I174" s="1">
        <v>0</v>
      </c>
      <c r="J174" s="1">
        <v>0</v>
      </c>
      <c r="K174" s="1">
        <v>0</v>
      </c>
      <c r="L174" s="1">
        <v>0</v>
      </c>
      <c r="M174" s="1">
        <v>0</v>
      </c>
      <c r="N174" s="1">
        <v>0</v>
      </c>
    </row>
    <row r="175" spans="7:14">
      <c r="G175" s="1">
        <v>0</v>
      </c>
      <c r="H175" s="1">
        <v>0</v>
      </c>
      <c r="I175" s="1">
        <v>0</v>
      </c>
      <c r="J175" s="1">
        <v>0</v>
      </c>
      <c r="K175" s="1">
        <v>0</v>
      </c>
      <c r="L175" s="1">
        <v>0</v>
      </c>
      <c r="M175" s="1">
        <v>0</v>
      </c>
      <c r="N175" s="1">
        <v>0</v>
      </c>
    </row>
    <row r="176" spans="7:14">
      <c r="G176" s="1">
        <v>0</v>
      </c>
      <c r="H176" s="1">
        <v>0</v>
      </c>
      <c r="I176" s="1">
        <v>0</v>
      </c>
      <c r="J176" s="1">
        <v>0</v>
      </c>
      <c r="K176" s="1">
        <v>0</v>
      </c>
      <c r="L176" s="1">
        <v>0</v>
      </c>
      <c r="M176" s="1">
        <v>0</v>
      </c>
      <c r="N176" s="1">
        <v>0</v>
      </c>
    </row>
    <row r="177" spans="7:14">
      <c r="G177" s="1">
        <v>0</v>
      </c>
      <c r="H177" s="1">
        <v>0</v>
      </c>
      <c r="I177" s="1">
        <v>0</v>
      </c>
      <c r="J177" s="1">
        <v>0</v>
      </c>
      <c r="K177" s="1">
        <v>0</v>
      </c>
      <c r="L177" s="1">
        <v>0</v>
      </c>
      <c r="M177" s="1">
        <v>0</v>
      </c>
      <c r="N177" s="1">
        <v>0</v>
      </c>
    </row>
    <row r="178" spans="7:14">
      <c r="G178" s="1">
        <v>0</v>
      </c>
      <c r="H178" s="1">
        <v>0</v>
      </c>
      <c r="I178" s="1">
        <v>0</v>
      </c>
      <c r="J178" s="1">
        <v>0</v>
      </c>
      <c r="K178" s="1">
        <v>0</v>
      </c>
      <c r="L178" s="1">
        <v>0</v>
      </c>
      <c r="M178" s="1">
        <v>0</v>
      </c>
      <c r="N178" s="1">
        <v>0</v>
      </c>
    </row>
    <row r="179" spans="7:14">
      <c r="G179" s="1">
        <v>0</v>
      </c>
      <c r="H179" s="1">
        <v>0</v>
      </c>
      <c r="I179" s="1">
        <v>0</v>
      </c>
      <c r="J179" s="1">
        <v>0</v>
      </c>
      <c r="K179" s="1">
        <v>0</v>
      </c>
      <c r="L179" s="1">
        <v>0</v>
      </c>
      <c r="M179" s="1">
        <v>0</v>
      </c>
      <c r="N179" s="1">
        <v>0</v>
      </c>
    </row>
    <row r="180" spans="7:14">
      <c r="G180" s="1">
        <v>0</v>
      </c>
      <c r="H180" s="1">
        <v>0</v>
      </c>
      <c r="I180" s="1">
        <v>0</v>
      </c>
      <c r="J180" s="1">
        <v>0</v>
      </c>
      <c r="K180" s="1">
        <v>0</v>
      </c>
      <c r="L180" s="1">
        <v>0</v>
      </c>
      <c r="M180" s="1">
        <v>0</v>
      </c>
      <c r="N180" s="1">
        <v>0</v>
      </c>
    </row>
    <row r="181" spans="7:14">
      <c r="G181" s="1">
        <v>0</v>
      </c>
      <c r="H181" s="1">
        <v>0</v>
      </c>
      <c r="I181" s="1">
        <v>0</v>
      </c>
      <c r="J181" s="1">
        <v>0</v>
      </c>
      <c r="K181" s="1">
        <v>0</v>
      </c>
      <c r="L181" s="1">
        <v>0</v>
      </c>
      <c r="M181" s="1">
        <v>0</v>
      </c>
      <c r="N181" s="1">
        <v>0</v>
      </c>
    </row>
    <row r="182" spans="7:14">
      <c r="G182" s="1">
        <v>0</v>
      </c>
      <c r="H182" s="1">
        <v>0</v>
      </c>
      <c r="I182" s="1">
        <v>0</v>
      </c>
      <c r="J182" s="1">
        <v>0</v>
      </c>
      <c r="K182" s="1">
        <v>0</v>
      </c>
      <c r="L182" s="1">
        <v>0</v>
      </c>
      <c r="M182" s="1">
        <v>0</v>
      </c>
      <c r="N182" s="1">
        <v>0</v>
      </c>
    </row>
    <row r="183" spans="7:14">
      <c r="G183" s="1">
        <v>0</v>
      </c>
      <c r="H183" s="1">
        <v>0</v>
      </c>
      <c r="I183" s="1">
        <v>0</v>
      </c>
      <c r="J183" s="1">
        <v>0</v>
      </c>
      <c r="K183" s="1">
        <v>0</v>
      </c>
      <c r="L183" s="1">
        <v>0</v>
      </c>
      <c r="M183" s="1">
        <v>0</v>
      </c>
      <c r="N183" s="1">
        <v>0</v>
      </c>
    </row>
    <row r="184" spans="7:14">
      <c r="G184" s="1">
        <v>0</v>
      </c>
      <c r="H184" s="1">
        <v>0</v>
      </c>
      <c r="I184" s="1">
        <v>0</v>
      </c>
      <c r="J184" s="1">
        <v>0</v>
      </c>
      <c r="K184" s="1">
        <v>0</v>
      </c>
      <c r="L184" s="1">
        <v>0</v>
      </c>
      <c r="M184" s="1">
        <v>0</v>
      </c>
      <c r="N184" s="1">
        <v>0</v>
      </c>
    </row>
    <row r="185" spans="7:14">
      <c r="G185" s="1">
        <v>0</v>
      </c>
      <c r="H185" s="1">
        <v>0</v>
      </c>
      <c r="I185" s="1">
        <v>0</v>
      </c>
      <c r="J185" s="1">
        <v>0</v>
      </c>
      <c r="K185" s="1">
        <v>0</v>
      </c>
      <c r="L185" s="1">
        <v>0</v>
      </c>
      <c r="M185" s="1">
        <v>0</v>
      </c>
      <c r="N185" s="1">
        <v>0</v>
      </c>
    </row>
    <row r="186" spans="7:14">
      <c r="G186" s="1">
        <v>0</v>
      </c>
      <c r="H186" s="1">
        <v>0</v>
      </c>
      <c r="I186" s="1">
        <v>0</v>
      </c>
      <c r="J186" s="1">
        <v>0</v>
      </c>
      <c r="K186" s="1">
        <v>0</v>
      </c>
      <c r="L186" s="1">
        <v>0</v>
      </c>
      <c r="M186" s="1">
        <v>0</v>
      </c>
      <c r="N186" s="1">
        <v>0</v>
      </c>
    </row>
    <row r="187" spans="7:14">
      <c r="G187" s="1">
        <v>0</v>
      </c>
      <c r="H187" s="1">
        <v>0</v>
      </c>
      <c r="I187" s="1">
        <v>0</v>
      </c>
      <c r="J187" s="1">
        <v>0</v>
      </c>
      <c r="K187" s="1">
        <v>0</v>
      </c>
      <c r="L187" s="1">
        <v>0</v>
      </c>
      <c r="M187" s="1">
        <v>0</v>
      </c>
      <c r="N187" s="1">
        <v>0</v>
      </c>
    </row>
    <row r="188" spans="7:14">
      <c r="G188" s="1">
        <v>0</v>
      </c>
      <c r="H188" s="1">
        <v>0</v>
      </c>
      <c r="I188" s="1">
        <v>0</v>
      </c>
      <c r="J188" s="1">
        <v>0</v>
      </c>
      <c r="K188" s="1">
        <v>0</v>
      </c>
      <c r="L188" s="1">
        <v>0</v>
      </c>
      <c r="M188" s="1">
        <v>0</v>
      </c>
      <c r="N188" s="1">
        <v>0</v>
      </c>
    </row>
    <row r="189" spans="7:14">
      <c r="G189" s="1">
        <v>0</v>
      </c>
      <c r="H189" s="1">
        <v>0</v>
      </c>
      <c r="I189" s="1">
        <v>0</v>
      </c>
      <c r="J189" s="1">
        <v>0</v>
      </c>
      <c r="K189" s="1">
        <v>0</v>
      </c>
      <c r="L189" s="1">
        <v>0</v>
      </c>
      <c r="M189" s="1">
        <v>0</v>
      </c>
      <c r="N189" s="1">
        <v>0</v>
      </c>
    </row>
    <row r="190" spans="7:14">
      <c r="G190" s="1">
        <v>0</v>
      </c>
      <c r="H190" s="1">
        <v>0</v>
      </c>
      <c r="I190" s="1">
        <v>0</v>
      </c>
      <c r="J190" s="1">
        <v>0</v>
      </c>
      <c r="K190" s="1">
        <v>0</v>
      </c>
      <c r="L190" s="1">
        <v>0</v>
      </c>
      <c r="M190" s="1">
        <v>0</v>
      </c>
      <c r="N190" s="1">
        <v>0</v>
      </c>
    </row>
    <row r="191" spans="7:14">
      <c r="G191" s="1">
        <v>0</v>
      </c>
      <c r="H191" s="1">
        <v>0</v>
      </c>
      <c r="I191" s="1">
        <v>0</v>
      </c>
      <c r="J191" s="1">
        <v>0</v>
      </c>
      <c r="K191" s="1">
        <v>0</v>
      </c>
      <c r="L191" s="1">
        <v>0</v>
      </c>
      <c r="M191" s="1">
        <v>0</v>
      </c>
      <c r="N191" s="1">
        <v>0</v>
      </c>
    </row>
    <row r="192" spans="7:14">
      <c r="G192" s="1">
        <v>0</v>
      </c>
      <c r="H192" s="1">
        <v>0</v>
      </c>
      <c r="I192" s="1">
        <v>0</v>
      </c>
      <c r="J192" s="1">
        <v>0</v>
      </c>
      <c r="K192" s="1">
        <v>0</v>
      </c>
      <c r="L192" s="1">
        <v>0</v>
      </c>
      <c r="M192" s="1">
        <v>0</v>
      </c>
      <c r="N192" s="1">
        <v>0</v>
      </c>
    </row>
    <row r="193" spans="7:14">
      <c r="G193" s="1">
        <v>0</v>
      </c>
      <c r="H193" s="1">
        <v>0</v>
      </c>
      <c r="I193" s="1">
        <v>0</v>
      </c>
      <c r="J193" s="1">
        <v>0</v>
      </c>
      <c r="K193" s="1">
        <v>0</v>
      </c>
      <c r="L193" s="1">
        <v>0</v>
      </c>
      <c r="M193" s="1">
        <v>0</v>
      </c>
      <c r="N193" s="1">
        <v>0</v>
      </c>
    </row>
    <row r="194" spans="7:14">
      <c r="G194" s="1">
        <v>0</v>
      </c>
      <c r="H194" s="1">
        <v>0</v>
      </c>
      <c r="I194" s="1">
        <v>0</v>
      </c>
      <c r="J194" s="1">
        <v>0</v>
      </c>
      <c r="K194" s="1">
        <v>0</v>
      </c>
      <c r="L194" s="1">
        <v>0</v>
      </c>
      <c r="M194" s="1">
        <v>0</v>
      </c>
      <c r="N194" s="1">
        <v>0</v>
      </c>
    </row>
    <row r="195" spans="7:14">
      <c r="G195" s="1">
        <v>0</v>
      </c>
      <c r="H195" s="1">
        <v>0</v>
      </c>
      <c r="I195" s="1">
        <v>0</v>
      </c>
      <c r="J195" s="1">
        <v>0</v>
      </c>
      <c r="K195" s="1">
        <v>0</v>
      </c>
      <c r="L195" s="1">
        <v>0</v>
      </c>
      <c r="M195" s="1">
        <v>0</v>
      </c>
      <c r="N195" s="1">
        <v>0</v>
      </c>
    </row>
    <row r="196" spans="7:14">
      <c r="G196" s="1">
        <v>0</v>
      </c>
      <c r="H196" s="1">
        <v>0</v>
      </c>
      <c r="I196" s="1">
        <v>0</v>
      </c>
      <c r="J196" s="1">
        <v>0</v>
      </c>
      <c r="K196" s="1">
        <v>0</v>
      </c>
      <c r="L196" s="1">
        <v>0</v>
      </c>
      <c r="M196" s="1">
        <v>0</v>
      </c>
      <c r="N196" s="1">
        <v>0</v>
      </c>
    </row>
    <row r="197" spans="7:14">
      <c r="G197" s="1">
        <v>0</v>
      </c>
      <c r="H197" s="1">
        <v>0</v>
      </c>
      <c r="I197" s="1">
        <v>0</v>
      </c>
      <c r="J197" s="1">
        <v>0</v>
      </c>
      <c r="K197" s="1">
        <v>0</v>
      </c>
      <c r="L197" s="1">
        <v>0</v>
      </c>
      <c r="M197" s="1">
        <v>0</v>
      </c>
      <c r="N197" s="1">
        <v>0</v>
      </c>
    </row>
    <row r="198" spans="7:14">
      <c r="G198" s="1">
        <v>0</v>
      </c>
      <c r="H198" s="1">
        <v>0</v>
      </c>
      <c r="I198" s="1">
        <v>0</v>
      </c>
      <c r="J198" s="1">
        <v>0</v>
      </c>
      <c r="K198" s="1">
        <v>0</v>
      </c>
      <c r="L198" s="1">
        <v>0</v>
      </c>
      <c r="M198" s="1">
        <v>0</v>
      </c>
      <c r="N198" s="1">
        <v>0</v>
      </c>
    </row>
    <row r="199" spans="7:14">
      <c r="G199" s="1">
        <v>0</v>
      </c>
      <c r="H199" s="1">
        <v>0</v>
      </c>
      <c r="I199" s="1">
        <v>0</v>
      </c>
      <c r="J199" s="1">
        <v>0</v>
      </c>
      <c r="K199" s="1">
        <v>0</v>
      </c>
      <c r="L199" s="1">
        <v>0</v>
      </c>
      <c r="M199" s="1">
        <v>0</v>
      </c>
      <c r="N199" s="1">
        <v>0</v>
      </c>
    </row>
    <row r="200" spans="7:14">
      <c r="G200" s="1">
        <v>0</v>
      </c>
      <c r="H200" s="1">
        <v>0</v>
      </c>
      <c r="I200" s="1">
        <v>0</v>
      </c>
      <c r="J200" s="1">
        <v>0</v>
      </c>
      <c r="K200" s="1">
        <v>0</v>
      </c>
      <c r="L200" s="1">
        <v>0</v>
      </c>
      <c r="M200" s="1">
        <v>0</v>
      </c>
      <c r="N200" s="1">
        <v>0</v>
      </c>
    </row>
    <row r="201" spans="7:14">
      <c r="G201" s="1">
        <v>0</v>
      </c>
      <c r="H201" s="1">
        <v>0</v>
      </c>
      <c r="I201" s="1">
        <v>0</v>
      </c>
      <c r="J201" s="1">
        <v>0</v>
      </c>
      <c r="K201" s="1">
        <v>0</v>
      </c>
      <c r="L201" s="1">
        <v>0</v>
      </c>
      <c r="M201" s="1">
        <v>0</v>
      </c>
      <c r="N201" s="1">
        <v>0</v>
      </c>
    </row>
    <row r="202" spans="7:14">
      <c r="G202" s="1">
        <v>0</v>
      </c>
      <c r="H202" s="1">
        <v>0</v>
      </c>
      <c r="I202" s="1">
        <v>0</v>
      </c>
      <c r="J202" s="1">
        <v>0</v>
      </c>
      <c r="K202" s="1">
        <v>0</v>
      </c>
      <c r="L202" s="1">
        <v>0</v>
      </c>
      <c r="M202" s="1">
        <v>0</v>
      </c>
      <c r="N202" s="1">
        <v>0</v>
      </c>
    </row>
    <row r="203" spans="7:14">
      <c r="G203" s="1">
        <v>0</v>
      </c>
      <c r="H203" s="1">
        <v>0</v>
      </c>
      <c r="I203" s="1">
        <v>0</v>
      </c>
      <c r="J203" s="1">
        <v>0</v>
      </c>
      <c r="K203" s="1">
        <v>0</v>
      </c>
      <c r="L203" s="1">
        <v>0</v>
      </c>
      <c r="M203" s="1">
        <v>0</v>
      </c>
      <c r="N203" s="1">
        <v>0</v>
      </c>
    </row>
    <row r="204" spans="7:14">
      <c r="G204" s="1">
        <v>0</v>
      </c>
      <c r="H204" s="1">
        <v>0</v>
      </c>
      <c r="I204" s="1">
        <v>0</v>
      </c>
      <c r="J204" s="1">
        <v>0</v>
      </c>
      <c r="K204" s="1">
        <v>0</v>
      </c>
      <c r="L204" s="1">
        <v>0</v>
      </c>
      <c r="M204" s="1">
        <v>0</v>
      </c>
      <c r="N204" s="1">
        <v>0</v>
      </c>
    </row>
    <row r="205" spans="7:14">
      <c r="G205" s="1">
        <v>0</v>
      </c>
      <c r="H205" s="1">
        <v>0</v>
      </c>
      <c r="I205" s="1">
        <v>0</v>
      </c>
      <c r="J205" s="1">
        <v>0</v>
      </c>
      <c r="K205" s="1">
        <v>0</v>
      </c>
      <c r="L205" s="1">
        <v>0</v>
      </c>
      <c r="M205" s="1">
        <v>0</v>
      </c>
      <c r="N205" s="1">
        <v>0</v>
      </c>
    </row>
    <row r="206" spans="7:14">
      <c r="G206" s="1">
        <v>0</v>
      </c>
      <c r="H206" s="1">
        <v>0</v>
      </c>
      <c r="I206" s="1">
        <v>0</v>
      </c>
      <c r="J206" s="1">
        <v>0</v>
      </c>
      <c r="K206" s="1">
        <v>0</v>
      </c>
      <c r="L206" s="1">
        <v>0</v>
      </c>
      <c r="M206" s="1">
        <v>0</v>
      </c>
      <c r="N206" s="1">
        <v>0</v>
      </c>
    </row>
    <row r="207" spans="7:14">
      <c r="G207" s="1">
        <v>0</v>
      </c>
      <c r="H207" s="1">
        <v>0</v>
      </c>
      <c r="I207" s="1">
        <v>0</v>
      </c>
      <c r="J207" s="1">
        <v>0</v>
      </c>
      <c r="K207" s="1">
        <v>0</v>
      </c>
      <c r="L207" s="1">
        <v>0</v>
      </c>
      <c r="M207" s="1">
        <v>0</v>
      </c>
      <c r="N207" s="1">
        <v>0</v>
      </c>
    </row>
    <row r="208" spans="7:14">
      <c r="G208" s="1">
        <v>0</v>
      </c>
      <c r="H208" s="1">
        <v>0</v>
      </c>
      <c r="I208" s="1">
        <v>0</v>
      </c>
      <c r="J208" s="1">
        <v>0</v>
      </c>
      <c r="K208" s="1">
        <v>0</v>
      </c>
      <c r="L208" s="1">
        <v>0</v>
      </c>
      <c r="M208" s="1">
        <v>0</v>
      </c>
      <c r="N208" s="1">
        <v>0</v>
      </c>
    </row>
    <row r="209" spans="7:14">
      <c r="G209" s="1">
        <v>0</v>
      </c>
      <c r="H209" s="1">
        <v>0</v>
      </c>
      <c r="I209" s="1">
        <v>0</v>
      </c>
      <c r="J209" s="1">
        <v>0</v>
      </c>
      <c r="K209" s="1">
        <v>0</v>
      </c>
      <c r="L209" s="1">
        <v>0</v>
      </c>
      <c r="M209" s="1">
        <v>0</v>
      </c>
      <c r="N209" s="1">
        <v>0</v>
      </c>
    </row>
    <row r="210" spans="7:14">
      <c r="G210" s="1">
        <v>0</v>
      </c>
      <c r="H210" s="1">
        <v>0</v>
      </c>
      <c r="I210" s="1">
        <v>0</v>
      </c>
      <c r="J210" s="1">
        <v>0</v>
      </c>
      <c r="K210" s="1">
        <v>0</v>
      </c>
      <c r="L210" s="1">
        <v>0</v>
      </c>
      <c r="M210" s="1">
        <v>0</v>
      </c>
      <c r="N210" s="1">
        <v>0</v>
      </c>
    </row>
    <row r="211" spans="7:14">
      <c r="G211" s="1">
        <v>0</v>
      </c>
      <c r="H211" s="1">
        <v>0</v>
      </c>
      <c r="I211" s="1">
        <v>0</v>
      </c>
      <c r="J211" s="1">
        <v>0</v>
      </c>
      <c r="K211" s="1">
        <v>0</v>
      </c>
      <c r="L211" s="1">
        <v>0</v>
      </c>
      <c r="M211" s="1">
        <v>0</v>
      </c>
      <c r="N211" s="1">
        <v>0</v>
      </c>
    </row>
    <row r="212" spans="7:14">
      <c r="G212" s="1">
        <v>0</v>
      </c>
      <c r="H212" s="1">
        <v>0</v>
      </c>
      <c r="I212" s="1">
        <v>0</v>
      </c>
      <c r="J212" s="1">
        <v>0</v>
      </c>
      <c r="K212" s="1">
        <v>0</v>
      </c>
      <c r="L212" s="1">
        <v>0</v>
      </c>
      <c r="M212" s="1">
        <v>0</v>
      </c>
      <c r="N212" s="1">
        <v>0</v>
      </c>
    </row>
    <row r="213" spans="7:14">
      <c r="G213" s="1">
        <v>0</v>
      </c>
      <c r="H213" s="1">
        <v>0</v>
      </c>
      <c r="I213" s="1">
        <v>0</v>
      </c>
      <c r="J213" s="1">
        <v>0</v>
      </c>
      <c r="K213" s="1">
        <v>0</v>
      </c>
      <c r="L213" s="1">
        <v>0</v>
      </c>
      <c r="M213" s="1">
        <v>0</v>
      </c>
      <c r="N213" s="1">
        <v>0</v>
      </c>
    </row>
    <row r="214" spans="7:14">
      <c r="G214" s="1">
        <v>0</v>
      </c>
      <c r="H214" s="1">
        <v>0</v>
      </c>
      <c r="I214" s="1">
        <v>0</v>
      </c>
      <c r="J214" s="1">
        <v>0</v>
      </c>
      <c r="K214" s="1">
        <v>0</v>
      </c>
      <c r="L214" s="1">
        <v>0</v>
      </c>
      <c r="M214" s="1">
        <v>0</v>
      </c>
      <c r="N214" s="1">
        <v>0</v>
      </c>
    </row>
    <row r="215" spans="7:14">
      <c r="G215" s="1">
        <v>0</v>
      </c>
      <c r="H215" s="1">
        <v>0</v>
      </c>
      <c r="I215" s="1">
        <v>0</v>
      </c>
      <c r="J215" s="1">
        <v>0</v>
      </c>
      <c r="K215" s="1">
        <v>0</v>
      </c>
      <c r="L215" s="1">
        <v>0</v>
      </c>
      <c r="M215" s="1">
        <v>0</v>
      </c>
      <c r="N215" s="1">
        <v>0</v>
      </c>
    </row>
    <row r="216" spans="7:14">
      <c r="G216" s="1">
        <v>0</v>
      </c>
      <c r="H216" s="1">
        <v>0</v>
      </c>
      <c r="I216" s="1">
        <v>0</v>
      </c>
      <c r="J216" s="1">
        <v>0</v>
      </c>
      <c r="K216" s="1">
        <v>0</v>
      </c>
      <c r="L216" s="1">
        <v>0</v>
      </c>
      <c r="M216" s="1">
        <v>0</v>
      </c>
      <c r="N216" s="1">
        <v>0</v>
      </c>
    </row>
    <row r="217" spans="7:14">
      <c r="G217" s="1">
        <v>0</v>
      </c>
      <c r="H217" s="1">
        <v>0</v>
      </c>
      <c r="I217" s="1">
        <v>0</v>
      </c>
      <c r="J217" s="1">
        <v>0</v>
      </c>
      <c r="K217" s="1">
        <v>0</v>
      </c>
      <c r="L217" s="1">
        <v>0</v>
      </c>
      <c r="M217" s="1">
        <v>0</v>
      </c>
      <c r="N217" s="1">
        <v>0</v>
      </c>
    </row>
    <row r="218" spans="7:14">
      <c r="G218" s="1">
        <v>0</v>
      </c>
      <c r="H218" s="1">
        <v>0</v>
      </c>
      <c r="I218" s="1">
        <v>0</v>
      </c>
      <c r="J218" s="1">
        <v>0</v>
      </c>
      <c r="K218" s="1">
        <v>0</v>
      </c>
      <c r="L218" s="1">
        <v>0</v>
      </c>
      <c r="M218" s="1">
        <v>0</v>
      </c>
      <c r="N218" s="1">
        <v>0</v>
      </c>
    </row>
    <row r="219" spans="7:14">
      <c r="G219" s="1">
        <v>0</v>
      </c>
      <c r="H219" s="1">
        <v>0</v>
      </c>
      <c r="I219" s="1">
        <v>0</v>
      </c>
      <c r="J219" s="1">
        <v>0</v>
      </c>
      <c r="K219" s="1">
        <v>0</v>
      </c>
      <c r="L219" s="1">
        <v>0</v>
      </c>
      <c r="M219" s="1">
        <v>0</v>
      </c>
      <c r="N219" s="1">
        <v>0</v>
      </c>
    </row>
    <row r="220" spans="7:14">
      <c r="G220" s="1">
        <v>0</v>
      </c>
      <c r="H220" s="1">
        <v>0</v>
      </c>
      <c r="I220" s="1">
        <v>0</v>
      </c>
      <c r="J220" s="1">
        <v>0</v>
      </c>
      <c r="K220" s="1">
        <v>0</v>
      </c>
      <c r="L220" s="1">
        <v>0</v>
      </c>
      <c r="M220" s="1">
        <v>0</v>
      </c>
      <c r="N220" s="1">
        <v>0</v>
      </c>
    </row>
    <row r="221" spans="7:14">
      <c r="G221" s="1">
        <v>0</v>
      </c>
      <c r="H221" s="1">
        <v>0</v>
      </c>
      <c r="I221" s="1">
        <v>0</v>
      </c>
      <c r="J221" s="1">
        <v>0</v>
      </c>
      <c r="K221" s="1">
        <v>0</v>
      </c>
      <c r="L221" s="1">
        <v>0</v>
      </c>
      <c r="M221" s="1">
        <v>0</v>
      </c>
      <c r="N221" s="1">
        <v>0</v>
      </c>
    </row>
    <row r="222" spans="7:14">
      <c r="G222" s="1">
        <v>0</v>
      </c>
      <c r="H222" s="1">
        <v>0</v>
      </c>
      <c r="I222" s="1">
        <v>0</v>
      </c>
      <c r="J222" s="1">
        <v>0</v>
      </c>
      <c r="K222" s="1">
        <v>0</v>
      </c>
      <c r="L222" s="1">
        <v>0</v>
      </c>
      <c r="M222" s="1">
        <v>0</v>
      </c>
      <c r="N222" s="1">
        <v>0</v>
      </c>
    </row>
    <row r="223" spans="7:14">
      <c r="G223" s="1">
        <v>0</v>
      </c>
      <c r="H223" s="1">
        <v>0</v>
      </c>
      <c r="I223" s="1">
        <v>0</v>
      </c>
      <c r="J223" s="1">
        <v>0</v>
      </c>
      <c r="K223" s="1">
        <v>0</v>
      </c>
      <c r="L223" s="1">
        <v>0</v>
      </c>
      <c r="M223" s="1">
        <v>0</v>
      </c>
      <c r="N223" s="1">
        <v>0</v>
      </c>
    </row>
    <row r="224" spans="7:14">
      <c r="G224" s="1">
        <v>0</v>
      </c>
      <c r="H224" s="1">
        <v>0</v>
      </c>
      <c r="I224" s="1">
        <v>0</v>
      </c>
      <c r="J224" s="1">
        <v>0</v>
      </c>
      <c r="K224" s="1">
        <v>0</v>
      </c>
      <c r="L224" s="1">
        <v>0</v>
      </c>
      <c r="M224" s="1">
        <v>0</v>
      </c>
      <c r="N224" s="1">
        <v>0</v>
      </c>
    </row>
    <row r="225" spans="7:14">
      <c r="G225" s="1">
        <v>0</v>
      </c>
      <c r="H225" s="1">
        <v>0</v>
      </c>
      <c r="I225" s="1">
        <v>0</v>
      </c>
      <c r="J225" s="1">
        <v>0</v>
      </c>
      <c r="K225" s="1">
        <v>0</v>
      </c>
      <c r="L225" s="1">
        <v>0</v>
      </c>
      <c r="M225" s="1">
        <v>0</v>
      </c>
      <c r="N225" s="1">
        <v>0</v>
      </c>
    </row>
    <row r="226" spans="7:14">
      <c r="G226" s="1">
        <v>0</v>
      </c>
      <c r="H226" s="1">
        <v>0</v>
      </c>
      <c r="I226" s="1">
        <v>0</v>
      </c>
      <c r="J226" s="1">
        <v>0</v>
      </c>
      <c r="K226" s="1">
        <v>0</v>
      </c>
      <c r="L226" s="1">
        <v>0</v>
      </c>
      <c r="M226" s="1">
        <v>0</v>
      </c>
      <c r="N226" s="1">
        <v>0</v>
      </c>
    </row>
    <row r="227" spans="7:14">
      <c r="G227" s="1">
        <v>0</v>
      </c>
      <c r="H227" s="1">
        <v>0</v>
      </c>
      <c r="I227" s="1">
        <v>0</v>
      </c>
      <c r="J227" s="1">
        <v>0</v>
      </c>
      <c r="K227" s="1">
        <v>0</v>
      </c>
      <c r="L227" s="1">
        <v>0</v>
      </c>
      <c r="M227" s="1">
        <v>0</v>
      </c>
      <c r="N227" s="1">
        <v>0</v>
      </c>
    </row>
    <row r="228" spans="7:14">
      <c r="G228" s="1">
        <v>0</v>
      </c>
      <c r="H228" s="1">
        <v>0</v>
      </c>
      <c r="I228" s="1">
        <v>0</v>
      </c>
      <c r="J228" s="1">
        <v>0</v>
      </c>
      <c r="K228" s="1">
        <v>0</v>
      </c>
      <c r="L228" s="1">
        <v>0</v>
      </c>
      <c r="M228" s="1">
        <v>0</v>
      </c>
      <c r="N228" s="1">
        <v>0</v>
      </c>
    </row>
    <row r="229" spans="7:14">
      <c r="G229" s="1">
        <v>0</v>
      </c>
      <c r="H229" s="1">
        <v>0</v>
      </c>
      <c r="I229" s="1">
        <v>0</v>
      </c>
      <c r="J229" s="1">
        <v>0</v>
      </c>
      <c r="K229" s="1">
        <v>0</v>
      </c>
      <c r="L229" s="1">
        <v>0</v>
      </c>
      <c r="M229" s="1">
        <v>0</v>
      </c>
      <c r="N229" s="1">
        <v>0</v>
      </c>
    </row>
    <row r="230" spans="7:14">
      <c r="G230" s="1">
        <v>0</v>
      </c>
      <c r="H230" s="1">
        <v>0</v>
      </c>
      <c r="I230" s="1">
        <v>0</v>
      </c>
      <c r="J230" s="1">
        <v>0</v>
      </c>
      <c r="K230" s="1">
        <v>0</v>
      </c>
      <c r="L230" s="1">
        <v>0</v>
      </c>
      <c r="M230" s="1">
        <v>0</v>
      </c>
      <c r="N230" s="1">
        <v>0</v>
      </c>
    </row>
    <row r="231" spans="7:14">
      <c r="G231" s="1">
        <v>0</v>
      </c>
      <c r="H231" s="1">
        <v>0</v>
      </c>
      <c r="I231" s="1">
        <v>0</v>
      </c>
      <c r="J231" s="1">
        <v>0</v>
      </c>
      <c r="K231" s="1">
        <v>0</v>
      </c>
      <c r="L231" s="1">
        <v>0</v>
      </c>
      <c r="M231" s="1">
        <v>0</v>
      </c>
      <c r="N231" s="1">
        <v>0</v>
      </c>
    </row>
    <row r="232" spans="7:14">
      <c r="G232" s="1">
        <v>0</v>
      </c>
      <c r="H232" s="1">
        <v>0</v>
      </c>
      <c r="I232" s="1">
        <v>0</v>
      </c>
      <c r="J232" s="1">
        <v>0</v>
      </c>
      <c r="K232" s="1">
        <v>0</v>
      </c>
      <c r="L232" s="1">
        <v>0</v>
      </c>
      <c r="M232" s="1">
        <v>0</v>
      </c>
      <c r="N232" s="1">
        <v>0</v>
      </c>
    </row>
    <row r="233" spans="7:14">
      <c r="G233" s="1">
        <v>0</v>
      </c>
      <c r="H233" s="1">
        <v>0</v>
      </c>
      <c r="I233" s="1">
        <v>0</v>
      </c>
      <c r="J233" s="1">
        <v>0</v>
      </c>
      <c r="K233" s="1">
        <v>0</v>
      </c>
      <c r="L233" s="1">
        <v>0</v>
      </c>
      <c r="M233" s="1">
        <v>0</v>
      </c>
      <c r="N233" s="1">
        <v>0</v>
      </c>
    </row>
    <row r="234" spans="7:14">
      <c r="G234" s="1">
        <v>0</v>
      </c>
      <c r="H234" s="1">
        <v>0</v>
      </c>
      <c r="I234" s="1">
        <v>0</v>
      </c>
      <c r="J234" s="1">
        <v>0</v>
      </c>
      <c r="K234" s="1">
        <v>0</v>
      </c>
      <c r="L234" s="1">
        <v>0</v>
      </c>
      <c r="M234" s="1">
        <v>0</v>
      </c>
      <c r="N234" s="1">
        <v>0</v>
      </c>
    </row>
    <row r="235" spans="7:14">
      <c r="G235" s="1">
        <v>0</v>
      </c>
      <c r="H235" s="1">
        <v>0</v>
      </c>
      <c r="I235" s="1">
        <v>0</v>
      </c>
      <c r="J235" s="1">
        <v>0</v>
      </c>
      <c r="K235" s="1">
        <v>0</v>
      </c>
      <c r="L235" s="1">
        <v>0</v>
      </c>
      <c r="M235" s="1">
        <v>0</v>
      </c>
      <c r="N235" s="1">
        <v>0</v>
      </c>
    </row>
    <row r="236" spans="7:14">
      <c r="G236" s="1">
        <v>0</v>
      </c>
      <c r="H236" s="1">
        <v>0</v>
      </c>
      <c r="I236" s="1">
        <v>0</v>
      </c>
      <c r="J236" s="1">
        <v>0</v>
      </c>
      <c r="K236" s="1">
        <v>0</v>
      </c>
      <c r="L236" s="1">
        <v>0</v>
      </c>
      <c r="M236" s="1">
        <v>0</v>
      </c>
      <c r="N236" s="1">
        <v>0</v>
      </c>
    </row>
    <row r="237" spans="7:14">
      <c r="G237" s="1">
        <v>0</v>
      </c>
      <c r="H237" s="1">
        <v>0</v>
      </c>
      <c r="I237" s="1">
        <v>0</v>
      </c>
      <c r="J237" s="1">
        <v>0</v>
      </c>
      <c r="K237" s="1">
        <v>0</v>
      </c>
      <c r="L237" s="1">
        <v>0</v>
      </c>
      <c r="M237" s="1">
        <v>0</v>
      </c>
      <c r="N237" s="1">
        <v>0</v>
      </c>
    </row>
    <row r="238" spans="7:14">
      <c r="G238" s="1">
        <v>0</v>
      </c>
      <c r="H238" s="1">
        <v>0</v>
      </c>
      <c r="I238" s="1">
        <v>0</v>
      </c>
      <c r="J238" s="1">
        <v>0</v>
      </c>
      <c r="K238" s="1">
        <v>0</v>
      </c>
      <c r="L238" s="1">
        <v>0</v>
      </c>
      <c r="M238" s="1">
        <v>0</v>
      </c>
      <c r="N238" s="1">
        <v>0</v>
      </c>
    </row>
    <row r="239" spans="7:14">
      <c r="G239" s="1">
        <v>0</v>
      </c>
      <c r="H239" s="1">
        <v>0</v>
      </c>
      <c r="I239" s="1">
        <v>0</v>
      </c>
      <c r="J239" s="1">
        <v>0</v>
      </c>
      <c r="K239" s="1">
        <v>0</v>
      </c>
      <c r="L239" s="1">
        <v>0</v>
      </c>
      <c r="M239" s="1">
        <v>0</v>
      </c>
      <c r="N239" s="1">
        <v>0</v>
      </c>
    </row>
    <row r="240" spans="7:14">
      <c r="G240" s="1">
        <v>0</v>
      </c>
      <c r="H240" s="1">
        <v>0</v>
      </c>
      <c r="I240" s="1">
        <v>0</v>
      </c>
      <c r="J240" s="1">
        <v>0</v>
      </c>
      <c r="K240" s="1">
        <v>0</v>
      </c>
      <c r="L240" s="1">
        <v>0</v>
      </c>
      <c r="M240" s="1">
        <v>0</v>
      </c>
      <c r="N240" s="1">
        <v>0</v>
      </c>
    </row>
    <row r="241" spans="7:14">
      <c r="G241" s="1">
        <v>0</v>
      </c>
      <c r="H241" s="1">
        <v>0</v>
      </c>
      <c r="I241" s="1">
        <v>0</v>
      </c>
      <c r="J241" s="1">
        <v>0</v>
      </c>
      <c r="K241" s="1">
        <v>0</v>
      </c>
      <c r="L241" s="1">
        <v>0</v>
      </c>
      <c r="M241" s="1">
        <v>0</v>
      </c>
      <c r="N241" s="1">
        <v>0</v>
      </c>
    </row>
    <row r="242" spans="7:14">
      <c r="G242" s="1">
        <v>0</v>
      </c>
      <c r="H242" s="1">
        <v>0</v>
      </c>
      <c r="I242" s="1">
        <v>0</v>
      </c>
      <c r="J242" s="1">
        <v>0</v>
      </c>
      <c r="K242" s="1">
        <v>0</v>
      </c>
      <c r="L242" s="1">
        <v>0</v>
      </c>
      <c r="M242" s="1">
        <v>0</v>
      </c>
      <c r="N242" s="1">
        <v>0</v>
      </c>
    </row>
    <row r="243" spans="7:14">
      <c r="G243" s="1">
        <v>0</v>
      </c>
      <c r="H243" s="1">
        <v>0</v>
      </c>
      <c r="I243" s="1">
        <v>0</v>
      </c>
      <c r="J243" s="1">
        <v>0</v>
      </c>
      <c r="K243" s="1">
        <v>0</v>
      </c>
      <c r="L243" s="1">
        <v>0</v>
      </c>
      <c r="M243" s="1">
        <v>0</v>
      </c>
      <c r="N243" s="1">
        <v>0</v>
      </c>
    </row>
    <row r="244" spans="7:14">
      <c r="G244" s="1">
        <v>0</v>
      </c>
      <c r="H244" s="1">
        <v>0</v>
      </c>
      <c r="I244" s="1">
        <v>0</v>
      </c>
      <c r="J244" s="1">
        <v>0</v>
      </c>
      <c r="K244" s="1">
        <v>0</v>
      </c>
      <c r="L244" s="1">
        <v>0</v>
      </c>
      <c r="M244" s="1">
        <v>0</v>
      </c>
      <c r="N244" s="1">
        <v>0</v>
      </c>
    </row>
    <row r="245" spans="7:14">
      <c r="G245" s="1">
        <v>0</v>
      </c>
      <c r="H245" s="1">
        <v>0</v>
      </c>
      <c r="I245" s="1">
        <v>0</v>
      </c>
      <c r="J245" s="1">
        <v>0</v>
      </c>
      <c r="K245" s="1">
        <v>0</v>
      </c>
      <c r="L245" s="1">
        <v>0</v>
      </c>
      <c r="M245" s="1">
        <v>0</v>
      </c>
      <c r="N245" s="1">
        <v>0</v>
      </c>
    </row>
    <row r="246" spans="7:14">
      <c r="G246" s="1">
        <v>0</v>
      </c>
      <c r="H246" s="1">
        <v>0</v>
      </c>
      <c r="I246" s="1">
        <v>0</v>
      </c>
      <c r="J246" s="1">
        <v>0</v>
      </c>
      <c r="K246" s="1">
        <v>0</v>
      </c>
      <c r="L246" s="1">
        <v>0</v>
      </c>
      <c r="M246" s="1">
        <v>0</v>
      </c>
      <c r="N246" s="1">
        <v>0</v>
      </c>
    </row>
    <row r="247" spans="7:14">
      <c r="G247" s="1">
        <v>0</v>
      </c>
      <c r="H247" s="1">
        <v>0</v>
      </c>
      <c r="I247" s="1">
        <v>0</v>
      </c>
      <c r="J247" s="1">
        <v>0</v>
      </c>
      <c r="K247" s="1">
        <v>0</v>
      </c>
      <c r="L247" s="1">
        <v>0</v>
      </c>
      <c r="M247" s="1">
        <v>0</v>
      </c>
      <c r="N247" s="1">
        <v>0</v>
      </c>
    </row>
    <row r="248" spans="7:14">
      <c r="G248" s="1">
        <v>0</v>
      </c>
      <c r="H248" s="1">
        <v>0</v>
      </c>
      <c r="I248" s="1">
        <v>0</v>
      </c>
      <c r="J248" s="1">
        <v>0</v>
      </c>
      <c r="K248" s="1">
        <v>0</v>
      </c>
      <c r="L248" s="1">
        <v>0</v>
      </c>
      <c r="M248" s="1">
        <v>0</v>
      </c>
      <c r="N248" s="1">
        <v>0</v>
      </c>
    </row>
    <row r="249" spans="7:14">
      <c r="G249" s="1">
        <v>0</v>
      </c>
      <c r="H249" s="1">
        <v>0</v>
      </c>
      <c r="I249" s="1">
        <v>0</v>
      </c>
      <c r="J249" s="1">
        <v>0</v>
      </c>
      <c r="K249" s="1">
        <v>0</v>
      </c>
      <c r="L249" s="1">
        <v>0</v>
      </c>
      <c r="M249" s="1">
        <v>0</v>
      </c>
      <c r="N249" s="1">
        <v>0</v>
      </c>
    </row>
    <row r="250" spans="7:14">
      <c r="G250" s="1">
        <v>0</v>
      </c>
      <c r="H250" s="1">
        <v>0</v>
      </c>
      <c r="I250" s="1">
        <v>0</v>
      </c>
      <c r="J250" s="1">
        <v>0</v>
      </c>
      <c r="K250" s="1">
        <v>0</v>
      </c>
      <c r="L250" s="1">
        <v>0</v>
      </c>
      <c r="M250" s="1">
        <v>0</v>
      </c>
      <c r="N250" s="1">
        <v>0</v>
      </c>
    </row>
    <row r="251" spans="7:14">
      <c r="G251" s="1">
        <v>0</v>
      </c>
      <c r="H251" s="1">
        <v>0</v>
      </c>
      <c r="I251" s="1">
        <v>0</v>
      </c>
      <c r="J251" s="1">
        <v>0</v>
      </c>
      <c r="K251" s="1">
        <v>0</v>
      </c>
      <c r="L251" s="1">
        <v>0</v>
      </c>
      <c r="M251" s="1">
        <v>0</v>
      </c>
      <c r="N251" s="1">
        <v>0</v>
      </c>
    </row>
    <row r="252" spans="7:14">
      <c r="G252" s="1">
        <v>0</v>
      </c>
      <c r="H252" s="1">
        <v>0</v>
      </c>
      <c r="I252" s="1">
        <v>0</v>
      </c>
      <c r="J252" s="1">
        <v>0</v>
      </c>
      <c r="K252" s="1">
        <v>0</v>
      </c>
      <c r="L252" s="1">
        <v>0</v>
      </c>
      <c r="M252" s="1">
        <v>0</v>
      </c>
      <c r="N252" s="1">
        <v>0</v>
      </c>
    </row>
    <row r="253" spans="7:14">
      <c r="G253" s="1">
        <v>0</v>
      </c>
      <c r="H253" s="1">
        <v>0</v>
      </c>
      <c r="I253" s="1">
        <v>0</v>
      </c>
      <c r="J253" s="1">
        <v>0</v>
      </c>
      <c r="K253" s="1">
        <v>0</v>
      </c>
      <c r="L253" s="1">
        <v>0</v>
      </c>
      <c r="M253" s="1">
        <v>0</v>
      </c>
      <c r="N253" s="1">
        <v>0</v>
      </c>
    </row>
    <row r="254" spans="7:14">
      <c r="G254" s="1">
        <v>0</v>
      </c>
      <c r="H254" s="1">
        <v>0</v>
      </c>
      <c r="I254" s="1">
        <v>0</v>
      </c>
      <c r="J254" s="1">
        <v>0</v>
      </c>
      <c r="K254" s="1">
        <v>0</v>
      </c>
      <c r="L254" s="1">
        <v>0</v>
      </c>
      <c r="M254" s="1">
        <v>0</v>
      </c>
      <c r="N254" s="1">
        <v>0</v>
      </c>
    </row>
    <row r="255" spans="7:14">
      <c r="G255" s="1">
        <v>0</v>
      </c>
      <c r="H255" s="1">
        <v>0</v>
      </c>
      <c r="I255" s="1">
        <v>0</v>
      </c>
      <c r="J255" s="1">
        <v>0</v>
      </c>
      <c r="K255" s="1">
        <v>0</v>
      </c>
      <c r="L255" s="1">
        <v>0</v>
      </c>
      <c r="M255" s="1">
        <v>0</v>
      </c>
      <c r="N255" s="1">
        <v>0</v>
      </c>
    </row>
    <row r="256" spans="7:14">
      <c r="G256" s="1">
        <v>0</v>
      </c>
      <c r="H256" s="1">
        <v>0</v>
      </c>
      <c r="I256" s="1">
        <v>0</v>
      </c>
      <c r="J256" s="1">
        <v>0</v>
      </c>
      <c r="K256" s="1">
        <v>0</v>
      </c>
      <c r="L256" s="1">
        <v>0</v>
      </c>
      <c r="M256" s="1">
        <v>0</v>
      </c>
      <c r="N256" s="1">
        <v>0</v>
      </c>
    </row>
    <row r="257" spans="7:14">
      <c r="G257" s="1">
        <v>0</v>
      </c>
      <c r="H257" s="1">
        <v>0</v>
      </c>
      <c r="I257" s="1">
        <v>0</v>
      </c>
      <c r="J257" s="1">
        <v>0</v>
      </c>
      <c r="K257" s="1">
        <v>0</v>
      </c>
      <c r="L257" s="1">
        <v>0</v>
      </c>
      <c r="M257" s="1">
        <v>0</v>
      </c>
      <c r="N257" s="1">
        <v>0</v>
      </c>
    </row>
    <row r="258" spans="7:14">
      <c r="G258" s="1">
        <v>0</v>
      </c>
      <c r="H258" s="1">
        <v>0</v>
      </c>
      <c r="I258" s="1">
        <v>0</v>
      </c>
      <c r="J258" s="1">
        <v>0</v>
      </c>
      <c r="K258" s="1">
        <v>0</v>
      </c>
      <c r="L258" s="1">
        <v>0</v>
      </c>
      <c r="M258" s="1">
        <v>0</v>
      </c>
      <c r="N258" s="1">
        <v>0</v>
      </c>
    </row>
    <row r="259" spans="7:14">
      <c r="G259" s="1">
        <v>0</v>
      </c>
      <c r="H259" s="1">
        <v>0</v>
      </c>
      <c r="I259" s="1">
        <v>0</v>
      </c>
      <c r="J259" s="1">
        <v>0</v>
      </c>
      <c r="K259" s="1">
        <v>0</v>
      </c>
      <c r="L259" s="1">
        <v>0</v>
      </c>
      <c r="M259" s="1">
        <v>0</v>
      </c>
      <c r="N259" s="1">
        <v>0</v>
      </c>
    </row>
    <row r="260" spans="7:14">
      <c r="G260" s="1">
        <v>0</v>
      </c>
      <c r="H260" s="1">
        <v>0</v>
      </c>
      <c r="I260" s="1">
        <v>0</v>
      </c>
      <c r="J260" s="1">
        <v>0</v>
      </c>
      <c r="K260" s="1">
        <v>0</v>
      </c>
      <c r="L260" s="1">
        <v>0</v>
      </c>
      <c r="M260" s="1">
        <v>0</v>
      </c>
      <c r="N260" s="1">
        <v>0</v>
      </c>
    </row>
    <row r="261" spans="7:14">
      <c r="G261" s="1">
        <v>0</v>
      </c>
      <c r="H261" s="1">
        <v>0</v>
      </c>
      <c r="I261" s="1">
        <v>0</v>
      </c>
      <c r="J261" s="1">
        <v>0</v>
      </c>
      <c r="K261" s="1">
        <v>0</v>
      </c>
      <c r="L261" s="1">
        <v>0</v>
      </c>
      <c r="M261" s="1">
        <v>0</v>
      </c>
      <c r="N261" s="1">
        <v>0</v>
      </c>
    </row>
    <row r="262" spans="7:14">
      <c r="G262" s="1">
        <v>0</v>
      </c>
      <c r="H262" s="1">
        <v>0</v>
      </c>
      <c r="I262" s="1">
        <v>0</v>
      </c>
      <c r="J262" s="1">
        <v>0</v>
      </c>
      <c r="K262" s="1">
        <v>0</v>
      </c>
      <c r="L262" s="1">
        <v>0</v>
      </c>
      <c r="M262" s="1">
        <v>0</v>
      </c>
      <c r="N262" s="1">
        <v>0</v>
      </c>
    </row>
    <row r="263" spans="7:14">
      <c r="G263" s="1">
        <v>0</v>
      </c>
      <c r="H263" s="1">
        <v>0</v>
      </c>
      <c r="I263" s="1">
        <v>0</v>
      </c>
      <c r="J263" s="1">
        <v>0</v>
      </c>
      <c r="K263" s="1">
        <v>0</v>
      </c>
      <c r="L263" s="1">
        <v>0</v>
      </c>
      <c r="M263" s="1">
        <v>0</v>
      </c>
      <c r="N263" s="1">
        <v>0</v>
      </c>
    </row>
    <row r="264" spans="7:14">
      <c r="G264" s="1">
        <v>0</v>
      </c>
      <c r="H264" s="1">
        <v>0</v>
      </c>
      <c r="I264" s="1">
        <v>0</v>
      </c>
      <c r="J264" s="1">
        <v>0</v>
      </c>
      <c r="K264" s="1">
        <v>0</v>
      </c>
      <c r="L264" s="1">
        <v>0</v>
      </c>
      <c r="M264" s="1">
        <v>0</v>
      </c>
      <c r="N264" s="1">
        <v>0</v>
      </c>
    </row>
    <row r="265" spans="7:14">
      <c r="G265" s="1">
        <v>0</v>
      </c>
      <c r="H265" s="1">
        <v>0</v>
      </c>
      <c r="I265" s="1">
        <v>0</v>
      </c>
      <c r="J265" s="1">
        <v>0</v>
      </c>
      <c r="K265" s="1">
        <v>0</v>
      </c>
      <c r="L265" s="1">
        <v>0</v>
      </c>
      <c r="M265" s="1">
        <v>0</v>
      </c>
      <c r="N265" s="1">
        <v>0</v>
      </c>
    </row>
    <row r="266" spans="7:14">
      <c r="G266" s="1">
        <v>0</v>
      </c>
      <c r="H266" s="1">
        <v>0</v>
      </c>
      <c r="I266" s="1">
        <v>0</v>
      </c>
      <c r="J266" s="1">
        <v>0</v>
      </c>
      <c r="K266" s="1">
        <v>0</v>
      </c>
      <c r="L266" s="1">
        <v>0</v>
      </c>
      <c r="M266" s="1">
        <v>0</v>
      </c>
      <c r="N266" s="1">
        <v>0</v>
      </c>
    </row>
    <row r="267" spans="7:14">
      <c r="G267" s="1">
        <v>0</v>
      </c>
      <c r="H267" s="1">
        <v>0</v>
      </c>
      <c r="I267" s="1">
        <v>0</v>
      </c>
      <c r="J267" s="1">
        <v>0</v>
      </c>
      <c r="K267" s="1">
        <v>0</v>
      </c>
      <c r="L267" s="1">
        <v>0</v>
      </c>
      <c r="M267" s="1">
        <v>0</v>
      </c>
      <c r="N267" s="1">
        <v>0</v>
      </c>
    </row>
    <row r="268" spans="7:14">
      <c r="G268" s="1">
        <v>0</v>
      </c>
      <c r="H268" s="1">
        <v>0</v>
      </c>
      <c r="I268" s="1">
        <v>0</v>
      </c>
      <c r="J268" s="1">
        <v>0</v>
      </c>
      <c r="K268" s="1">
        <v>0</v>
      </c>
      <c r="L268" s="1">
        <v>0</v>
      </c>
      <c r="M268" s="1">
        <v>0</v>
      </c>
      <c r="N268" s="1">
        <v>0</v>
      </c>
    </row>
    <row r="269" spans="7:14">
      <c r="G269" s="1">
        <v>0</v>
      </c>
      <c r="H269" s="1">
        <v>0</v>
      </c>
      <c r="I269" s="1">
        <v>0</v>
      </c>
      <c r="J269" s="1">
        <v>0</v>
      </c>
      <c r="K269" s="1">
        <v>0</v>
      </c>
      <c r="L269" s="1">
        <v>0</v>
      </c>
      <c r="M269" s="1">
        <v>0</v>
      </c>
      <c r="N269" s="1">
        <v>0</v>
      </c>
    </row>
    <row r="270" spans="7:14">
      <c r="G270" s="1">
        <v>0</v>
      </c>
      <c r="H270" s="1">
        <v>0</v>
      </c>
      <c r="I270" s="1">
        <v>0</v>
      </c>
      <c r="J270" s="1">
        <v>0</v>
      </c>
      <c r="K270" s="1">
        <v>0</v>
      </c>
      <c r="L270" s="1">
        <v>0</v>
      </c>
      <c r="M270" s="1">
        <v>0</v>
      </c>
      <c r="N270" s="1">
        <v>0</v>
      </c>
    </row>
    <row r="271" spans="7:14">
      <c r="G271" s="1">
        <v>0</v>
      </c>
      <c r="H271" s="1">
        <v>0</v>
      </c>
      <c r="I271" s="1">
        <v>0</v>
      </c>
      <c r="J271" s="1">
        <v>0</v>
      </c>
      <c r="K271" s="1">
        <v>0</v>
      </c>
      <c r="L271" s="1">
        <v>0</v>
      </c>
      <c r="M271" s="1">
        <v>0</v>
      </c>
      <c r="N271" s="1">
        <v>0</v>
      </c>
    </row>
    <row r="272" spans="7:14">
      <c r="G272" s="1">
        <v>0</v>
      </c>
      <c r="H272" s="1">
        <v>0</v>
      </c>
      <c r="I272" s="1">
        <v>0</v>
      </c>
      <c r="J272" s="1">
        <v>0</v>
      </c>
      <c r="K272" s="1">
        <v>0</v>
      </c>
      <c r="L272" s="1">
        <v>0</v>
      </c>
      <c r="M272" s="1">
        <v>0</v>
      </c>
      <c r="N272" s="1">
        <v>0</v>
      </c>
    </row>
    <row r="273" spans="7:14">
      <c r="G273" s="1">
        <v>0</v>
      </c>
      <c r="H273" s="1">
        <v>0</v>
      </c>
      <c r="I273" s="1">
        <v>0</v>
      </c>
      <c r="J273" s="1">
        <v>0</v>
      </c>
      <c r="K273" s="1">
        <v>0</v>
      </c>
      <c r="L273" s="1">
        <v>0</v>
      </c>
      <c r="M273" s="1">
        <v>0</v>
      </c>
      <c r="N273" s="1">
        <v>0</v>
      </c>
    </row>
    <row r="274" spans="7:14">
      <c r="G274" s="1">
        <v>0</v>
      </c>
      <c r="H274" s="1">
        <v>0</v>
      </c>
      <c r="I274" s="1">
        <v>0</v>
      </c>
      <c r="J274" s="1">
        <v>0</v>
      </c>
      <c r="K274" s="1">
        <v>0</v>
      </c>
      <c r="L274" s="1">
        <v>0</v>
      </c>
      <c r="M274" s="1">
        <v>0</v>
      </c>
      <c r="N274" s="1">
        <v>0</v>
      </c>
    </row>
    <row r="275" spans="7:14">
      <c r="G275" s="1">
        <v>0</v>
      </c>
      <c r="H275" s="1">
        <v>0</v>
      </c>
      <c r="I275" s="1">
        <v>0</v>
      </c>
      <c r="J275" s="1">
        <v>0</v>
      </c>
      <c r="K275" s="1">
        <v>0</v>
      </c>
      <c r="L275" s="1">
        <v>0</v>
      </c>
      <c r="M275" s="1">
        <v>0</v>
      </c>
      <c r="N275" s="1">
        <v>0</v>
      </c>
    </row>
    <row r="276" spans="7:14">
      <c r="G276" s="1">
        <v>0</v>
      </c>
      <c r="H276" s="1">
        <v>0</v>
      </c>
      <c r="I276" s="1">
        <v>0</v>
      </c>
      <c r="J276" s="1">
        <v>0</v>
      </c>
      <c r="K276" s="1">
        <v>0</v>
      </c>
      <c r="L276" s="1">
        <v>0</v>
      </c>
      <c r="M276" s="1">
        <v>0</v>
      </c>
      <c r="N276" s="1">
        <v>0</v>
      </c>
    </row>
    <row r="277" spans="7:14">
      <c r="G277" s="1">
        <v>0</v>
      </c>
      <c r="H277" s="1">
        <v>0</v>
      </c>
      <c r="I277" s="1">
        <v>0</v>
      </c>
      <c r="J277" s="1">
        <v>0</v>
      </c>
      <c r="K277" s="1">
        <v>0</v>
      </c>
      <c r="L277" s="1">
        <v>0</v>
      </c>
      <c r="M277" s="1">
        <v>0</v>
      </c>
      <c r="N277" s="1">
        <v>0</v>
      </c>
    </row>
    <row r="278" spans="7:14">
      <c r="G278" s="1">
        <v>0</v>
      </c>
      <c r="H278" s="1">
        <v>0</v>
      </c>
      <c r="I278" s="1">
        <v>0</v>
      </c>
      <c r="J278" s="1">
        <v>0</v>
      </c>
      <c r="K278" s="1">
        <v>0</v>
      </c>
      <c r="L278" s="1">
        <v>0</v>
      </c>
      <c r="M278" s="1">
        <v>0</v>
      </c>
      <c r="N278" s="1">
        <v>0</v>
      </c>
    </row>
    <row r="279" spans="7:14">
      <c r="G279" s="1">
        <v>0</v>
      </c>
      <c r="H279" s="1">
        <v>0</v>
      </c>
      <c r="I279" s="1">
        <v>0</v>
      </c>
      <c r="J279" s="1">
        <v>0</v>
      </c>
      <c r="K279" s="1">
        <v>0</v>
      </c>
      <c r="L279" s="1">
        <v>0</v>
      </c>
      <c r="M279" s="1">
        <v>0</v>
      </c>
      <c r="N279" s="1">
        <v>0</v>
      </c>
    </row>
    <row r="280" spans="7:14">
      <c r="G280" s="1">
        <v>0</v>
      </c>
      <c r="H280" s="1">
        <v>0</v>
      </c>
      <c r="I280" s="1">
        <v>0</v>
      </c>
      <c r="J280" s="1">
        <v>0</v>
      </c>
      <c r="K280" s="1">
        <v>0</v>
      </c>
      <c r="L280" s="1">
        <v>0</v>
      </c>
      <c r="M280" s="1">
        <v>0</v>
      </c>
      <c r="N280" s="1">
        <v>0</v>
      </c>
    </row>
    <row r="281" spans="7:14">
      <c r="G281" s="1">
        <v>0</v>
      </c>
      <c r="H281" s="1">
        <v>0</v>
      </c>
      <c r="I281" s="1">
        <v>0</v>
      </c>
      <c r="J281" s="1">
        <v>0</v>
      </c>
      <c r="K281" s="1">
        <v>0</v>
      </c>
      <c r="L281" s="1">
        <v>0</v>
      </c>
      <c r="M281" s="1">
        <v>0</v>
      </c>
      <c r="N281" s="1">
        <v>0</v>
      </c>
    </row>
    <row r="282" spans="7:14">
      <c r="G282" s="1">
        <v>0</v>
      </c>
      <c r="H282" s="1">
        <v>0</v>
      </c>
      <c r="I282" s="1">
        <v>0</v>
      </c>
      <c r="J282" s="1">
        <v>0</v>
      </c>
      <c r="K282" s="1">
        <v>0</v>
      </c>
      <c r="L282" s="1">
        <v>0</v>
      </c>
      <c r="M282" s="1">
        <v>0</v>
      </c>
      <c r="N282" s="1">
        <v>0</v>
      </c>
    </row>
    <row r="283" spans="7:14">
      <c r="G283" s="1">
        <v>0</v>
      </c>
      <c r="H283" s="1">
        <v>0</v>
      </c>
      <c r="I283" s="1">
        <v>0</v>
      </c>
      <c r="J283" s="1">
        <v>0</v>
      </c>
      <c r="K283" s="1">
        <v>0</v>
      </c>
      <c r="L283" s="1">
        <v>0</v>
      </c>
      <c r="M283" s="1">
        <v>0</v>
      </c>
      <c r="N283" s="1">
        <v>0</v>
      </c>
    </row>
    <row r="284" spans="7:14">
      <c r="G284" s="1">
        <v>0</v>
      </c>
      <c r="H284" s="1">
        <v>0</v>
      </c>
      <c r="I284" s="1">
        <v>0</v>
      </c>
      <c r="J284" s="1">
        <v>0</v>
      </c>
      <c r="K284" s="1">
        <v>0</v>
      </c>
      <c r="L284" s="1">
        <v>0</v>
      </c>
      <c r="M284" s="1">
        <v>0</v>
      </c>
      <c r="N284" s="1">
        <v>0</v>
      </c>
    </row>
    <row r="285" spans="7:14">
      <c r="G285" s="1">
        <v>0</v>
      </c>
      <c r="H285" s="1">
        <v>0</v>
      </c>
      <c r="I285" s="1">
        <v>0</v>
      </c>
      <c r="J285" s="1">
        <v>0</v>
      </c>
      <c r="K285" s="1">
        <v>0</v>
      </c>
      <c r="L285" s="1">
        <v>0</v>
      </c>
      <c r="M285" s="1">
        <v>0</v>
      </c>
      <c r="N285" s="1">
        <v>0</v>
      </c>
    </row>
    <row r="286" spans="7:14">
      <c r="G286" s="1">
        <v>0</v>
      </c>
      <c r="H286" s="1">
        <v>0</v>
      </c>
      <c r="I286" s="1">
        <v>0</v>
      </c>
      <c r="J286" s="1">
        <v>0</v>
      </c>
      <c r="K286" s="1">
        <v>0</v>
      </c>
      <c r="L286" s="1">
        <v>0</v>
      </c>
      <c r="M286" s="1">
        <v>0</v>
      </c>
      <c r="N286" s="1">
        <v>0</v>
      </c>
    </row>
    <row r="287" spans="7:14">
      <c r="G287" s="1">
        <v>0</v>
      </c>
      <c r="H287" s="1">
        <v>0</v>
      </c>
      <c r="I287" s="1">
        <v>0</v>
      </c>
      <c r="J287" s="1">
        <v>0</v>
      </c>
      <c r="K287" s="1">
        <v>0</v>
      </c>
      <c r="L287" s="1">
        <v>0</v>
      </c>
      <c r="M287" s="1">
        <v>0</v>
      </c>
      <c r="N287" s="1">
        <v>0</v>
      </c>
    </row>
    <row r="288" spans="7:14">
      <c r="G288" s="1">
        <v>0</v>
      </c>
      <c r="H288" s="1">
        <v>0</v>
      </c>
      <c r="I288" s="1">
        <v>0</v>
      </c>
      <c r="J288" s="1">
        <v>0</v>
      </c>
      <c r="K288" s="1">
        <v>0</v>
      </c>
      <c r="L288" s="1">
        <v>0</v>
      </c>
      <c r="M288" s="1">
        <v>0</v>
      </c>
      <c r="N288" s="1">
        <v>0</v>
      </c>
    </row>
    <row r="289" spans="7:14">
      <c r="G289" s="1">
        <v>0</v>
      </c>
      <c r="H289" s="1">
        <v>0</v>
      </c>
      <c r="I289" s="1">
        <v>0</v>
      </c>
      <c r="J289" s="1">
        <v>0</v>
      </c>
      <c r="K289" s="1">
        <v>0</v>
      </c>
      <c r="L289" s="1">
        <v>0</v>
      </c>
      <c r="M289" s="1">
        <v>0</v>
      </c>
      <c r="N289" s="1">
        <v>0</v>
      </c>
    </row>
    <row r="290" spans="7:14">
      <c r="G290" s="1">
        <v>0</v>
      </c>
      <c r="H290" s="1">
        <v>0</v>
      </c>
      <c r="I290" s="1">
        <v>0</v>
      </c>
      <c r="J290" s="1">
        <v>0</v>
      </c>
      <c r="K290" s="1">
        <v>0</v>
      </c>
      <c r="L290" s="1">
        <v>0</v>
      </c>
      <c r="M290" s="1">
        <v>0</v>
      </c>
      <c r="N290" s="1">
        <v>0</v>
      </c>
    </row>
    <row r="291" spans="7:14">
      <c r="G291" s="1">
        <v>0</v>
      </c>
      <c r="H291" s="1">
        <v>0</v>
      </c>
      <c r="I291" s="1">
        <v>0</v>
      </c>
      <c r="J291" s="1">
        <v>0</v>
      </c>
      <c r="K291" s="1">
        <v>0</v>
      </c>
      <c r="L291" s="1">
        <v>0</v>
      </c>
      <c r="M291" s="1">
        <v>0</v>
      </c>
      <c r="N291" s="1">
        <v>0</v>
      </c>
    </row>
    <row r="292" spans="7:14">
      <c r="G292" s="1">
        <v>0</v>
      </c>
      <c r="H292" s="1">
        <v>0</v>
      </c>
      <c r="I292" s="1">
        <v>0</v>
      </c>
      <c r="J292" s="1">
        <v>0</v>
      </c>
      <c r="K292" s="1">
        <v>0</v>
      </c>
      <c r="L292" s="1">
        <v>0</v>
      </c>
      <c r="M292" s="1">
        <v>0</v>
      </c>
      <c r="N292" s="1">
        <v>0</v>
      </c>
    </row>
    <row r="293" spans="7:14">
      <c r="G293" s="1">
        <v>0</v>
      </c>
      <c r="H293" s="1">
        <v>0</v>
      </c>
      <c r="I293" s="1">
        <v>0</v>
      </c>
      <c r="J293" s="1">
        <v>0</v>
      </c>
      <c r="K293" s="1">
        <v>0</v>
      </c>
      <c r="L293" s="1">
        <v>0</v>
      </c>
      <c r="M293" s="1">
        <v>0</v>
      </c>
      <c r="N293" s="1">
        <v>0</v>
      </c>
    </row>
    <row r="294" spans="7:14">
      <c r="G294" s="1">
        <v>0</v>
      </c>
      <c r="H294" s="1">
        <v>0</v>
      </c>
      <c r="I294" s="1">
        <v>0</v>
      </c>
      <c r="J294" s="1">
        <v>0</v>
      </c>
      <c r="K294" s="1">
        <v>0</v>
      </c>
      <c r="L294" s="1">
        <v>0</v>
      </c>
      <c r="M294" s="1">
        <v>0</v>
      </c>
      <c r="N294" s="1">
        <v>0</v>
      </c>
    </row>
    <row r="295" spans="7:14">
      <c r="G295" s="1">
        <v>0</v>
      </c>
      <c r="H295" s="1">
        <v>0</v>
      </c>
      <c r="I295" s="1">
        <v>0</v>
      </c>
      <c r="J295" s="1">
        <v>0</v>
      </c>
      <c r="K295" s="1">
        <v>0</v>
      </c>
      <c r="L295" s="1">
        <v>0</v>
      </c>
      <c r="M295" s="1">
        <v>0</v>
      </c>
      <c r="N295" s="1">
        <v>0</v>
      </c>
    </row>
    <row r="296" spans="7:14">
      <c r="G296" s="1">
        <v>0</v>
      </c>
      <c r="H296" s="1">
        <v>0</v>
      </c>
      <c r="I296" s="1">
        <v>0</v>
      </c>
      <c r="J296" s="1">
        <v>0</v>
      </c>
      <c r="K296" s="1">
        <v>0</v>
      </c>
      <c r="L296" s="1">
        <v>0</v>
      </c>
      <c r="M296" s="1">
        <v>0</v>
      </c>
      <c r="N296" s="1">
        <v>0</v>
      </c>
    </row>
    <row r="297" spans="7:14">
      <c r="G297" s="1">
        <v>0</v>
      </c>
      <c r="H297" s="1">
        <v>0</v>
      </c>
      <c r="I297" s="1">
        <v>0</v>
      </c>
      <c r="J297" s="1">
        <v>0</v>
      </c>
      <c r="K297" s="1">
        <v>0</v>
      </c>
      <c r="L297" s="1">
        <v>0</v>
      </c>
      <c r="M297" s="1">
        <v>0</v>
      </c>
      <c r="N297" s="1">
        <v>0</v>
      </c>
    </row>
    <row r="298" spans="7:14">
      <c r="G298" s="1">
        <v>0</v>
      </c>
      <c r="H298" s="1">
        <v>0</v>
      </c>
      <c r="I298" s="1">
        <v>0</v>
      </c>
      <c r="J298" s="1">
        <v>0</v>
      </c>
      <c r="K298" s="1">
        <v>0</v>
      </c>
      <c r="L298" s="1">
        <v>0</v>
      </c>
      <c r="M298" s="1">
        <v>0</v>
      </c>
      <c r="N298" s="1">
        <v>0</v>
      </c>
    </row>
    <row r="299" spans="7:14">
      <c r="G299" s="1">
        <v>0</v>
      </c>
      <c r="H299" s="1">
        <v>0</v>
      </c>
      <c r="I299" s="1">
        <v>0</v>
      </c>
      <c r="J299" s="1">
        <v>0</v>
      </c>
      <c r="K299" s="1">
        <v>0</v>
      </c>
      <c r="L299" s="1">
        <v>0</v>
      </c>
      <c r="M299" s="1">
        <v>0</v>
      </c>
      <c r="N299" s="1">
        <v>0</v>
      </c>
    </row>
    <row r="300" spans="7:14">
      <c r="G300" s="1">
        <v>0</v>
      </c>
      <c r="H300" s="1">
        <v>0</v>
      </c>
      <c r="I300" s="1">
        <v>0</v>
      </c>
      <c r="J300" s="1">
        <v>0</v>
      </c>
      <c r="K300" s="1">
        <v>0</v>
      </c>
      <c r="L300" s="1">
        <v>0</v>
      </c>
      <c r="M300" s="1">
        <v>0</v>
      </c>
      <c r="N300" s="1">
        <v>0</v>
      </c>
    </row>
    <row r="301" spans="7:14">
      <c r="G301" s="1">
        <v>0</v>
      </c>
      <c r="H301" s="1">
        <v>0</v>
      </c>
      <c r="I301" s="1">
        <v>0</v>
      </c>
      <c r="J301" s="1">
        <v>0</v>
      </c>
      <c r="K301" s="1">
        <v>0</v>
      </c>
      <c r="L301" s="1">
        <v>0</v>
      </c>
      <c r="M301" s="1">
        <v>0</v>
      </c>
      <c r="N301" s="1">
        <v>0</v>
      </c>
    </row>
    <row r="302" spans="7:14">
      <c r="G302" s="1">
        <v>0</v>
      </c>
      <c r="H302" s="1">
        <v>0</v>
      </c>
      <c r="I302" s="1">
        <v>0</v>
      </c>
      <c r="J302" s="1">
        <v>0</v>
      </c>
      <c r="K302" s="1">
        <v>0</v>
      </c>
      <c r="L302" s="1">
        <v>0</v>
      </c>
      <c r="M302" s="1">
        <v>0</v>
      </c>
      <c r="N302" s="1">
        <v>0</v>
      </c>
    </row>
    <row r="303" spans="7:14">
      <c r="G303" s="1">
        <v>0</v>
      </c>
      <c r="H303" s="1">
        <v>0</v>
      </c>
      <c r="I303" s="1">
        <v>0</v>
      </c>
      <c r="J303" s="1">
        <v>0</v>
      </c>
      <c r="K303" s="1">
        <v>0</v>
      </c>
      <c r="L303" s="1">
        <v>0</v>
      </c>
      <c r="M303" s="1">
        <v>0</v>
      </c>
      <c r="N303" s="1">
        <v>0</v>
      </c>
    </row>
    <row r="304" spans="7:14">
      <c r="G304" s="1">
        <v>0</v>
      </c>
      <c r="H304" s="1">
        <v>0</v>
      </c>
      <c r="I304" s="1">
        <v>0</v>
      </c>
      <c r="J304" s="1">
        <v>0</v>
      </c>
      <c r="K304" s="1">
        <v>0</v>
      </c>
      <c r="L304" s="1">
        <v>0</v>
      </c>
      <c r="M304" s="1">
        <v>0</v>
      </c>
      <c r="N304" s="1">
        <v>0</v>
      </c>
    </row>
    <row r="305" spans="7:14">
      <c r="G305" s="1">
        <v>0</v>
      </c>
      <c r="H305" s="1">
        <v>0</v>
      </c>
      <c r="I305" s="1">
        <v>0</v>
      </c>
      <c r="J305" s="1">
        <v>0</v>
      </c>
      <c r="K305" s="1">
        <v>0</v>
      </c>
      <c r="L305" s="1">
        <v>0</v>
      </c>
      <c r="M305" s="1">
        <v>0</v>
      </c>
      <c r="N305" s="1">
        <v>0</v>
      </c>
    </row>
    <row r="306" spans="7:14">
      <c r="G306" s="1">
        <v>0</v>
      </c>
      <c r="H306" s="1">
        <v>0</v>
      </c>
      <c r="I306" s="1">
        <v>0</v>
      </c>
      <c r="J306" s="1">
        <v>0</v>
      </c>
      <c r="K306" s="1">
        <v>0</v>
      </c>
      <c r="L306" s="1">
        <v>0</v>
      </c>
      <c r="M306" s="1">
        <v>0</v>
      </c>
      <c r="N306" s="1">
        <v>0</v>
      </c>
    </row>
    <row r="307" spans="7:14">
      <c r="G307" s="1">
        <v>0</v>
      </c>
      <c r="H307" s="1">
        <v>0</v>
      </c>
      <c r="I307" s="1">
        <v>0</v>
      </c>
      <c r="J307" s="1">
        <v>0</v>
      </c>
      <c r="K307" s="1">
        <v>0</v>
      </c>
      <c r="L307" s="1">
        <v>0</v>
      </c>
      <c r="M307" s="1">
        <v>0</v>
      </c>
      <c r="N307" s="1">
        <v>0</v>
      </c>
    </row>
    <row r="308" spans="7:14">
      <c r="G308" s="1">
        <v>0</v>
      </c>
      <c r="H308" s="1">
        <v>0</v>
      </c>
      <c r="I308" s="1">
        <v>0</v>
      </c>
      <c r="J308" s="1">
        <v>0</v>
      </c>
      <c r="K308" s="1">
        <v>0</v>
      </c>
      <c r="L308" s="1">
        <v>0</v>
      </c>
      <c r="M308" s="1">
        <v>0</v>
      </c>
      <c r="N308" s="1">
        <v>0</v>
      </c>
    </row>
    <row r="309" spans="7:14">
      <c r="G309" s="1">
        <v>0</v>
      </c>
      <c r="H309" s="1">
        <v>0</v>
      </c>
      <c r="I309" s="1">
        <v>0</v>
      </c>
      <c r="J309" s="1">
        <v>0</v>
      </c>
      <c r="K309" s="1">
        <v>0</v>
      </c>
      <c r="L309" s="1">
        <v>0</v>
      </c>
      <c r="M309" s="1">
        <v>0</v>
      </c>
      <c r="N309" s="1">
        <v>0</v>
      </c>
    </row>
    <row r="310" spans="7:14">
      <c r="G310" s="1">
        <v>0</v>
      </c>
      <c r="H310" s="1">
        <v>0</v>
      </c>
      <c r="I310" s="1">
        <v>0</v>
      </c>
      <c r="J310" s="1">
        <v>0</v>
      </c>
      <c r="K310" s="1">
        <v>0</v>
      </c>
      <c r="L310" s="1">
        <v>0</v>
      </c>
      <c r="M310" s="1">
        <v>0</v>
      </c>
      <c r="N310" s="1">
        <v>0</v>
      </c>
    </row>
    <row r="311" spans="7:14">
      <c r="G311" s="1">
        <v>0</v>
      </c>
      <c r="H311" s="1">
        <v>0</v>
      </c>
      <c r="I311" s="1">
        <v>0</v>
      </c>
      <c r="J311" s="1">
        <v>0</v>
      </c>
      <c r="K311" s="1">
        <v>0</v>
      </c>
      <c r="L311" s="1">
        <v>0</v>
      </c>
      <c r="M311" s="1">
        <v>0</v>
      </c>
      <c r="N311" s="1">
        <v>0</v>
      </c>
    </row>
    <row r="312" spans="7:14">
      <c r="G312" s="1">
        <v>0</v>
      </c>
      <c r="H312" s="1">
        <v>0</v>
      </c>
      <c r="I312" s="1">
        <v>0</v>
      </c>
      <c r="J312" s="1">
        <v>0</v>
      </c>
      <c r="K312" s="1">
        <v>0</v>
      </c>
      <c r="L312" s="1">
        <v>0</v>
      </c>
      <c r="M312" s="1">
        <v>0</v>
      </c>
      <c r="N312" s="1">
        <v>0</v>
      </c>
    </row>
    <row r="313" spans="7:14">
      <c r="G313" s="1">
        <v>0</v>
      </c>
      <c r="H313" s="1">
        <v>0</v>
      </c>
      <c r="I313" s="1">
        <v>0</v>
      </c>
      <c r="J313" s="1">
        <v>0</v>
      </c>
      <c r="K313" s="1">
        <v>0</v>
      </c>
      <c r="L313" s="1">
        <v>0</v>
      </c>
      <c r="M313" s="1">
        <v>0</v>
      </c>
      <c r="N313" s="1">
        <v>0</v>
      </c>
    </row>
    <row r="314" spans="7:14">
      <c r="G314" s="1">
        <v>0</v>
      </c>
      <c r="H314" s="1">
        <v>0</v>
      </c>
      <c r="I314" s="1">
        <v>0</v>
      </c>
      <c r="J314" s="1">
        <v>0</v>
      </c>
      <c r="K314" s="1">
        <v>0</v>
      </c>
      <c r="L314" s="1">
        <v>0</v>
      </c>
      <c r="M314" s="1">
        <v>0</v>
      </c>
      <c r="N314" s="1">
        <v>0</v>
      </c>
    </row>
    <row r="315" spans="7:14">
      <c r="G315" s="1">
        <v>0</v>
      </c>
      <c r="H315" s="1">
        <v>0</v>
      </c>
      <c r="I315" s="1">
        <v>0</v>
      </c>
      <c r="J315" s="1">
        <v>0</v>
      </c>
      <c r="K315" s="1">
        <v>0</v>
      </c>
      <c r="L315" s="1">
        <v>0</v>
      </c>
      <c r="M315" s="1">
        <v>0</v>
      </c>
      <c r="N315" s="1">
        <v>0</v>
      </c>
    </row>
    <row r="316" spans="7:14">
      <c r="G316" s="1">
        <v>0</v>
      </c>
      <c r="H316" s="1">
        <v>0</v>
      </c>
      <c r="I316" s="1">
        <v>0</v>
      </c>
      <c r="J316" s="1">
        <v>0</v>
      </c>
      <c r="K316" s="1">
        <v>0</v>
      </c>
      <c r="L316" s="1">
        <v>0</v>
      </c>
      <c r="M316" s="1">
        <v>0</v>
      </c>
      <c r="N316" s="1">
        <v>0</v>
      </c>
    </row>
    <row r="317" spans="7:14">
      <c r="G317" s="1">
        <v>0</v>
      </c>
      <c r="H317" s="1">
        <v>0</v>
      </c>
      <c r="I317" s="1">
        <v>0</v>
      </c>
      <c r="J317" s="1">
        <v>0</v>
      </c>
      <c r="K317" s="1">
        <v>0</v>
      </c>
      <c r="L317" s="1">
        <v>0</v>
      </c>
      <c r="M317" s="1">
        <v>0</v>
      </c>
      <c r="N317" s="1">
        <v>0</v>
      </c>
    </row>
    <row r="318" spans="7:14">
      <c r="G318" s="1">
        <v>0</v>
      </c>
      <c r="H318" s="1">
        <v>0</v>
      </c>
      <c r="I318" s="1">
        <v>0</v>
      </c>
      <c r="J318" s="1">
        <v>0</v>
      </c>
      <c r="K318" s="1">
        <v>0</v>
      </c>
      <c r="L318" s="1">
        <v>0</v>
      </c>
      <c r="M318" s="1">
        <v>0</v>
      </c>
      <c r="N318" s="1">
        <v>0</v>
      </c>
    </row>
    <row r="319" spans="7:14">
      <c r="G319" s="1">
        <v>0</v>
      </c>
      <c r="H319" s="1">
        <v>0</v>
      </c>
      <c r="I319" s="1">
        <v>0</v>
      </c>
      <c r="J319" s="1">
        <v>0</v>
      </c>
      <c r="K319" s="1">
        <v>0</v>
      </c>
      <c r="L319" s="1">
        <v>0</v>
      </c>
      <c r="M319" s="1">
        <v>0</v>
      </c>
      <c r="N319" s="1">
        <v>0</v>
      </c>
    </row>
    <row r="320" spans="7:14">
      <c r="G320" s="1">
        <v>0</v>
      </c>
      <c r="H320" s="1">
        <v>0</v>
      </c>
      <c r="I320" s="1">
        <v>0</v>
      </c>
      <c r="J320" s="1">
        <v>0</v>
      </c>
      <c r="K320" s="1">
        <v>0</v>
      </c>
      <c r="L320" s="1">
        <v>0</v>
      </c>
      <c r="M320" s="1">
        <v>0</v>
      </c>
      <c r="N320" s="1">
        <v>0</v>
      </c>
    </row>
    <row r="321" spans="7:14">
      <c r="G321" s="1">
        <v>0</v>
      </c>
      <c r="H321" s="1">
        <v>0</v>
      </c>
      <c r="I321" s="1">
        <v>0</v>
      </c>
      <c r="J321" s="1">
        <v>0</v>
      </c>
      <c r="K321" s="1">
        <v>0</v>
      </c>
      <c r="L321" s="1">
        <v>0</v>
      </c>
      <c r="M321" s="1">
        <v>0</v>
      </c>
      <c r="N321" s="1">
        <v>0</v>
      </c>
    </row>
    <row r="322" spans="7:14">
      <c r="G322" s="1">
        <v>0</v>
      </c>
      <c r="H322" s="1">
        <v>0</v>
      </c>
      <c r="I322" s="1">
        <v>0</v>
      </c>
      <c r="J322" s="1">
        <v>0</v>
      </c>
      <c r="K322" s="1">
        <v>0</v>
      </c>
      <c r="L322" s="1">
        <v>0</v>
      </c>
      <c r="M322" s="1">
        <v>0</v>
      </c>
      <c r="N322" s="1">
        <v>0</v>
      </c>
    </row>
    <row r="323" spans="7:14">
      <c r="G323" s="1">
        <v>0</v>
      </c>
      <c r="H323" s="1">
        <v>0</v>
      </c>
      <c r="I323" s="1">
        <v>0</v>
      </c>
      <c r="J323" s="1">
        <v>0</v>
      </c>
      <c r="K323" s="1">
        <v>0</v>
      </c>
      <c r="L323" s="1">
        <v>0</v>
      </c>
      <c r="M323" s="1">
        <v>0</v>
      </c>
      <c r="N323" s="1">
        <v>0</v>
      </c>
    </row>
    <row r="324" spans="7:14">
      <c r="G324" s="1">
        <v>0</v>
      </c>
      <c r="H324" s="1">
        <v>0</v>
      </c>
      <c r="I324" s="1">
        <v>0</v>
      </c>
      <c r="J324" s="1">
        <v>0</v>
      </c>
      <c r="K324" s="1">
        <v>0</v>
      </c>
      <c r="L324" s="1">
        <v>0</v>
      </c>
      <c r="M324" s="1">
        <v>0</v>
      </c>
      <c r="N324" s="1">
        <v>0</v>
      </c>
    </row>
    <row r="325" spans="7:14">
      <c r="G325" s="1">
        <v>0</v>
      </c>
      <c r="H325" s="1">
        <v>0</v>
      </c>
      <c r="I325" s="1">
        <v>0</v>
      </c>
      <c r="J325" s="1">
        <v>0</v>
      </c>
      <c r="K325" s="1">
        <v>0</v>
      </c>
      <c r="L325" s="1">
        <v>0</v>
      </c>
      <c r="M325" s="1">
        <v>0</v>
      </c>
      <c r="N325" s="1">
        <v>0</v>
      </c>
    </row>
    <row r="326" spans="7:14">
      <c r="G326" s="1">
        <v>0</v>
      </c>
      <c r="H326" s="1">
        <v>0</v>
      </c>
      <c r="I326" s="1">
        <v>0</v>
      </c>
      <c r="J326" s="1">
        <v>0</v>
      </c>
      <c r="K326" s="1">
        <v>0</v>
      </c>
      <c r="L326" s="1">
        <v>0</v>
      </c>
      <c r="M326" s="1">
        <v>0</v>
      </c>
      <c r="N326" s="1">
        <v>0</v>
      </c>
    </row>
    <row r="327" spans="7:14">
      <c r="G327" s="1">
        <v>0</v>
      </c>
      <c r="H327" s="1">
        <v>0</v>
      </c>
      <c r="I327" s="1">
        <v>0</v>
      </c>
      <c r="J327" s="1">
        <v>0</v>
      </c>
      <c r="K327" s="1">
        <v>0</v>
      </c>
      <c r="L327" s="1">
        <v>0</v>
      </c>
      <c r="M327" s="1">
        <v>0</v>
      </c>
      <c r="N327" s="1">
        <v>0</v>
      </c>
    </row>
    <row r="328" spans="7:14">
      <c r="G328" s="1">
        <v>0</v>
      </c>
      <c r="H328" s="1">
        <v>0</v>
      </c>
      <c r="I328" s="1">
        <v>0</v>
      </c>
      <c r="J328" s="1">
        <v>0</v>
      </c>
      <c r="K328" s="1">
        <v>0</v>
      </c>
      <c r="L328" s="1">
        <v>0</v>
      </c>
      <c r="M328" s="1">
        <v>0</v>
      </c>
      <c r="N328" s="1">
        <v>0</v>
      </c>
    </row>
    <row r="329" spans="7:14">
      <c r="G329" s="1">
        <v>0</v>
      </c>
      <c r="H329" s="1">
        <v>0</v>
      </c>
      <c r="I329" s="1">
        <v>0</v>
      </c>
      <c r="J329" s="1">
        <v>0</v>
      </c>
      <c r="K329" s="1">
        <v>0</v>
      </c>
      <c r="L329" s="1">
        <v>0</v>
      </c>
      <c r="M329" s="1">
        <v>0</v>
      </c>
      <c r="N329" s="1">
        <v>0</v>
      </c>
    </row>
    <row r="330" spans="7:14">
      <c r="G330" s="1">
        <v>0</v>
      </c>
      <c r="H330" s="1">
        <v>0</v>
      </c>
      <c r="I330" s="1">
        <v>0</v>
      </c>
      <c r="J330" s="1">
        <v>0</v>
      </c>
      <c r="K330" s="1">
        <v>0</v>
      </c>
      <c r="L330" s="1">
        <v>0</v>
      </c>
      <c r="M330" s="1">
        <v>0</v>
      </c>
      <c r="N330" s="1">
        <v>0</v>
      </c>
    </row>
    <row r="331" spans="7:14">
      <c r="G331" s="1">
        <v>0</v>
      </c>
      <c r="H331" s="1">
        <v>0</v>
      </c>
      <c r="I331" s="1">
        <v>0</v>
      </c>
      <c r="J331" s="1">
        <v>0</v>
      </c>
      <c r="K331" s="1">
        <v>0</v>
      </c>
      <c r="L331" s="1">
        <v>0</v>
      </c>
      <c r="M331" s="1">
        <v>0</v>
      </c>
      <c r="N331" s="1">
        <v>0</v>
      </c>
    </row>
    <row r="332" spans="7:14">
      <c r="G332" s="1">
        <v>0</v>
      </c>
      <c r="H332" s="1">
        <v>0</v>
      </c>
      <c r="I332" s="1">
        <v>0</v>
      </c>
      <c r="J332" s="1">
        <v>0</v>
      </c>
      <c r="K332" s="1">
        <v>0</v>
      </c>
      <c r="L332" s="1">
        <v>0</v>
      </c>
      <c r="M332" s="1">
        <v>0</v>
      </c>
      <c r="N332" s="1">
        <v>0</v>
      </c>
    </row>
    <row r="333" spans="7:14">
      <c r="G333" s="1">
        <v>0</v>
      </c>
      <c r="H333" s="1">
        <v>0</v>
      </c>
      <c r="I333" s="1">
        <v>0</v>
      </c>
      <c r="J333" s="1">
        <v>0</v>
      </c>
      <c r="K333" s="1">
        <v>0</v>
      </c>
      <c r="L333" s="1">
        <v>0</v>
      </c>
      <c r="M333" s="1">
        <v>0</v>
      </c>
      <c r="N333" s="1">
        <v>0</v>
      </c>
    </row>
    <row r="334" spans="7:14">
      <c r="G334" s="1">
        <v>0</v>
      </c>
      <c r="H334" s="1">
        <v>0</v>
      </c>
      <c r="I334" s="1">
        <v>0</v>
      </c>
      <c r="J334" s="1">
        <v>0</v>
      </c>
      <c r="K334" s="1">
        <v>0</v>
      </c>
      <c r="L334" s="1">
        <v>0</v>
      </c>
      <c r="M334" s="1">
        <v>0</v>
      </c>
      <c r="N334" s="1">
        <v>0</v>
      </c>
    </row>
    <row r="335" spans="7:14">
      <c r="G335" s="1">
        <v>0</v>
      </c>
      <c r="H335" s="1">
        <v>0</v>
      </c>
      <c r="I335" s="1">
        <v>0</v>
      </c>
      <c r="J335" s="1">
        <v>0</v>
      </c>
      <c r="K335" s="1">
        <v>0</v>
      </c>
      <c r="L335" s="1">
        <v>0</v>
      </c>
      <c r="M335" s="1">
        <v>0</v>
      </c>
      <c r="N335" s="1">
        <v>0</v>
      </c>
    </row>
    <row r="336" spans="7:14">
      <c r="G336" s="1">
        <v>0</v>
      </c>
      <c r="H336" s="1">
        <v>0</v>
      </c>
      <c r="I336" s="1">
        <v>0</v>
      </c>
      <c r="J336" s="1">
        <v>0</v>
      </c>
      <c r="K336" s="1">
        <v>0</v>
      </c>
      <c r="L336" s="1">
        <v>0</v>
      </c>
      <c r="M336" s="1">
        <v>0</v>
      </c>
      <c r="N336" s="1">
        <v>0</v>
      </c>
    </row>
    <row r="337" spans="7:14">
      <c r="G337" s="1">
        <v>0</v>
      </c>
      <c r="H337" s="1">
        <v>0</v>
      </c>
      <c r="I337" s="1">
        <v>0</v>
      </c>
      <c r="J337" s="1">
        <v>0</v>
      </c>
      <c r="K337" s="1">
        <v>0</v>
      </c>
      <c r="L337" s="1">
        <v>0</v>
      </c>
      <c r="M337" s="1">
        <v>0</v>
      </c>
      <c r="N337" s="1">
        <v>0</v>
      </c>
    </row>
    <row r="338" spans="7:14">
      <c r="G338" s="1">
        <v>0</v>
      </c>
      <c r="H338" s="1">
        <v>0</v>
      </c>
      <c r="I338" s="1">
        <v>0</v>
      </c>
      <c r="J338" s="1">
        <v>0</v>
      </c>
      <c r="K338" s="1">
        <v>0</v>
      </c>
      <c r="L338" s="1">
        <v>0</v>
      </c>
      <c r="M338" s="1">
        <v>0</v>
      </c>
      <c r="N338" s="1">
        <v>0</v>
      </c>
    </row>
    <row r="339" spans="7:14">
      <c r="G339" s="1">
        <v>0</v>
      </c>
      <c r="H339" s="1">
        <v>0</v>
      </c>
      <c r="I339" s="1">
        <v>0</v>
      </c>
      <c r="J339" s="1">
        <v>0</v>
      </c>
      <c r="K339" s="1">
        <v>0</v>
      </c>
      <c r="L339" s="1">
        <v>0</v>
      </c>
      <c r="M339" s="1">
        <v>0</v>
      </c>
      <c r="N339" s="1">
        <v>0</v>
      </c>
    </row>
    <row r="340" spans="7:14">
      <c r="G340" s="1">
        <v>0</v>
      </c>
      <c r="H340" s="1">
        <v>0</v>
      </c>
      <c r="I340" s="1">
        <v>0</v>
      </c>
      <c r="J340" s="1">
        <v>0</v>
      </c>
      <c r="K340" s="1">
        <v>0</v>
      </c>
      <c r="L340" s="1">
        <v>0</v>
      </c>
      <c r="M340" s="1">
        <v>0</v>
      </c>
      <c r="N340" s="1">
        <v>0</v>
      </c>
    </row>
    <row r="341" spans="7:14">
      <c r="G341" s="1">
        <v>0</v>
      </c>
      <c r="H341" s="1">
        <v>0</v>
      </c>
      <c r="I341" s="1">
        <v>0</v>
      </c>
      <c r="J341" s="1">
        <v>0</v>
      </c>
      <c r="K341" s="1">
        <v>0</v>
      </c>
      <c r="L341" s="1">
        <v>0</v>
      </c>
      <c r="M341" s="1">
        <v>0</v>
      </c>
      <c r="N341" s="1">
        <v>0</v>
      </c>
    </row>
    <row r="342" spans="7:14">
      <c r="G342" s="1">
        <v>0</v>
      </c>
      <c r="H342" s="1">
        <v>0</v>
      </c>
      <c r="I342" s="1">
        <v>0</v>
      </c>
      <c r="J342" s="1">
        <v>0</v>
      </c>
      <c r="K342" s="1">
        <v>0</v>
      </c>
      <c r="L342" s="1">
        <v>0</v>
      </c>
      <c r="M342" s="1">
        <v>0</v>
      </c>
      <c r="N342" s="1">
        <v>0</v>
      </c>
    </row>
    <row r="343" spans="7:14">
      <c r="G343" s="1">
        <v>0</v>
      </c>
      <c r="H343" s="1">
        <v>0</v>
      </c>
      <c r="I343" s="1">
        <v>0</v>
      </c>
      <c r="J343" s="1">
        <v>0</v>
      </c>
      <c r="K343" s="1">
        <v>0</v>
      </c>
      <c r="L343" s="1">
        <v>0</v>
      </c>
      <c r="M343" s="1">
        <v>0</v>
      </c>
      <c r="N343" s="1">
        <v>0</v>
      </c>
    </row>
    <row r="344" spans="7:14">
      <c r="G344" s="1">
        <v>0</v>
      </c>
      <c r="H344" s="1">
        <v>0</v>
      </c>
      <c r="I344" s="1">
        <v>0</v>
      </c>
      <c r="J344" s="1">
        <v>0</v>
      </c>
      <c r="K344" s="1">
        <v>0</v>
      </c>
      <c r="L344" s="1">
        <v>0</v>
      </c>
      <c r="M344" s="1">
        <v>0</v>
      </c>
      <c r="N344" s="1">
        <v>0</v>
      </c>
    </row>
    <row r="345" spans="7:14">
      <c r="G345" s="1">
        <v>0</v>
      </c>
      <c r="H345" s="1">
        <v>0</v>
      </c>
      <c r="I345" s="1">
        <v>0</v>
      </c>
      <c r="J345" s="1">
        <v>0</v>
      </c>
      <c r="K345" s="1">
        <v>0</v>
      </c>
      <c r="L345" s="1">
        <v>0</v>
      </c>
      <c r="M345" s="1">
        <v>0</v>
      </c>
      <c r="N345" s="1">
        <v>0</v>
      </c>
    </row>
    <row r="346" spans="7:14">
      <c r="G346" s="1">
        <v>0</v>
      </c>
      <c r="H346" s="1">
        <v>0</v>
      </c>
      <c r="I346" s="1">
        <v>0</v>
      </c>
      <c r="J346" s="1">
        <v>0</v>
      </c>
      <c r="K346" s="1">
        <v>0</v>
      </c>
      <c r="L346" s="1">
        <v>0</v>
      </c>
      <c r="M346" s="1">
        <v>0</v>
      </c>
      <c r="N346" s="1">
        <v>0</v>
      </c>
    </row>
    <row r="347" spans="7:14">
      <c r="G347" s="1">
        <v>0</v>
      </c>
      <c r="H347" s="1">
        <v>0</v>
      </c>
      <c r="I347" s="1">
        <v>0</v>
      </c>
      <c r="J347" s="1">
        <v>0</v>
      </c>
      <c r="K347" s="1">
        <v>0</v>
      </c>
      <c r="L347" s="1">
        <v>0</v>
      </c>
      <c r="M347" s="1">
        <v>0</v>
      </c>
      <c r="N347" s="1">
        <v>0</v>
      </c>
    </row>
    <row r="348" spans="7:14">
      <c r="G348" s="1">
        <v>0</v>
      </c>
      <c r="H348" s="1">
        <v>0</v>
      </c>
      <c r="I348" s="1">
        <v>0</v>
      </c>
      <c r="J348" s="1">
        <v>0</v>
      </c>
      <c r="K348" s="1">
        <v>0</v>
      </c>
      <c r="L348" s="1">
        <v>0</v>
      </c>
      <c r="M348" s="1">
        <v>0</v>
      </c>
      <c r="N348" s="1">
        <v>0</v>
      </c>
    </row>
    <row r="349" spans="7:14">
      <c r="G349" s="1">
        <v>0</v>
      </c>
      <c r="H349" s="1">
        <v>0</v>
      </c>
      <c r="I349" s="1">
        <v>0</v>
      </c>
      <c r="J349" s="1">
        <v>0</v>
      </c>
      <c r="K349" s="1">
        <v>0</v>
      </c>
      <c r="L349" s="1">
        <v>0</v>
      </c>
      <c r="M349" s="1">
        <v>0</v>
      </c>
      <c r="N349" s="1">
        <v>0</v>
      </c>
    </row>
    <row r="350" spans="7:14">
      <c r="G350" s="1">
        <v>0</v>
      </c>
      <c r="H350" s="1">
        <v>0</v>
      </c>
      <c r="I350" s="1">
        <v>0</v>
      </c>
      <c r="J350" s="1">
        <v>0</v>
      </c>
      <c r="K350" s="1">
        <v>0</v>
      </c>
      <c r="L350" s="1">
        <v>0</v>
      </c>
      <c r="M350" s="1">
        <v>0</v>
      </c>
      <c r="N350" s="1">
        <v>0</v>
      </c>
    </row>
    <row r="351" spans="7:14">
      <c r="G351" s="1">
        <v>0</v>
      </c>
      <c r="H351" s="1">
        <v>0</v>
      </c>
      <c r="I351" s="1">
        <v>0</v>
      </c>
      <c r="J351" s="1">
        <v>0</v>
      </c>
      <c r="K351" s="1">
        <v>0</v>
      </c>
      <c r="L351" s="1">
        <v>0</v>
      </c>
      <c r="M351" s="1">
        <v>0</v>
      </c>
      <c r="N351" s="1">
        <v>0</v>
      </c>
    </row>
    <row r="352" spans="7:14">
      <c r="G352" s="1">
        <v>0</v>
      </c>
      <c r="H352" s="1">
        <v>0</v>
      </c>
      <c r="I352" s="1">
        <v>0</v>
      </c>
      <c r="J352" s="1">
        <v>0</v>
      </c>
      <c r="K352" s="1">
        <v>0</v>
      </c>
      <c r="L352" s="1">
        <v>0</v>
      </c>
      <c r="M352" s="1">
        <v>0</v>
      </c>
      <c r="N352" s="1">
        <v>0</v>
      </c>
    </row>
    <row r="353" spans="7:14">
      <c r="G353" s="1">
        <v>0</v>
      </c>
      <c r="H353" s="1">
        <v>0</v>
      </c>
      <c r="I353" s="1">
        <v>0</v>
      </c>
      <c r="J353" s="1">
        <v>0</v>
      </c>
      <c r="K353" s="1">
        <v>0</v>
      </c>
      <c r="L353" s="1">
        <v>0</v>
      </c>
      <c r="M353" s="1">
        <v>0</v>
      </c>
      <c r="N353" s="1">
        <v>0</v>
      </c>
    </row>
    <row r="354" spans="7:14">
      <c r="G354" s="1">
        <v>0</v>
      </c>
      <c r="H354" s="1">
        <v>0</v>
      </c>
      <c r="I354" s="1">
        <v>0</v>
      </c>
      <c r="J354" s="1">
        <v>0</v>
      </c>
      <c r="K354" s="1">
        <v>0</v>
      </c>
      <c r="L354" s="1">
        <v>0</v>
      </c>
      <c r="M354" s="1">
        <v>0</v>
      </c>
      <c r="N354" s="1">
        <v>0</v>
      </c>
    </row>
    <row r="355" spans="7:14">
      <c r="G355" s="1">
        <v>0</v>
      </c>
      <c r="H355" s="1">
        <v>0</v>
      </c>
      <c r="I355" s="1">
        <v>0</v>
      </c>
      <c r="J355" s="1">
        <v>0</v>
      </c>
      <c r="K355" s="1">
        <v>0</v>
      </c>
      <c r="L355" s="1">
        <v>0</v>
      </c>
      <c r="M355" s="1">
        <v>0</v>
      </c>
      <c r="N355" s="1">
        <v>0</v>
      </c>
    </row>
    <row r="356" spans="7:14">
      <c r="G356" s="1">
        <v>0</v>
      </c>
      <c r="H356" s="1">
        <v>0</v>
      </c>
      <c r="I356" s="1">
        <v>0</v>
      </c>
      <c r="J356" s="1">
        <v>0</v>
      </c>
      <c r="K356" s="1">
        <v>0</v>
      </c>
      <c r="L356" s="1">
        <v>0</v>
      </c>
      <c r="M356" s="1">
        <v>0</v>
      </c>
      <c r="N356" s="1">
        <v>0</v>
      </c>
    </row>
    <row r="357" spans="7:14">
      <c r="G357" s="1">
        <v>0</v>
      </c>
      <c r="H357" s="1">
        <v>0</v>
      </c>
      <c r="I357" s="1">
        <v>0</v>
      </c>
      <c r="J357" s="1">
        <v>0</v>
      </c>
      <c r="K357" s="1">
        <v>0</v>
      </c>
      <c r="L357" s="1">
        <v>0</v>
      </c>
      <c r="M357" s="1">
        <v>0</v>
      </c>
      <c r="N357" s="1">
        <v>0</v>
      </c>
    </row>
    <row r="358" spans="7:14">
      <c r="G358" s="1">
        <v>0</v>
      </c>
      <c r="H358" s="1">
        <v>0</v>
      </c>
      <c r="I358" s="1">
        <v>0</v>
      </c>
      <c r="J358" s="1">
        <v>0</v>
      </c>
      <c r="K358" s="1">
        <v>0</v>
      </c>
      <c r="L358" s="1">
        <v>0</v>
      </c>
      <c r="M358" s="1">
        <v>0</v>
      </c>
      <c r="N358" s="1">
        <v>0</v>
      </c>
    </row>
    <row r="359" spans="7:14">
      <c r="G359" s="1">
        <v>0</v>
      </c>
      <c r="H359" s="1">
        <v>0</v>
      </c>
      <c r="I359" s="1">
        <v>0</v>
      </c>
      <c r="J359" s="1">
        <v>0</v>
      </c>
      <c r="K359" s="1">
        <v>0</v>
      </c>
      <c r="L359" s="1">
        <v>0</v>
      </c>
      <c r="M359" s="1">
        <v>0</v>
      </c>
      <c r="N359" s="1">
        <v>0</v>
      </c>
    </row>
    <row r="360" spans="7:14">
      <c r="G360" s="1">
        <v>0</v>
      </c>
      <c r="H360" s="1">
        <v>0</v>
      </c>
      <c r="I360" s="1">
        <v>0</v>
      </c>
      <c r="J360" s="1">
        <v>0</v>
      </c>
      <c r="K360" s="1">
        <v>0</v>
      </c>
      <c r="L360" s="1">
        <v>0</v>
      </c>
      <c r="M360" s="1">
        <v>0</v>
      </c>
      <c r="N360" s="1">
        <v>0</v>
      </c>
    </row>
    <row r="361" spans="7:14">
      <c r="G361" s="1">
        <v>0</v>
      </c>
      <c r="H361" s="1">
        <v>0</v>
      </c>
      <c r="I361" s="1">
        <v>0</v>
      </c>
      <c r="J361" s="1">
        <v>0</v>
      </c>
      <c r="K361" s="1">
        <v>0</v>
      </c>
      <c r="L361" s="1">
        <v>0</v>
      </c>
      <c r="M361" s="1">
        <v>0</v>
      </c>
      <c r="N361" s="1">
        <v>0</v>
      </c>
    </row>
    <row r="362" spans="7:14">
      <c r="G362" s="1">
        <v>0</v>
      </c>
      <c r="H362" s="1">
        <v>0</v>
      </c>
      <c r="I362" s="1">
        <v>0</v>
      </c>
      <c r="J362" s="1">
        <v>0</v>
      </c>
      <c r="K362" s="1">
        <v>0</v>
      </c>
      <c r="L362" s="1">
        <v>0</v>
      </c>
      <c r="M362" s="1">
        <v>0</v>
      </c>
      <c r="N362" s="1">
        <v>0</v>
      </c>
    </row>
    <row r="363" spans="7:14">
      <c r="G363" s="1">
        <v>0</v>
      </c>
      <c r="H363" s="1">
        <v>0</v>
      </c>
      <c r="I363" s="1">
        <v>0</v>
      </c>
      <c r="J363" s="1">
        <v>0</v>
      </c>
      <c r="K363" s="1">
        <v>0</v>
      </c>
      <c r="L363" s="1">
        <v>0</v>
      </c>
      <c r="M363" s="1">
        <v>0</v>
      </c>
      <c r="N363" s="1">
        <v>0</v>
      </c>
    </row>
    <row r="364" spans="7:14">
      <c r="G364" s="1">
        <v>0</v>
      </c>
      <c r="H364" s="1">
        <v>0</v>
      </c>
      <c r="I364" s="1">
        <v>0</v>
      </c>
      <c r="J364" s="1">
        <v>0</v>
      </c>
      <c r="K364" s="1">
        <v>0</v>
      </c>
      <c r="L364" s="1">
        <v>0</v>
      </c>
      <c r="M364" s="1">
        <v>0</v>
      </c>
      <c r="N364" s="1">
        <v>0</v>
      </c>
    </row>
    <row r="365" spans="7:14">
      <c r="G365" s="1">
        <v>0</v>
      </c>
      <c r="H365" s="1">
        <v>0</v>
      </c>
      <c r="I365" s="1">
        <v>0</v>
      </c>
      <c r="J365" s="1">
        <v>0</v>
      </c>
      <c r="K365" s="1">
        <v>0</v>
      </c>
      <c r="L365" s="1">
        <v>0</v>
      </c>
      <c r="M365" s="1">
        <v>0</v>
      </c>
      <c r="N365" s="1">
        <v>0</v>
      </c>
    </row>
    <row r="366" spans="7:14">
      <c r="G366" s="1">
        <v>0</v>
      </c>
      <c r="H366" s="1">
        <v>0</v>
      </c>
      <c r="I366" s="1">
        <v>0</v>
      </c>
      <c r="J366" s="1">
        <v>0</v>
      </c>
      <c r="K366" s="1">
        <v>0</v>
      </c>
      <c r="L366" s="1">
        <v>0</v>
      </c>
      <c r="M366" s="1">
        <v>0</v>
      </c>
      <c r="N366" s="1">
        <v>0</v>
      </c>
    </row>
    <row r="367" spans="7:14">
      <c r="G367" s="1">
        <v>0</v>
      </c>
      <c r="H367" s="1">
        <v>0</v>
      </c>
      <c r="I367" s="1">
        <v>0</v>
      </c>
      <c r="J367" s="1">
        <v>0</v>
      </c>
      <c r="K367" s="1">
        <v>0</v>
      </c>
      <c r="L367" s="1">
        <v>0</v>
      </c>
      <c r="M367" s="1">
        <v>0</v>
      </c>
      <c r="N367" s="1">
        <v>0</v>
      </c>
    </row>
    <row r="368" spans="7:14">
      <c r="G368" s="1">
        <v>0</v>
      </c>
      <c r="H368" s="1">
        <v>0</v>
      </c>
      <c r="I368" s="1">
        <v>0</v>
      </c>
      <c r="J368" s="1">
        <v>0</v>
      </c>
      <c r="K368" s="1">
        <v>0</v>
      </c>
      <c r="L368" s="1">
        <v>0</v>
      </c>
      <c r="M368" s="1">
        <v>0</v>
      </c>
      <c r="N368" s="1">
        <v>0</v>
      </c>
    </row>
    <row r="369" spans="7:14">
      <c r="G369" s="1">
        <v>0</v>
      </c>
      <c r="H369" s="1">
        <v>0</v>
      </c>
      <c r="I369" s="1">
        <v>0</v>
      </c>
      <c r="J369" s="1">
        <v>0</v>
      </c>
      <c r="K369" s="1">
        <v>0</v>
      </c>
      <c r="L369" s="1">
        <v>0</v>
      </c>
      <c r="M369" s="1">
        <v>0</v>
      </c>
      <c r="N369" s="1">
        <v>0</v>
      </c>
    </row>
    <row r="370" spans="7:14">
      <c r="G370" s="1">
        <v>0</v>
      </c>
      <c r="H370" s="1">
        <v>0</v>
      </c>
      <c r="I370" s="1">
        <v>0</v>
      </c>
      <c r="J370" s="1">
        <v>0</v>
      </c>
      <c r="K370" s="1">
        <v>0</v>
      </c>
      <c r="L370" s="1">
        <v>0</v>
      </c>
      <c r="M370" s="1">
        <v>0</v>
      </c>
      <c r="N370" s="1">
        <v>0</v>
      </c>
    </row>
    <row r="371" spans="7:14">
      <c r="G371" s="1">
        <v>0</v>
      </c>
      <c r="H371" s="1">
        <v>0</v>
      </c>
      <c r="I371" s="1">
        <v>0</v>
      </c>
      <c r="J371" s="1">
        <v>0</v>
      </c>
      <c r="K371" s="1">
        <v>0</v>
      </c>
      <c r="L371" s="1">
        <v>0</v>
      </c>
      <c r="M371" s="1">
        <v>0</v>
      </c>
      <c r="N371" s="1">
        <v>0</v>
      </c>
    </row>
    <row r="372" spans="7:14">
      <c r="G372" s="1">
        <v>0</v>
      </c>
      <c r="H372" s="1">
        <v>0</v>
      </c>
      <c r="I372" s="1">
        <v>0</v>
      </c>
      <c r="J372" s="1">
        <v>0</v>
      </c>
      <c r="K372" s="1">
        <v>0</v>
      </c>
      <c r="L372" s="1">
        <v>0</v>
      </c>
      <c r="M372" s="1">
        <v>0</v>
      </c>
      <c r="N372" s="1">
        <v>0</v>
      </c>
    </row>
    <row r="373" spans="7:14">
      <c r="G373" s="1">
        <v>0</v>
      </c>
      <c r="H373" s="1">
        <v>0</v>
      </c>
      <c r="I373" s="1">
        <v>0</v>
      </c>
      <c r="J373" s="1">
        <v>0</v>
      </c>
      <c r="K373" s="1">
        <v>0</v>
      </c>
      <c r="L373" s="1">
        <v>0</v>
      </c>
      <c r="M373" s="1">
        <v>0</v>
      </c>
      <c r="N373" s="1">
        <v>0</v>
      </c>
    </row>
    <row r="374" spans="7:14">
      <c r="G374" s="1">
        <v>0</v>
      </c>
      <c r="H374" s="1">
        <v>0</v>
      </c>
      <c r="I374" s="1">
        <v>0</v>
      </c>
      <c r="J374" s="1">
        <v>0</v>
      </c>
      <c r="K374" s="1">
        <v>0</v>
      </c>
      <c r="L374" s="1">
        <v>0</v>
      </c>
      <c r="M374" s="1">
        <v>0</v>
      </c>
      <c r="N374" s="1">
        <v>0</v>
      </c>
    </row>
    <row r="375" spans="7:14">
      <c r="G375" s="1">
        <v>0</v>
      </c>
      <c r="H375" s="1">
        <v>0</v>
      </c>
      <c r="I375" s="1">
        <v>0</v>
      </c>
      <c r="J375" s="1">
        <v>0</v>
      </c>
      <c r="K375" s="1">
        <v>0</v>
      </c>
      <c r="L375" s="1">
        <v>0</v>
      </c>
      <c r="M375" s="1">
        <v>0</v>
      </c>
      <c r="N375" s="1">
        <v>0</v>
      </c>
    </row>
    <row r="376" spans="7:14">
      <c r="G376" s="1">
        <v>0</v>
      </c>
      <c r="H376" s="1">
        <v>0</v>
      </c>
      <c r="I376" s="1">
        <v>0</v>
      </c>
      <c r="J376" s="1">
        <v>0</v>
      </c>
      <c r="K376" s="1">
        <v>0</v>
      </c>
      <c r="L376" s="1">
        <v>0</v>
      </c>
      <c r="M376" s="1">
        <v>0</v>
      </c>
      <c r="N376" s="1">
        <v>0</v>
      </c>
    </row>
    <row r="377" spans="7:14">
      <c r="G377" s="1">
        <v>0</v>
      </c>
      <c r="H377" s="1">
        <v>0</v>
      </c>
      <c r="I377" s="1">
        <v>0</v>
      </c>
      <c r="J377" s="1">
        <v>0</v>
      </c>
      <c r="K377" s="1">
        <v>0</v>
      </c>
      <c r="L377" s="1">
        <v>0</v>
      </c>
      <c r="M377" s="1">
        <v>0</v>
      </c>
      <c r="N377" s="1">
        <v>0</v>
      </c>
    </row>
    <row r="378" spans="7:14">
      <c r="G378" s="1">
        <v>0</v>
      </c>
      <c r="H378" s="1">
        <v>0</v>
      </c>
      <c r="I378" s="1">
        <v>0</v>
      </c>
      <c r="J378" s="1">
        <v>0</v>
      </c>
      <c r="K378" s="1">
        <v>0</v>
      </c>
      <c r="L378" s="1">
        <v>0</v>
      </c>
      <c r="M378" s="1">
        <v>0</v>
      </c>
      <c r="N378" s="1">
        <v>0</v>
      </c>
    </row>
    <row r="379" spans="7:14">
      <c r="G379" s="1">
        <v>0</v>
      </c>
      <c r="H379" s="1">
        <v>0</v>
      </c>
      <c r="I379" s="1">
        <v>0</v>
      </c>
      <c r="J379" s="1">
        <v>0</v>
      </c>
      <c r="K379" s="1">
        <v>0</v>
      </c>
      <c r="L379" s="1">
        <v>0</v>
      </c>
      <c r="M379" s="1">
        <v>0</v>
      </c>
      <c r="N379" s="1">
        <v>0</v>
      </c>
    </row>
    <row r="380" spans="7:14">
      <c r="G380" s="1">
        <v>0</v>
      </c>
      <c r="H380" s="1">
        <v>0</v>
      </c>
      <c r="I380" s="1">
        <v>0</v>
      </c>
      <c r="J380" s="1">
        <v>0</v>
      </c>
      <c r="K380" s="1">
        <v>0</v>
      </c>
      <c r="L380" s="1">
        <v>0</v>
      </c>
      <c r="M380" s="1">
        <v>0</v>
      </c>
      <c r="N380" s="1">
        <v>0</v>
      </c>
    </row>
    <row r="381" spans="7:14">
      <c r="G381" s="1">
        <v>0</v>
      </c>
      <c r="H381" s="1">
        <v>0</v>
      </c>
      <c r="I381" s="1">
        <v>0</v>
      </c>
      <c r="J381" s="1">
        <v>0</v>
      </c>
      <c r="K381" s="1">
        <v>0</v>
      </c>
      <c r="L381" s="1">
        <v>0</v>
      </c>
      <c r="M381" s="1">
        <v>0</v>
      </c>
      <c r="N381" s="1">
        <v>0</v>
      </c>
    </row>
    <row r="382" spans="7:14">
      <c r="G382" s="1">
        <v>0</v>
      </c>
      <c r="H382" s="1">
        <v>0</v>
      </c>
      <c r="I382" s="1">
        <v>0</v>
      </c>
      <c r="J382" s="1">
        <v>0</v>
      </c>
      <c r="K382" s="1">
        <v>0</v>
      </c>
      <c r="L382" s="1">
        <v>0</v>
      </c>
      <c r="M382" s="1">
        <v>0</v>
      </c>
      <c r="N382" s="1">
        <v>0</v>
      </c>
    </row>
    <row r="383" spans="7:14">
      <c r="G383" s="1">
        <v>0</v>
      </c>
      <c r="H383" s="1">
        <v>0</v>
      </c>
      <c r="I383" s="1">
        <v>0</v>
      </c>
      <c r="J383" s="1">
        <v>0</v>
      </c>
      <c r="K383" s="1">
        <v>0</v>
      </c>
      <c r="L383" s="1">
        <v>0</v>
      </c>
      <c r="M383" s="1">
        <v>0</v>
      </c>
      <c r="N383" s="1">
        <v>0</v>
      </c>
    </row>
    <row r="384" spans="7:14">
      <c r="G384" s="1">
        <v>0</v>
      </c>
      <c r="H384" s="1">
        <v>0</v>
      </c>
      <c r="I384" s="1">
        <v>0</v>
      </c>
      <c r="J384" s="1">
        <v>0</v>
      </c>
      <c r="K384" s="1">
        <v>0</v>
      </c>
      <c r="L384" s="1">
        <v>0</v>
      </c>
      <c r="M384" s="1">
        <v>0</v>
      </c>
      <c r="N384" s="1">
        <v>0</v>
      </c>
    </row>
    <row r="385" spans="7:14">
      <c r="G385" s="1">
        <v>0</v>
      </c>
      <c r="H385" s="1">
        <v>0</v>
      </c>
      <c r="I385" s="1">
        <v>0</v>
      </c>
      <c r="J385" s="1">
        <v>0</v>
      </c>
      <c r="K385" s="1">
        <v>0</v>
      </c>
      <c r="L385" s="1">
        <v>0</v>
      </c>
      <c r="M385" s="1">
        <v>0</v>
      </c>
      <c r="N385" s="1">
        <v>0</v>
      </c>
    </row>
    <row r="386" spans="7:14">
      <c r="G386" s="1">
        <v>0</v>
      </c>
      <c r="H386" s="1">
        <v>0</v>
      </c>
      <c r="I386" s="1">
        <v>0</v>
      </c>
      <c r="J386" s="1">
        <v>0</v>
      </c>
      <c r="K386" s="1">
        <v>0</v>
      </c>
      <c r="L386" s="1">
        <v>0</v>
      </c>
      <c r="M386" s="1">
        <v>0</v>
      </c>
      <c r="N386" s="1">
        <v>0</v>
      </c>
    </row>
    <row r="387" spans="7:14">
      <c r="G387" s="1">
        <v>0</v>
      </c>
      <c r="H387" s="1">
        <v>0</v>
      </c>
      <c r="I387" s="1">
        <v>0</v>
      </c>
      <c r="J387" s="1">
        <v>0</v>
      </c>
      <c r="K387" s="1">
        <v>0</v>
      </c>
      <c r="L387" s="1">
        <v>0</v>
      </c>
      <c r="M387" s="1">
        <v>0</v>
      </c>
      <c r="N387" s="1">
        <v>0</v>
      </c>
    </row>
    <row r="388" spans="7:14">
      <c r="G388" s="1">
        <v>0</v>
      </c>
      <c r="H388" s="1">
        <v>0</v>
      </c>
      <c r="I388" s="1">
        <v>0</v>
      </c>
      <c r="J388" s="1">
        <v>0</v>
      </c>
      <c r="K388" s="1">
        <v>0</v>
      </c>
      <c r="L388" s="1">
        <v>0</v>
      </c>
      <c r="M388" s="1">
        <v>0</v>
      </c>
      <c r="N388" s="1">
        <v>0</v>
      </c>
    </row>
    <row r="389" spans="7:14">
      <c r="G389" s="1">
        <v>0</v>
      </c>
      <c r="H389" s="1">
        <v>0</v>
      </c>
      <c r="I389" s="1">
        <v>0</v>
      </c>
      <c r="J389" s="1">
        <v>0</v>
      </c>
      <c r="K389" s="1">
        <v>0</v>
      </c>
      <c r="L389" s="1">
        <v>0</v>
      </c>
      <c r="M389" s="1">
        <v>0</v>
      </c>
      <c r="N389" s="1">
        <v>0</v>
      </c>
    </row>
    <row r="390" spans="7:14">
      <c r="G390" s="1">
        <v>0</v>
      </c>
      <c r="H390" s="1">
        <v>0</v>
      </c>
      <c r="I390" s="1">
        <v>0</v>
      </c>
      <c r="J390" s="1">
        <v>0</v>
      </c>
      <c r="K390" s="1">
        <v>0</v>
      </c>
      <c r="L390" s="1">
        <v>0</v>
      </c>
      <c r="M390" s="1">
        <v>0</v>
      </c>
      <c r="N390" s="1">
        <v>0</v>
      </c>
    </row>
    <row r="391" spans="7:14">
      <c r="G391" s="1">
        <v>0</v>
      </c>
      <c r="H391" s="1">
        <v>0</v>
      </c>
      <c r="I391" s="1">
        <v>0</v>
      </c>
      <c r="J391" s="1">
        <v>0</v>
      </c>
      <c r="K391" s="1">
        <v>0</v>
      </c>
      <c r="L391" s="1">
        <v>0</v>
      </c>
      <c r="M391" s="1">
        <v>0</v>
      </c>
      <c r="N391" s="1">
        <v>0</v>
      </c>
    </row>
    <row r="392" spans="7:14">
      <c r="G392" s="1">
        <v>0</v>
      </c>
      <c r="H392" s="1">
        <v>0</v>
      </c>
      <c r="I392" s="1">
        <v>0</v>
      </c>
      <c r="J392" s="1">
        <v>0</v>
      </c>
      <c r="K392" s="1">
        <v>0</v>
      </c>
      <c r="L392" s="1">
        <v>0</v>
      </c>
      <c r="M392" s="1">
        <v>0</v>
      </c>
      <c r="N392" s="1">
        <v>0</v>
      </c>
    </row>
    <row r="393" spans="7:14">
      <c r="G393" s="1">
        <v>0</v>
      </c>
      <c r="H393" s="1">
        <v>0</v>
      </c>
      <c r="I393" s="1">
        <v>0</v>
      </c>
      <c r="J393" s="1">
        <v>0</v>
      </c>
      <c r="K393" s="1">
        <v>0</v>
      </c>
      <c r="L393" s="1">
        <v>0</v>
      </c>
      <c r="M393" s="1">
        <v>0</v>
      </c>
      <c r="N393" s="1">
        <v>0</v>
      </c>
    </row>
    <row r="394" spans="7:14">
      <c r="G394" s="1">
        <v>0</v>
      </c>
      <c r="H394" s="1">
        <v>0</v>
      </c>
      <c r="I394" s="1">
        <v>0</v>
      </c>
      <c r="J394" s="1">
        <v>0</v>
      </c>
      <c r="K394" s="1">
        <v>0</v>
      </c>
      <c r="L394" s="1">
        <v>0</v>
      </c>
      <c r="M394" s="1">
        <v>0</v>
      </c>
      <c r="N394" s="1">
        <v>0</v>
      </c>
    </row>
    <row r="395" spans="7:14">
      <c r="G395" s="1">
        <v>0</v>
      </c>
      <c r="H395" s="1">
        <v>0</v>
      </c>
      <c r="I395" s="1">
        <v>0</v>
      </c>
      <c r="J395" s="1">
        <v>0</v>
      </c>
      <c r="K395" s="1">
        <v>0</v>
      </c>
      <c r="L395" s="1">
        <v>0</v>
      </c>
      <c r="M395" s="1">
        <v>0</v>
      </c>
      <c r="N395" s="1">
        <v>0</v>
      </c>
    </row>
    <row r="396" spans="7:14">
      <c r="G396" s="1">
        <v>0</v>
      </c>
      <c r="H396" s="1">
        <v>0</v>
      </c>
      <c r="I396" s="1">
        <v>0</v>
      </c>
      <c r="J396" s="1">
        <v>0</v>
      </c>
      <c r="K396" s="1">
        <v>0</v>
      </c>
      <c r="L396" s="1">
        <v>0</v>
      </c>
      <c r="M396" s="1">
        <v>0</v>
      </c>
      <c r="N396" s="1">
        <v>0</v>
      </c>
    </row>
    <row r="397" spans="7:14">
      <c r="G397" s="1">
        <v>0</v>
      </c>
      <c r="H397" s="1">
        <v>0</v>
      </c>
      <c r="I397" s="1">
        <v>0</v>
      </c>
      <c r="J397" s="1">
        <v>0</v>
      </c>
      <c r="K397" s="1">
        <v>0</v>
      </c>
      <c r="L397" s="1">
        <v>0</v>
      </c>
      <c r="M397" s="1">
        <v>0</v>
      </c>
      <c r="N397" s="1">
        <v>0</v>
      </c>
    </row>
    <row r="398" spans="7:14">
      <c r="G398" s="1">
        <v>0</v>
      </c>
      <c r="H398" s="1">
        <v>0</v>
      </c>
      <c r="I398" s="1">
        <v>0</v>
      </c>
      <c r="J398" s="1">
        <v>0</v>
      </c>
      <c r="K398" s="1">
        <v>0</v>
      </c>
      <c r="L398" s="1">
        <v>0</v>
      </c>
      <c r="M398" s="1">
        <v>0</v>
      </c>
      <c r="N398" s="1">
        <v>0</v>
      </c>
    </row>
    <row r="399" spans="7:14">
      <c r="G399" s="1">
        <v>0</v>
      </c>
      <c r="H399" s="1">
        <v>0</v>
      </c>
      <c r="I399" s="1">
        <v>0</v>
      </c>
      <c r="J399" s="1">
        <v>0</v>
      </c>
      <c r="K399" s="1">
        <v>0</v>
      </c>
      <c r="L399" s="1">
        <v>0</v>
      </c>
      <c r="M399" s="1">
        <v>0</v>
      </c>
      <c r="N399" s="1">
        <v>0</v>
      </c>
    </row>
    <row r="400" spans="7:14">
      <c r="G400" s="1">
        <v>0</v>
      </c>
      <c r="H400" s="1">
        <v>0</v>
      </c>
      <c r="I400" s="1">
        <v>0</v>
      </c>
      <c r="J400" s="1">
        <v>0</v>
      </c>
      <c r="K400" s="1">
        <v>0</v>
      </c>
      <c r="L400" s="1">
        <v>0</v>
      </c>
      <c r="M400" s="1">
        <v>0</v>
      </c>
      <c r="N400" s="1">
        <v>0</v>
      </c>
    </row>
    <row r="401" spans="7:14">
      <c r="G401" s="1">
        <v>0</v>
      </c>
      <c r="H401" s="1">
        <v>0</v>
      </c>
      <c r="I401" s="1">
        <v>0</v>
      </c>
      <c r="J401" s="1">
        <v>0</v>
      </c>
      <c r="K401" s="1">
        <v>0</v>
      </c>
      <c r="L401" s="1">
        <v>0</v>
      </c>
      <c r="M401" s="1">
        <v>0</v>
      </c>
      <c r="N401" s="1">
        <v>0</v>
      </c>
    </row>
    <row r="402" spans="7:14">
      <c r="G402" s="1">
        <v>0</v>
      </c>
      <c r="H402" s="1">
        <v>0</v>
      </c>
      <c r="I402" s="1">
        <v>0</v>
      </c>
      <c r="J402" s="1">
        <v>0</v>
      </c>
      <c r="K402" s="1">
        <v>0</v>
      </c>
      <c r="L402" s="1">
        <v>0</v>
      </c>
      <c r="M402" s="1">
        <v>0</v>
      </c>
      <c r="N402" s="1">
        <v>0</v>
      </c>
    </row>
    <row r="403" spans="7:14">
      <c r="G403" s="1">
        <v>0</v>
      </c>
      <c r="H403" s="1">
        <v>0</v>
      </c>
      <c r="I403" s="1">
        <v>0</v>
      </c>
      <c r="J403" s="1">
        <v>0</v>
      </c>
      <c r="K403" s="1">
        <v>0</v>
      </c>
      <c r="L403" s="1">
        <v>0</v>
      </c>
      <c r="M403" s="1">
        <v>0</v>
      </c>
      <c r="N403" s="1">
        <v>0</v>
      </c>
    </row>
    <row r="404" spans="7:14">
      <c r="G404" s="1">
        <v>0</v>
      </c>
      <c r="H404" s="1">
        <v>0</v>
      </c>
      <c r="I404" s="1">
        <v>0</v>
      </c>
      <c r="J404" s="1">
        <v>0</v>
      </c>
      <c r="K404" s="1">
        <v>0</v>
      </c>
      <c r="L404" s="1">
        <v>0</v>
      </c>
      <c r="M404" s="1">
        <v>0</v>
      </c>
      <c r="N404" s="1">
        <v>0</v>
      </c>
    </row>
    <row r="405" spans="7:14">
      <c r="G405" s="1">
        <v>0</v>
      </c>
      <c r="H405" s="1">
        <v>0</v>
      </c>
      <c r="I405" s="1">
        <v>0</v>
      </c>
      <c r="J405" s="1">
        <v>0</v>
      </c>
      <c r="K405" s="1">
        <v>0</v>
      </c>
      <c r="L405" s="1">
        <v>0</v>
      </c>
      <c r="M405" s="1">
        <v>0</v>
      </c>
      <c r="N405" s="1">
        <v>0</v>
      </c>
    </row>
    <row r="406" spans="7:14">
      <c r="G406" s="1">
        <v>0</v>
      </c>
      <c r="H406" s="1">
        <v>0</v>
      </c>
      <c r="I406" s="1">
        <v>0</v>
      </c>
      <c r="J406" s="1">
        <v>0</v>
      </c>
      <c r="K406" s="1">
        <v>0</v>
      </c>
      <c r="L406" s="1">
        <v>0</v>
      </c>
      <c r="M406" s="1">
        <v>0</v>
      </c>
      <c r="N406" s="1">
        <v>0</v>
      </c>
    </row>
    <row r="407" spans="7:14">
      <c r="G407" s="1">
        <v>0</v>
      </c>
      <c r="H407" s="1">
        <v>0</v>
      </c>
      <c r="I407" s="1">
        <v>0</v>
      </c>
      <c r="J407" s="1">
        <v>0</v>
      </c>
      <c r="K407" s="1">
        <v>0</v>
      </c>
      <c r="L407" s="1">
        <v>0</v>
      </c>
      <c r="M407" s="1">
        <v>0</v>
      </c>
      <c r="N407" s="1">
        <v>0</v>
      </c>
    </row>
    <row r="408" spans="7:14">
      <c r="G408" s="1">
        <v>0</v>
      </c>
      <c r="H408" s="1">
        <v>0</v>
      </c>
      <c r="I408" s="1">
        <v>0</v>
      </c>
      <c r="J408" s="1">
        <v>0</v>
      </c>
      <c r="K408" s="1">
        <v>0</v>
      </c>
      <c r="L408" s="1">
        <v>0</v>
      </c>
      <c r="M408" s="1">
        <v>0</v>
      </c>
      <c r="N408" s="1">
        <v>0</v>
      </c>
    </row>
    <row r="409" spans="7:14">
      <c r="G409" s="1">
        <v>0</v>
      </c>
      <c r="H409" s="1">
        <v>0</v>
      </c>
      <c r="I409" s="1">
        <v>0</v>
      </c>
      <c r="J409" s="1">
        <v>0</v>
      </c>
      <c r="K409" s="1">
        <v>0</v>
      </c>
      <c r="L409" s="1">
        <v>0</v>
      </c>
      <c r="M409" s="1">
        <v>0</v>
      </c>
      <c r="N409" s="1">
        <v>0</v>
      </c>
    </row>
    <row r="410" spans="7:14">
      <c r="G410" s="1">
        <v>0</v>
      </c>
      <c r="H410" s="1">
        <v>0</v>
      </c>
      <c r="I410" s="1">
        <v>0</v>
      </c>
      <c r="J410" s="1">
        <v>0</v>
      </c>
      <c r="K410" s="1">
        <v>0</v>
      </c>
      <c r="L410" s="1">
        <v>0</v>
      </c>
      <c r="M410" s="1">
        <v>0</v>
      </c>
      <c r="N410" s="1">
        <v>0</v>
      </c>
    </row>
    <row r="411" spans="7:14">
      <c r="G411" s="1">
        <v>0</v>
      </c>
      <c r="H411" s="1">
        <v>0</v>
      </c>
      <c r="I411" s="1">
        <v>0</v>
      </c>
      <c r="J411" s="1">
        <v>0</v>
      </c>
      <c r="K411" s="1">
        <v>0</v>
      </c>
      <c r="L411" s="1">
        <v>0</v>
      </c>
      <c r="M411" s="1">
        <v>0</v>
      </c>
      <c r="N411" s="1">
        <v>0</v>
      </c>
    </row>
    <row r="412" spans="7:14">
      <c r="G412" s="1">
        <v>0</v>
      </c>
      <c r="H412" s="1">
        <v>0</v>
      </c>
      <c r="I412" s="1">
        <v>0</v>
      </c>
      <c r="J412" s="1">
        <v>0</v>
      </c>
      <c r="K412" s="1">
        <v>0</v>
      </c>
      <c r="L412" s="1">
        <v>0</v>
      </c>
      <c r="M412" s="1">
        <v>0</v>
      </c>
      <c r="N412" s="1">
        <v>0</v>
      </c>
    </row>
    <row r="413" spans="7:14">
      <c r="G413" s="1">
        <v>0</v>
      </c>
      <c r="H413" s="1">
        <v>0</v>
      </c>
      <c r="I413" s="1">
        <v>0</v>
      </c>
      <c r="J413" s="1">
        <v>0</v>
      </c>
      <c r="K413" s="1">
        <v>0</v>
      </c>
      <c r="L413" s="1">
        <v>0</v>
      </c>
      <c r="M413" s="1">
        <v>0</v>
      </c>
      <c r="N413" s="1">
        <v>0</v>
      </c>
    </row>
    <row r="414" spans="7:14">
      <c r="G414" s="1">
        <v>0</v>
      </c>
      <c r="H414" s="1">
        <v>0</v>
      </c>
      <c r="I414" s="1">
        <v>0</v>
      </c>
      <c r="J414" s="1">
        <v>0</v>
      </c>
      <c r="K414" s="1">
        <v>0</v>
      </c>
      <c r="L414" s="1">
        <v>0</v>
      </c>
      <c r="M414" s="1">
        <v>0</v>
      </c>
      <c r="N414" s="1">
        <v>0</v>
      </c>
    </row>
    <row r="415" spans="7:14">
      <c r="G415" s="1">
        <v>0</v>
      </c>
      <c r="H415" s="1">
        <v>0</v>
      </c>
      <c r="I415" s="1">
        <v>0</v>
      </c>
      <c r="J415" s="1">
        <v>0</v>
      </c>
      <c r="K415" s="1">
        <v>0</v>
      </c>
      <c r="L415" s="1">
        <v>0</v>
      </c>
      <c r="M415" s="1">
        <v>0</v>
      </c>
      <c r="N415" s="1">
        <v>0</v>
      </c>
    </row>
    <row r="416" spans="7:14">
      <c r="G416" s="1">
        <v>0</v>
      </c>
      <c r="H416" s="1">
        <v>0</v>
      </c>
      <c r="I416" s="1">
        <v>0</v>
      </c>
      <c r="J416" s="1">
        <v>0</v>
      </c>
      <c r="K416" s="1">
        <v>0</v>
      </c>
      <c r="L416" s="1">
        <v>0</v>
      </c>
      <c r="M416" s="1">
        <v>0</v>
      </c>
      <c r="N416" s="1">
        <v>0</v>
      </c>
    </row>
    <row r="417" spans="7:14">
      <c r="G417" s="1">
        <v>0</v>
      </c>
      <c r="H417" s="1">
        <v>0</v>
      </c>
      <c r="I417" s="1">
        <v>0</v>
      </c>
      <c r="J417" s="1">
        <v>0</v>
      </c>
      <c r="K417" s="1">
        <v>0</v>
      </c>
      <c r="L417" s="1">
        <v>0</v>
      </c>
      <c r="M417" s="1">
        <v>0</v>
      </c>
      <c r="N417" s="1">
        <v>0</v>
      </c>
    </row>
    <row r="418" spans="7:14">
      <c r="G418" s="1">
        <v>0</v>
      </c>
      <c r="H418" s="1">
        <v>0</v>
      </c>
      <c r="I418" s="1">
        <v>0</v>
      </c>
      <c r="J418" s="1">
        <v>0</v>
      </c>
      <c r="K418" s="1">
        <v>0</v>
      </c>
      <c r="L418" s="1">
        <v>0</v>
      </c>
      <c r="M418" s="1">
        <v>0</v>
      </c>
      <c r="N418" s="1">
        <v>0</v>
      </c>
    </row>
    <row r="419" spans="7:14">
      <c r="G419" s="1">
        <v>0</v>
      </c>
      <c r="H419" s="1">
        <v>0</v>
      </c>
      <c r="I419" s="1">
        <v>0</v>
      </c>
      <c r="J419" s="1">
        <v>0</v>
      </c>
      <c r="K419" s="1">
        <v>0</v>
      </c>
      <c r="L419" s="1">
        <v>0</v>
      </c>
      <c r="M419" s="1">
        <v>0</v>
      </c>
      <c r="N419" s="1">
        <v>0</v>
      </c>
    </row>
    <row r="420" spans="7:14">
      <c r="G420" s="1">
        <v>0</v>
      </c>
      <c r="H420" s="1">
        <v>0</v>
      </c>
      <c r="I420" s="1">
        <v>0</v>
      </c>
      <c r="J420" s="1">
        <v>0</v>
      </c>
      <c r="K420" s="1">
        <v>0</v>
      </c>
      <c r="L420" s="1">
        <v>0</v>
      </c>
      <c r="M420" s="1">
        <v>0</v>
      </c>
      <c r="N420" s="1">
        <v>0</v>
      </c>
    </row>
    <row r="421" spans="7:14">
      <c r="G421" s="1">
        <v>0</v>
      </c>
      <c r="H421" s="1">
        <v>0</v>
      </c>
      <c r="I421" s="1">
        <v>0</v>
      </c>
      <c r="J421" s="1">
        <v>0</v>
      </c>
      <c r="K421" s="1">
        <v>0</v>
      </c>
      <c r="L421" s="1">
        <v>0</v>
      </c>
      <c r="M421" s="1">
        <v>0</v>
      </c>
      <c r="N421" s="1">
        <v>0</v>
      </c>
    </row>
    <row r="422" spans="7:14">
      <c r="G422" s="1">
        <v>0</v>
      </c>
      <c r="H422" s="1">
        <v>0</v>
      </c>
      <c r="I422" s="1">
        <v>0</v>
      </c>
      <c r="J422" s="1">
        <v>0</v>
      </c>
      <c r="K422" s="1">
        <v>0</v>
      </c>
      <c r="L422" s="1">
        <v>0</v>
      </c>
      <c r="M422" s="1">
        <v>0</v>
      </c>
      <c r="N422" s="1">
        <v>0</v>
      </c>
    </row>
    <row r="423" spans="7:14">
      <c r="G423" s="1">
        <v>0</v>
      </c>
      <c r="H423" s="1">
        <v>0</v>
      </c>
      <c r="I423" s="1">
        <v>0</v>
      </c>
      <c r="J423" s="1">
        <v>0</v>
      </c>
      <c r="K423" s="1">
        <v>0</v>
      </c>
      <c r="L423" s="1">
        <v>0</v>
      </c>
      <c r="M423" s="1">
        <v>0</v>
      </c>
      <c r="N423" s="1">
        <v>0</v>
      </c>
    </row>
    <row r="424" spans="7:14">
      <c r="G424" s="1">
        <v>0</v>
      </c>
      <c r="H424" s="1">
        <v>0</v>
      </c>
      <c r="I424" s="1">
        <v>0</v>
      </c>
      <c r="J424" s="1">
        <v>0</v>
      </c>
      <c r="K424" s="1">
        <v>0</v>
      </c>
      <c r="L424" s="1">
        <v>0</v>
      </c>
      <c r="M424" s="1">
        <v>0</v>
      </c>
      <c r="N424" s="1">
        <v>0</v>
      </c>
    </row>
    <row r="425" spans="7:14">
      <c r="G425" s="1">
        <v>0</v>
      </c>
      <c r="H425" s="1">
        <v>0</v>
      </c>
      <c r="I425" s="1">
        <v>0</v>
      </c>
      <c r="J425" s="1">
        <v>0</v>
      </c>
      <c r="K425" s="1">
        <v>0</v>
      </c>
      <c r="L425" s="1">
        <v>0</v>
      </c>
      <c r="M425" s="1">
        <v>0</v>
      </c>
      <c r="N425" s="1">
        <v>0</v>
      </c>
    </row>
    <row r="426" spans="7:14">
      <c r="G426" s="1">
        <v>0</v>
      </c>
      <c r="H426" s="1">
        <v>0</v>
      </c>
      <c r="I426" s="1">
        <v>0</v>
      </c>
      <c r="J426" s="1">
        <v>0</v>
      </c>
      <c r="K426" s="1">
        <v>0</v>
      </c>
      <c r="L426" s="1">
        <v>0</v>
      </c>
      <c r="M426" s="1">
        <v>0</v>
      </c>
      <c r="N426" s="1">
        <v>0</v>
      </c>
    </row>
    <row r="427" spans="7:14">
      <c r="G427" s="1">
        <v>0</v>
      </c>
      <c r="H427" s="1">
        <v>0</v>
      </c>
      <c r="I427" s="1">
        <v>0</v>
      </c>
      <c r="J427" s="1">
        <v>0</v>
      </c>
      <c r="K427" s="1">
        <v>0</v>
      </c>
      <c r="L427" s="1">
        <v>0</v>
      </c>
      <c r="M427" s="1">
        <v>0</v>
      </c>
      <c r="N427" s="1">
        <v>0</v>
      </c>
    </row>
    <row r="428" spans="7:14">
      <c r="G428" s="1">
        <v>0</v>
      </c>
      <c r="H428" s="1">
        <v>0</v>
      </c>
      <c r="I428" s="1">
        <v>0</v>
      </c>
      <c r="J428" s="1">
        <v>0</v>
      </c>
      <c r="K428" s="1">
        <v>0</v>
      </c>
      <c r="L428" s="1">
        <v>0</v>
      </c>
      <c r="M428" s="1">
        <v>0</v>
      </c>
      <c r="N428" s="1">
        <v>0</v>
      </c>
    </row>
    <row r="429" spans="7:14">
      <c r="G429" s="1">
        <v>0</v>
      </c>
      <c r="H429" s="1">
        <v>0</v>
      </c>
      <c r="I429" s="1">
        <v>0</v>
      </c>
      <c r="J429" s="1">
        <v>0</v>
      </c>
      <c r="K429" s="1">
        <v>0</v>
      </c>
      <c r="L429" s="1">
        <v>0</v>
      </c>
      <c r="M429" s="1">
        <v>0</v>
      </c>
      <c r="N429" s="1">
        <v>0</v>
      </c>
    </row>
    <row r="430" spans="7:14">
      <c r="G430" s="1">
        <v>0</v>
      </c>
      <c r="H430" s="1">
        <v>0</v>
      </c>
      <c r="I430" s="1">
        <v>0</v>
      </c>
      <c r="J430" s="1">
        <v>0</v>
      </c>
      <c r="K430" s="1">
        <v>0</v>
      </c>
      <c r="L430" s="1">
        <v>0</v>
      </c>
      <c r="M430" s="1">
        <v>0</v>
      </c>
      <c r="N430" s="1">
        <v>0</v>
      </c>
    </row>
    <row r="431" spans="7:14">
      <c r="G431" s="1">
        <v>0</v>
      </c>
      <c r="H431" s="1">
        <v>0</v>
      </c>
      <c r="I431" s="1">
        <v>0</v>
      </c>
      <c r="J431" s="1">
        <v>0</v>
      </c>
      <c r="K431" s="1">
        <v>0</v>
      </c>
      <c r="L431" s="1">
        <v>0</v>
      </c>
      <c r="M431" s="1">
        <v>0</v>
      </c>
      <c r="N431" s="1">
        <v>0</v>
      </c>
    </row>
    <row r="432" spans="7:14">
      <c r="G432" s="1">
        <v>0</v>
      </c>
      <c r="H432" s="1">
        <v>0</v>
      </c>
      <c r="I432" s="1">
        <v>0</v>
      </c>
      <c r="J432" s="1">
        <v>0</v>
      </c>
      <c r="K432" s="1">
        <v>0</v>
      </c>
      <c r="L432" s="1">
        <v>0</v>
      </c>
      <c r="M432" s="1">
        <v>0</v>
      </c>
      <c r="N432" s="1">
        <v>0</v>
      </c>
    </row>
    <row r="433" spans="7:14">
      <c r="G433" s="1">
        <v>0</v>
      </c>
      <c r="H433" s="1">
        <v>0</v>
      </c>
      <c r="I433" s="1">
        <v>0</v>
      </c>
      <c r="J433" s="1">
        <v>0</v>
      </c>
      <c r="K433" s="1">
        <v>0</v>
      </c>
      <c r="L433" s="1">
        <v>0</v>
      </c>
      <c r="M433" s="1">
        <v>0</v>
      </c>
      <c r="N433" s="1">
        <v>0</v>
      </c>
    </row>
    <row r="434" spans="7:14">
      <c r="G434" s="1">
        <v>0</v>
      </c>
      <c r="H434" s="1">
        <v>0</v>
      </c>
      <c r="I434" s="1">
        <v>0</v>
      </c>
      <c r="J434" s="1">
        <v>0</v>
      </c>
      <c r="K434" s="1">
        <v>0</v>
      </c>
      <c r="L434" s="1">
        <v>0</v>
      </c>
      <c r="M434" s="1">
        <v>0</v>
      </c>
      <c r="N434" s="1">
        <v>0</v>
      </c>
    </row>
    <row r="435" spans="7:14">
      <c r="G435" s="1">
        <v>0</v>
      </c>
      <c r="H435" s="1">
        <v>0</v>
      </c>
      <c r="I435" s="1">
        <v>0</v>
      </c>
      <c r="J435" s="1">
        <v>0</v>
      </c>
      <c r="K435" s="1">
        <v>0</v>
      </c>
      <c r="L435" s="1">
        <v>0</v>
      </c>
      <c r="M435" s="1">
        <v>0</v>
      </c>
      <c r="N435" s="1">
        <v>0</v>
      </c>
    </row>
    <row r="436" spans="7:14">
      <c r="G436" s="1">
        <v>0</v>
      </c>
      <c r="H436" s="1">
        <v>0</v>
      </c>
      <c r="I436" s="1">
        <v>0</v>
      </c>
      <c r="J436" s="1">
        <v>0</v>
      </c>
      <c r="K436" s="1">
        <v>0</v>
      </c>
      <c r="L436" s="1">
        <v>0</v>
      </c>
      <c r="M436" s="1">
        <v>0</v>
      </c>
      <c r="N436" s="1">
        <v>0</v>
      </c>
    </row>
    <row r="437" spans="7:14">
      <c r="G437" s="1">
        <v>0</v>
      </c>
      <c r="H437" s="1">
        <v>0</v>
      </c>
      <c r="I437" s="1">
        <v>0</v>
      </c>
      <c r="J437" s="1">
        <v>0</v>
      </c>
      <c r="K437" s="1">
        <v>0</v>
      </c>
      <c r="L437" s="1">
        <v>0</v>
      </c>
      <c r="M437" s="1">
        <v>0</v>
      </c>
      <c r="N437" s="1">
        <v>0</v>
      </c>
    </row>
    <row r="438" spans="7:14">
      <c r="G438" s="1">
        <v>0</v>
      </c>
      <c r="H438" s="1">
        <v>0</v>
      </c>
      <c r="I438" s="1">
        <v>0</v>
      </c>
      <c r="J438" s="1">
        <v>0</v>
      </c>
      <c r="K438" s="1">
        <v>0</v>
      </c>
      <c r="L438" s="1">
        <v>0</v>
      </c>
      <c r="M438" s="1">
        <v>0</v>
      </c>
      <c r="N438" s="1">
        <v>0</v>
      </c>
    </row>
    <row r="439" spans="7:14">
      <c r="G439" s="1">
        <v>0</v>
      </c>
      <c r="H439" s="1">
        <v>0</v>
      </c>
      <c r="I439" s="1">
        <v>0</v>
      </c>
      <c r="J439" s="1">
        <v>0</v>
      </c>
      <c r="K439" s="1">
        <v>0</v>
      </c>
      <c r="L439" s="1">
        <v>0</v>
      </c>
      <c r="M439" s="1">
        <v>0</v>
      </c>
      <c r="N439" s="1">
        <v>0</v>
      </c>
    </row>
    <row r="440" spans="7:14">
      <c r="G440" s="1">
        <v>0</v>
      </c>
      <c r="H440" s="1">
        <v>0</v>
      </c>
      <c r="I440" s="1">
        <v>0</v>
      </c>
      <c r="J440" s="1">
        <v>0</v>
      </c>
      <c r="K440" s="1">
        <v>0</v>
      </c>
      <c r="L440" s="1">
        <v>0</v>
      </c>
      <c r="M440" s="1">
        <v>0</v>
      </c>
      <c r="N440" s="1">
        <v>0</v>
      </c>
    </row>
    <row r="441" spans="7:14">
      <c r="G441" s="1">
        <v>0</v>
      </c>
      <c r="H441" s="1">
        <v>0</v>
      </c>
      <c r="I441" s="1">
        <v>0</v>
      </c>
      <c r="J441" s="1">
        <v>0</v>
      </c>
      <c r="K441" s="1">
        <v>0</v>
      </c>
      <c r="L441" s="1">
        <v>0</v>
      </c>
      <c r="M441" s="1">
        <v>0</v>
      </c>
      <c r="N441" s="1">
        <v>0</v>
      </c>
    </row>
    <row r="442" spans="7:14">
      <c r="G442" s="1">
        <v>0</v>
      </c>
      <c r="H442" s="1">
        <v>0</v>
      </c>
      <c r="I442" s="1">
        <v>0</v>
      </c>
      <c r="J442" s="1">
        <v>0</v>
      </c>
      <c r="K442" s="1">
        <v>0</v>
      </c>
      <c r="L442" s="1">
        <v>0</v>
      </c>
      <c r="M442" s="1">
        <v>0</v>
      </c>
      <c r="N442" s="1">
        <v>0</v>
      </c>
    </row>
    <row r="443" spans="7:14">
      <c r="G443" s="1">
        <v>0</v>
      </c>
      <c r="H443" s="1">
        <v>0</v>
      </c>
      <c r="I443" s="1">
        <v>0</v>
      </c>
      <c r="J443" s="1">
        <v>0</v>
      </c>
      <c r="K443" s="1">
        <v>0</v>
      </c>
      <c r="L443" s="1">
        <v>0</v>
      </c>
      <c r="M443" s="1">
        <v>0</v>
      </c>
      <c r="N443" s="1">
        <v>0</v>
      </c>
    </row>
    <row r="444" spans="7:14">
      <c r="G444" s="1">
        <v>0</v>
      </c>
      <c r="H444" s="1">
        <v>0</v>
      </c>
      <c r="I444" s="1">
        <v>0</v>
      </c>
      <c r="J444" s="1">
        <v>0</v>
      </c>
      <c r="K444" s="1">
        <v>0</v>
      </c>
      <c r="L444" s="1">
        <v>0</v>
      </c>
      <c r="M444" s="1">
        <v>0</v>
      </c>
      <c r="N444" s="1">
        <v>0</v>
      </c>
    </row>
    <row r="445" spans="7:14">
      <c r="G445" s="1">
        <v>0</v>
      </c>
      <c r="H445" s="1">
        <v>0</v>
      </c>
      <c r="I445" s="1">
        <v>0</v>
      </c>
      <c r="J445" s="1">
        <v>0</v>
      </c>
      <c r="K445" s="1">
        <v>0</v>
      </c>
      <c r="L445" s="1">
        <v>0</v>
      </c>
      <c r="M445" s="1">
        <v>0</v>
      </c>
      <c r="N445" s="1">
        <v>0</v>
      </c>
    </row>
    <row r="446" spans="7:14">
      <c r="G446" s="1">
        <v>0</v>
      </c>
      <c r="H446" s="1">
        <v>0</v>
      </c>
      <c r="I446" s="1">
        <v>0</v>
      </c>
      <c r="J446" s="1">
        <v>0</v>
      </c>
      <c r="K446" s="1">
        <v>0</v>
      </c>
      <c r="L446" s="1">
        <v>0</v>
      </c>
      <c r="M446" s="1">
        <v>0</v>
      </c>
      <c r="N446" s="1">
        <v>0</v>
      </c>
    </row>
    <row r="447" spans="7:14">
      <c r="G447" s="1">
        <v>0</v>
      </c>
      <c r="H447" s="1">
        <v>0</v>
      </c>
      <c r="I447" s="1">
        <v>0</v>
      </c>
      <c r="J447" s="1">
        <v>0</v>
      </c>
      <c r="K447" s="1">
        <v>0</v>
      </c>
      <c r="L447" s="1">
        <v>0</v>
      </c>
      <c r="M447" s="1">
        <v>0</v>
      </c>
      <c r="N447" s="1">
        <v>0</v>
      </c>
    </row>
    <row r="448" spans="7:14">
      <c r="G448" s="1">
        <v>0</v>
      </c>
      <c r="H448" s="1">
        <v>0</v>
      </c>
      <c r="I448" s="1">
        <v>0</v>
      </c>
      <c r="J448" s="1">
        <v>0</v>
      </c>
      <c r="K448" s="1">
        <v>0</v>
      </c>
      <c r="L448" s="1">
        <v>0</v>
      </c>
      <c r="M448" s="1">
        <v>0</v>
      </c>
      <c r="N448" s="1">
        <v>0</v>
      </c>
    </row>
    <row r="449" spans="7:14">
      <c r="G449" s="1">
        <v>0</v>
      </c>
      <c r="H449" s="1">
        <v>0</v>
      </c>
      <c r="I449" s="1">
        <v>0</v>
      </c>
      <c r="J449" s="1">
        <v>0</v>
      </c>
      <c r="K449" s="1">
        <v>0</v>
      </c>
      <c r="L449" s="1">
        <v>0</v>
      </c>
      <c r="M449" s="1">
        <v>0</v>
      </c>
      <c r="N449" s="1">
        <v>0</v>
      </c>
    </row>
    <row r="450" spans="7:14">
      <c r="G450" s="1">
        <v>0</v>
      </c>
      <c r="H450" s="1">
        <v>0</v>
      </c>
      <c r="I450" s="1">
        <v>0</v>
      </c>
      <c r="J450" s="1">
        <v>0</v>
      </c>
      <c r="K450" s="1">
        <v>0</v>
      </c>
      <c r="L450" s="1">
        <v>0</v>
      </c>
      <c r="M450" s="1">
        <v>0</v>
      </c>
      <c r="N450" s="1">
        <v>0</v>
      </c>
    </row>
    <row r="451" spans="7:14">
      <c r="G451" s="1">
        <v>0</v>
      </c>
      <c r="H451" s="1">
        <v>0</v>
      </c>
      <c r="I451" s="1">
        <v>0</v>
      </c>
      <c r="J451" s="1">
        <v>0</v>
      </c>
      <c r="K451" s="1">
        <v>0</v>
      </c>
      <c r="L451" s="1">
        <v>0</v>
      </c>
      <c r="M451" s="1">
        <v>0</v>
      </c>
      <c r="N451" s="1">
        <v>0</v>
      </c>
    </row>
    <row r="452" spans="7:14">
      <c r="G452" s="1">
        <v>0</v>
      </c>
      <c r="H452" s="1">
        <v>0</v>
      </c>
      <c r="I452" s="1">
        <v>0</v>
      </c>
      <c r="J452" s="1">
        <v>0</v>
      </c>
      <c r="K452" s="1">
        <v>0</v>
      </c>
      <c r="L452" s="1">
        <v>0</v>
      </c>
      <c r="M452" s="1">
        <v>0</v>
      </c>
      <c r="N452" s="1">
        <v>0</v>
      </c>
    </row>
    <row r="453" spans="7:14">
      <c r="G453" s="1">
        <v>0</v>
      </c>
      <c r="H453" s="1">
        <v>0</v>
      </c>
      <c r="I453" s="1">
        <v>0</v>
      </c>
      <c r="J453" s="1">
        <v>0</v>
      </c>
      <c r="K453" s="1">
        <v>0</v>
      </c>
      <c r="L453" s="1">
        <v>0</v>
      </c>
      <c r="M453" s="1">
        <v>0</v>
      </c>
      <c r="N453" s="1">
        <v>0</v>
      </c>
    </row>
    <row r="454" spans="7:14">
      <c r="G454" s="1">
        <v>0</v>
      </c>
      <c r="H454" s="1">
        <v>0</v>
      </c>
      <c r="I454" s="1">
        <v>0</v>
      </c>
      <c r="J454" s="1">
        <v>0</v>
      </c>
      <c r="K454" s="1">
        <v>0</v>
      </c>
      <c r="L454" s="1">
        <v>0</v>
      </c>
      <c r="M454" s="1">
        <v>0</v>
      </c>
      <c r="N454" s="1">
        <v>0</v>
      </c>
    </row>
    <row r="455" spans="7:14">
      <c r="G455" s="1">
        <v>0</v>
      </c>
      <c r="H455" s="1">
        <v>0</v>
      </c>
      <c r="I455" s="1">
        <v>0</v>
      </c>
      <c r="J455" s="1">
        <v>0</v>
      </c>
      <c r="K455" s="1">
        <v>0</v>
      </c>
      <c r="L455" s="1">
        <v>0</v>
      </c>
      <c r="M455" s="1">
        <v>0</v>
      </c>
      <c r="N455" s="1">
        <v>0</v>
      </c>
    </row>
    <row r="456" spans="7:14">
      <c r="G456" s="1">
        <v>0</v>
      </c>
      <c r="H456" s="1">
        <v>0</v>
      </c>
      <c r="I456" s="1">
        <v>0</v>
      </c>
      <c r="J456" s="1">
        <v>0</v>
      </c>
      <c r="K456" s="1">
        <v>0</v>
      </c>
      <c r="L456" s="1">
        <v>0</v>
      </c>
      <c r="M456" s="1">
        <v>0</v>
      </c>
      <c r="N456" s="1">
        <v>0</v>
      </c>
    </row>
    <row r="457" spans="7:14">
      <c r="G457" s="1">
        <v>0</v>
      </c>
      <c r="H457" s="1">
        <v>0</v>
      </c>
      <c r="I457" s="1">
        <v>0</v>
      </c>
      <c r="J457" s="1">
        <v>0</v>
      </c>
      <c r="K457" s="1">
        <v>0</v>
      </c>
      <c r="L457" s="1">
        <v>0</v>
      </c>
      <c r="M457" s="1">
        <v>0</v>
      </c>
      <c r="N457" s="1">
        <v>0</v>
      </c>
    </row>
    <row r="458" spans="7:14">
      <c r="G458" s="1">
        <v>0</v>
      </c>
      <c r="H458" s="1">
        <v>0</v>
      </c>
      <c r="I458" s="1">
        <v>0</v>
      </c>
      <c r="J458" s="1">
        <v>0</v>
      </c>
      <c r="K458" s="1">
        <v>0</v>
      </c>
      <c r="L458" s="1">
        <v>0</v>
      </c>
      <c r="M458" s="1">
        <v>0</v>
      </c>
      <c r="N458" s="1">
        <v>0</v>
      </c>
    </row>
    <row r="459" spans="7:14">
      <c r="G459" s="1">
        <v>0</v>
      </c>
      <c r="H459" s="1">
        <v>0</v>
      </c>
      <c r="I459" s="1">
        <v>0</v>
      </c>
      <c r="J459" s="1">
        <v>0</v>
      </c>
      <c r="K459" s="1">
        <v>0</v>
      </c>
      <c r="L459" s="1">
        <v>0</v>
      </c>
      <c r="M459" s="1">
        <v>0</v>
      </c>
      <c r="N459" s="1">
        <v>0</v>
      </c>
    </row>
    <row r="460" spans="7:14">
      <c r="G460" s="1">
        <v>0</v>
      </c>
      <c r="H460" s="1">
        <v>0</v>
      </c>
      <c r="I460" s="1">
        <v>0</v>
      </c>
      <c r="J460" s="1">
        <v>0</v>
      </c>
      <c r="K460" s="1">
        <v>0</v>
      </c>
      <c r="L460" s="1">
        <v>0</v>
      </c>
      <c r="M460" s="1">
        <v>0</v>
      </c>
      <c r="N460" s="1">
        <v>0</v>
      </c>
    </row>
    <row r="461" spans="7:14">
      <c r="G461" s="1">
        <v>0</v>
      </c>
      <c r="H461" s="1">
        <v>0</v>
      </c>
      <c r="I461" s="1">
        <v>0</v>
      </c>
      <c r="J461" s="1">
        <v>0</v>
      </c>
      <c r="K461" s="1">
        <v>0</v>
      </c>
      <c r="L461" s="1">
        <v>0</v>
      </c>
      <c r="M461" s="1">
        <v>0</v>
      </c>
      <c r="N461" s="1">
        <v>0</v>
      </c>
    </row>
    <row r="462" spans="7:14">
      <c r="G462" s="1">
        <v>0</v>
      </c>
      <c r="H462" s="1">
        <v>0</v>
      </c>
      <c r="I462" s="1">
        <v>0</v>
      </c>
      <c r="J462" s="1">
        <v>0</v>
      </c>
      <c r="K462" s="1">
        <v>0</v>
      </c>
      <c r="L462" s="1">
        <v>0</v>
      </c>
      <c r="M462" s="1">
        <v>0</v>
      </c>
      <c r="N462" s="1">
        <v>0</v>
      </c>
    </row>
    <row r="463" spans="7:14">
      <c r="G463" s="1">
        <v>0</v>
      </c>
      <c r="H463" s="1">
        <v>0</v>
      </c>
      <c r="I463" s="1">
        <v>0</v>
      </c>
      <c r="J463" s="1">
        <v>0</v>
      </c>
      <c r="K463" s="1">
        <v>0</v>
      </c>
      <c r="L463" s="1">
        <v>0</v>
      </c>
      <c r="M463" s="1">
        <v>0</v>
      </c>
      <c r="N463" s="1">
        <v>0</v>
      </c>
    </row>
    <row r="464" spans="7:14">
      <c r="G464" s="1">
        <v>0</v>
      </c>
      <c r="H464" s="1">
        <v>0</v>
      </c>
      <c r="I464" s="1">
        <v>0</v>
      </c>
      <c r="J464" s="1">
        <v>0</v>
      </c>
      <c r="K464" s="1">
        <v>0</v>
      </c>
      <c r="L464" s="1">
        <v>0</v>
      </c>
      <c r="M464" s="1">
        <v>0</v>
      </c>
      <c r="N464" s="1">
        <v>0</v>
      </c>
    </row>
    <row r="465" spans="7:14">
      <c r="G465" s="1">
        <v>0</v>
      </c>
      <c r="H465" s="1">
        <v>0</v>
      </c>
      <c r="I465" s="1">
        <v>0</v>
      </c>
      <c r="J465" s="1">
        <v>0</v>
      </c>
      <c r="K465" s="1">
        <v>0</v>
      </c>
      <c r="L465" s="1">
        <v>0</v>
      </c>
      <c r="M465" s="1">
        <v>0</v>
      </c>
      <c r="N465" s="1">
        <v>0</v>
      </c>
    </row>
    <row r="466" spans="7:14">
      <c r="G466" s="1">
        <v>0</v>
      </c>
      <c r="H466" s="1">
        <v>0</v>
      </c>
      <c r="I466" s="1">
        <v>0</v>
      </c>
      <c r="J466" s="1">
        <v>0</v>
      </c>
      <c r="K466" s="1">
        <v>0</v>
      </c>
      <c r="L466" s="1">
        <v>0</v>
      </c>
      <c r="M466" s="1">
        <v>0</v>
      </c>
      <c r="N466" s="1">
        <v>0</v>
      </c>
    </row>
    <row r="467" spans="7:14">
      <c r="G467" s="1">
        <v>0</v>
      </c>
      <c r="H467" s="1">
        <v>0</v>
      </c>
      <c r="I467" s="1">
        <v>0</v>
      </c>
      <c r="J467" s="1">
        <v>0</v>
      </c>
      <c r="K467" s="1">
        <v>0</v>
      </c>
      <c r="L467" s="1">
        <v>0</v>
      </c>
      <c r="M467" s="1">
        <v>0</v>
      </c>
      <c r="N467" s="1">
        <v>0</v>
      </c>
    </row>
    <row r="468" spans="7:14">
      <c r="G468" s="1">
        <v>0</v>
      </c>
      <c r="H468" s="1">
        <v>0</v>
      </c>
      <c r="I468" s="1">
        <v>0</v>
      </c>
      <c r="J468" s="1">
        <v>0</v>
      </c>
      <c r="K468" s="1">
        <v>0</v>
      </c>
      <c r="L468" s="1">
        <v>0</v>
      </c>
      <c r="M468" s="1">
        <v>0</v>
      </c>
      <c r="N468" s="1">
        <v>0</v>
      </c>
    </row>
    <row r="469" spans="7:14">
      <c r="G469" s="1">
        <v>0</v>
      </c>
      <c r="H469" s="1">
        <v>0</v>
      </c>
      <c r="I469" s="1">
        <v>0</v>
      </c>
      <c r="J469" s="1">
        <v>0</v>
      </c>
      <c r="K469" s="1">
        <v>0</v>
      </c>
      <c r="L469" s="1">
        <v>0</v>
      </c>
      <c r="M469" s="1">
        <v>0</v>
      </c>
      <c r="N469" s="1">
        <v>0</v>
      </c>
    </row>
    <row r="470" spans="7:14">
      <c r="G470" s="1">
        <v>0</v>
      </c>
      <c r="H470" s="1">
        <v>0</v>
      </c>
      <c r="I470" s="1">
        <v>0</v>
      </c>
      <c r="J470" s="1">
        <v>0</v>
      </c>
      <c r="K470" s="1">
        <v>0</v>
      </c>
      <c r="L470" s="1">
        <v>0</v>
      </c>
      <c r="M470" s="1">
        <v>0</v>
      </c>
      <c r="N470" s="1">
        <v>0</v>
      </c>
    </row>
    <row r="471" spans="7:14">
      <c r="G471" s="1">
        <v>0</v>
      </c>
      <c r="H471" s="1">
        <v>0</v>
      </c>
      <c r="I471" s="1">
        <v>0</v>
      </c>
      <c r="J471" s="1">
        <v>0</v>
      </c>
      <c r="K471" s="1">
        <v>0</v>
      </c>
      <c r="L471" s="1">
        <v>0</v>
      </c>
      <c r="M471" s="1">
        <v>0</v>
      </c>
      <c r="N471" s="1">
        <v>0</v>
      </c>
    </row>
    <row r="472" spans="7:14">
      <c r="G472" s="1">
        <v>0</v>
      </c>
      <c r="H472" s="1">
        <v>0</v>
      </c>
      <c r="I472" s="1">
        <v>0</v>
      </c>
      <c r="J472" s="1">
        <v>0</v>
      </c>
      <c r="K472" s="1">
        <v>0</v>
      </c>
      <c r="L472" s="1">
        <v>0</v>
      </c>
      <c r="M472" s="1">
        <v>0</v>
      </c>
      <c r="N472" s="1">
        <v>0</v>
      </c>
    </row>
    <row r="473" spans="7:14">
      <c r="G473" s="1">
        <v>0</v>
      </c>
      <c r="H473" s="1">
        <v>0</v>
      </c>
      <c r="I473" s="1">
        <v>0</v>
      </c>
      <c r="J473" s="1">
        <v>0</v>
      </c>
      <c r="K473" s="1">
        <v>0</v>
      </c>
      <c r="L473" s="1">
        <v>0</v>
      </c>
      <c r="M473" s="1">
        <v>0</v>
      </c>
      <c r="N473" s="1">
        <v>0</v>
      </c>
    </row>
    <row r="474" spans="7:14">
      <c r="G474" s="1">
        <v>0</v>
      </c>
      <c r="H474" s="1">
        <v>0</v>
      </c>
      <c r="I474" s="1">
        <v>0</v>
      </c>
      <c r="J474" s="1">
        <v>0</v>
      </c>
      <c r="K474" s="1">
        <v>0</v>
      </c>
      <c r="L474" s="1">
        <v>0</v>
      </c>
      <c r="M474" s="1">
        <v>0</v>
      </c>
      <c r="N474" s="1">
        <v>0</v>
      </c>
    </row>
    <row r="475" spans="7:14">
      <c r="G475" s="1">
        <v>0</v>
      </c>
      <c r="H475" s="1">
        <v>0</v>
      </c>
      <c r="I475" s="1">
        <v>0</v>
      </c>
      <c r="J475" s="1">
        <v>0</v>
      </c>
      <c r="K475" s="1">
        <v>0</v>
      </c>
      <c r="L475" s="1">
        <v>0</v>
      </c>
      <c r="M475" s="1">
        <v>0</v>
      </c>
      <c r="N475" s="1">
        <v>0</v>
      </c>
    </row>
    <row r="476" spans="7:14">
      <c r="G476" s="1">
        <v>0</v>
      </c>
      <c r="H476" s="1">
        <v>0</v>
      </c>
      <c r="I476" s="1">
        <v>0</v>
      </c>
      <c r="J476" s="1">
        <v>0</v>
      </c>
      <c r="K476" s="1">
        <v>0</v>
      </c>
      <c r="L476" s="1">
        <v>0</v>
      </c>
      <c r="M476" s="1">
        <v>0</v>
      </c>
      <c r="N476" s="1">
        <v>0</v>
      </c>
    </row>
    <row r="477" spans="7:14">
      <c r="G477" s="1">
        <v>0</v>
      </c>
      <c r="H477" s="1">
        <v>0</v>
      </c>
      <c r="I477" s="1">
        <v>0</v>
      </c>
      <c r="J477" s="1">
        <v>0</v>
      </c>
      <c r="K477" s="1">
        <v>0</v>
      </c>
      <c r="L477" s="1">
        <v>0</v>
      </c>
      <c r="M477" s="1">
        <v>0</v>
      </c>
      <c r="N477" s="1">
        <v>0</v>
      </c>
    </row>
    <row r="478" spans="7:14">
      <c r="G478" s="1">
        <v>0</v>
      </c>
      <c r="H478" s="1">
        <v>0</v>
      </c>
      <c r="I478" s="1">
        <v>0</v>
      </c>
      <c r="J478" s="1">
        <v>0</v>
      </c>
      <c r="K478" s="1">
        <v>0</v>
      </c>
      <c r="L478" s="1">
        <v>0</v>
      </c>
      <c r="M478" s="1">
        <v>0</v>
      </c>
      <c r="N478" s="1">
        <v>0</v>
      </c>
    </row>
    <row r="479" spans="7:14">
      <c r="G479" s="1">
        <v>0</v>
      </c>
      <c r="H479" s="1">
        <v>0</v>
      </c>
      <c r="I479" s="1">
        <v>0</v>
      </c>
      <c r="J479" s="1">
        <v>0</v>
      </c>
      <c r="K479" s="1">
        <v>0</v>
      </c>
      <c r="L479" s="1">
        <v>0</v>
      </c>
      <c r="M479" s="1">
        <v>0</v>
      </c>
      <c r="N479" s="1">
        <v>0</v>
      </c>
    </row>
    <row r="480" spans="7:14">
      <c r="G480" s="1">
        <v>0</v>
      </c>
      <c r="H480" s="1">
        <v>0</v>
      </c>
      <c r="I480" s="1">
        <v>0</v>
      </c>
      <c r="J480" s="1">
        <v>0</v>
      </c>
      <c r="K480" s="1">
        <v>0</v>
      </c>
      <c r="L480" s="1">
        <v>0</v>
      </c>
      <c r="M480" s="1">
        <v>0</v>
      </c>
      <c r="N480" s="1">
        <v>0</v>
      </c>
    </row>
    <row r="481" spans="7:14">
      <c r="G481" s="1">
        <v>0</v>
      </c>
      <c r="H481" s="1">
        <v>0</v>
      </c>
      <c r="I481" s="1">
        <v>0</v>
      </c>
      <c r="J481" s="1">
        <v>0</v>
      </c>
      <c r="K481" s="1">
        <v>0</v>
      </c>
      <c r="L481" s="1">
        <v>0</v>
      </c>
      <c r="M481" s="1">
        <v>0</v>
      </c>
      <c r="N481" s="1">
        <v>0</v>
      </c>
    </row>
    <row r="482" spans="7:14">
      <c r="G482" s="1">
        <v>0</v>
      </c>
      <c r="H482" s="1">
        <v>0</v>
      </c>
      <c r="I482" s="1">
        <v>0</v>
      </c>
      <c r="J482" s="1">
        <v>0</v>
      </c>
      <c r="K482" s="1">
        <v>0</v>
      </c>
      <c r="L482" s="1">
        <v>0</v>
      </c>
      <c r="M482" s="1">
        <v>0</v>
      </c>
      <c r="N482" s="1">
        <v>0</v>
      </c>
    </row>
    <row r="483" spans="7:14">
      <c r="G483" s="1">
        <v>0</v>
      </c>
      <c r="H483" s="1">
        <v>0</v>
      </c>
      <c r="I483" s="1">
        <v>0</v>
      </c>
      <c r="J483" s="1">
        <v>0</v>
      </c>
      <c r="K483" s="1">
        <v>0</v>
      </c>
      <c r="L483" s="1">
        <v>0</v>
      </c>
      <c r="M483" s="1">
        <v>0</v>
      </c>
      <c r="N483" s="1">
        <v>0</v>
      </c>
    </row>
    <row r="484" spans="7:14">
      <c r="G484" s="1">
        <v>0</v>
      </c>
      <c r="H484" s="1">
        <v>0</v>
      </c>
      <c r="I484" s="1">
        <v>0</v>
      </c>
      <c r="J484" s="1">
        <v>0</v>
      </c>
      <c r="K484" s="1">
        <v>0</v>
      </c>
      <c r="L484" s="1">
        <v>0</v>
      </c>
      <c r="M484" s="1">
        <v>0</v>
      </c>
      <c r="N484" s="1">
        <v>0</v>
      </c>
    </row>
    <row r="485" spans="7:14">
      <c r="G485" s="1">
        <v>0</v>
      </c>
      <c r="H485" s="1">
        <v>0</v>
      </c>
      <c r="I485" s="1">
        <v>0</v>
      </c>
      <c r="J485" s="1">
        <v>0</v>
      </c>
      <c r="K485" s="1">
        <v>0</v>
      </c>
      <c r="L485" s="1">
        <v>0</v>
      </c>
      <c r="M485" s="1">
        <v>0</v>
      </c>
      <c r="N485" s="1">
        <v>0</v>
      </c>
    </row>
    <row r="486" spans="7:14">
      <c r="G486" s="1">
        <v>0</v>
      </c>
      <c r="H486" s="1">
        <v>0</v>
      </c>
      <c r="I486" s="1">
        <v>0</v>
      </c>
      <c r="J486" s="1">
        <v>0</v>
      </c>
      <c r="K486" s="1">
        <v>0</v>
      </c>
      <c r="L486" s="1">
        <v>0</v>
      </c>
      <c r="M486" s="1">
        <v>0</v>
      </c>
      <c r="N486" s="1">
        <v>0</v>
      </c>
    </row>
    <row r="487" spans="7:14">
      <c r="G487" s="1">
        <v>0</v>
      </c>
      <c r="H487" s="1">
        <v>0</v>
      </c>
      <c r="I487" s="1">
        <v>0</v>
      </c>
      <c r="J487" s="1">
        <v>0</v>
      </c>
      <c r="K487" s="1">
        <v>0</v>
      </c>
      <c r="L487" s="1">
        <v>0</v>
      </c>
      <c r="M487" s="1">
        <v>0</v>
      </c>
      <c r="N487" s="1">
        <v>0</v>
      </c>
    </row>
    <row r="488" spans="7:14">
      <c r="G488" s="1">
        <v>0</v>
      </c>
      <c r="H488" s="1">
        <v>0</v>
      </c>
      <c r="I488" s="1">
        <v>0</v>
      </c>
      <c r="J488" s="1">
        <v>0</v>
      </c>
      <c r="K488" s="1">
        <v>0</v>
      </c>
      <c r="L488" s="1">
        <v>0</v>
      </c>
      <c r="M488" s="1">
        <v>0</v>
      </c>
      <c r="N488" s="1">
        <v>0</v>
      </c>
    </row>
    <row r="489" spans="7:14">
      <c r="G489" s="1">
        <v>0</v>
      </c>
      <c r="H489" s="1">
        <v>0</v>
      </c>
      <c r="I489" s="1">
        <v>0</v>
      </c>
      <c r="J489" s="1">
        <v>0</v>
      </c>
      <c r="K489" s="1">
        <v>0</v>
      </c>
      <c r="L489" s="1">
        <v>0</v>
      </c>
      <c r="M489" s="1">
        <v>0</v>
      </c>
      <c r="N489" s="1">
        <v>0</v>
      </c>
    </row>
    <row r="490" spans="7:14">
      <c r="G490" s="1">
        <v>0</v>
      </c>
      <c r="H490" s="1">
        <v>0</v>
      </c>
      <c r="I490" s="1">
        <v>0</v>
      </c>
      <c r="J490" s="1">
        <v>0</v>
      </c>
      <c r="K490" s="1">
        <v>0</v>
      </c>
      <c r="L490" s="1">
        <v>0</v>
      </c>
      <c r="M490" s="1">
        <v>0</v>
      </c>
      <c r="N490" s="1">
        <v>0</v>
      </c>
    </row>
    <row r="491" spans="7:14">
      <c r="G491" s="1">
        <v>0</v>
      </c>
      <c r="H491" s="1">
        <v>0</v>
      </c>
      <c r="I491" s="1">
        <v>0</v>
      </c>
      <c r="J491" s="1">
        <v>0</v>
      </c>
      <c r="K491" s="1">
        <v>0</v>
      </c>
      <c r="L491" s="1">
        <v>0</v>
      </c>
      <c r="M491" s="1">
        <v>0</v>
      </c>
      <c r="N491" s="1">
        <v>0</v>
      </c>
    </row>
    <row r="492" spans="7:14">
      <c r="G492" s="1">
        <v>0</v>
      </c>
      <c r="H492" s="1">
        <v>0</v>
      </c>
      <c r="I492" s="1">
        <v>0</v>
      </c>
      <c r="J492" s="1">
        <v>0</v>
      </c>
      <c r="K492" s="1">
        <v>0</v>
      </c>
      <c r="L492" s="1">
        <v>0</v>
      </c>
      <c r="M492" s="1">
        <v>0</v>
      </c>
      <c r="N492" s="1">
        <v>0</v>
      </c>
    </row>
    <row r="493" spans="7:14">
      <c r="G493" s="1">
        <v>0</v>
      </c>
      <c r="H493" s="1">
        <v>0</v>
      </c>
      <c r="I493" s="1">
        <v>0</v>
      </c>
      <c r="J493" s="1">
        <v>0</v>
      </c>
      <c r="K493" s="1">
        <v>0</v>
      </c>
      <c r="L493" s="1">
        <v>0</v>
      </c>
      <c r="M493" s="1">
        <v>0</v>
      </c>
      <c r="N493" s="1">
        <v>0</v>
      </c>
    </row>
    <row r="494" spans="7:14">
      <c r="G494" s="1">
        <v>0</v>
      </c>
      <c r="H494" s="1">
        <v>0</v>
      </c>
      <c r="I494" s="1">
        <v>0</v>
      </c>
      <c r="J494" s="1">
        <v>0</v>
      </c>
      <c r="K494" s="1">
        <v>0</v>
      </c>
      <c r="L494" s="1">
        <v>0</v>
      </c>
      <c r="M494" s="1">
        <v>0</v>
      </c>
      <c r="N494" s="1">
        <v>0</v>
      </c>
    </row>
    <row r="495" spans="7:14">
      <c r="G495" s="1">
        <v>0</v>
      </c>
      <c r="H495" s="1">
        <v>0</v>
      </c>
      <c r="I495" s="1">
        <v>0</v>
      </c>
      <c r="J495" s="1">
        <v>0</v>
      </c>
      <c r="K495" s="1">
        <v>0</v>
      </c>
      <c r="L495" s="1">
        <v>0</v>
      </c>
      <c r="M495" s="1">
        <v>0</v>
      </c>
      <c r="N495" s="1">
        <v>0</v>
      </c>
    </row>
    <row r="496" spans="7:14">
      <c r="G496" s="1">
        <v>0</v>
      </c>
      <c r="H496" s="1">
        <v>0</v>
      </c>
      <c r="I496" s="1">
        <v>0</v>
      </c>
      <c r="J496" s="1">
        <v>0</v>
      </c>
      <c r="K496" s="1">
        <v>0</v>
      </c>
      <c r="L496" s="1">
        <v>0</v>
      </c>
      <c r="M496" s="1">
        <v>0</v>
      </c>
      <c r="N496" s="1">
        <v>0</v>
      </c>
    </row>
    <row r="497" spans="7:14">
      <c r="G497" s="1">
        <v>0</v>
      </c>
      <c r="H497" s="1">
        <v>0</v>
      </c>
      <c r="I497" s="1">
        <v>0</v>
      </c>
      <c r="J497" s="1">
        <v>0</v>
      </c>
      <c r="K497" s="1">
        <v>0</v>
      </c>
      <c r="L497" s="1">
        <v>0</v>
      </c>
      <c r="M497" s="1">
        <v>0</v>
      </c>
      <c r="N497" s="1"/>
    </row>
  </sheetData>
  <sortState xmlns:xlrd2="http://schemas.microsoft.com/office/spreadsheetml/2017/richdata2" ref="N2:N497">
    <sortCondition descending="1" ref="N2:N49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3587-DAC5-41AA-A250-F123D104A4BF}">
  <dimension ref="A1:T497"/>
  <sheetViews>
    <sheetView topLeftCell="L1" workbookViewId="0">
      <selection activeCell="B15" sqref="B15"/>
    </sheetView>
  </sheetViews>
  <sheetFormatPr defaultRowHeight="15"/>
  <cols>
    <col min="1" max="1" width="30.85546875" customWidth="1"/>
    <col min="2" max="2" width="42.7109375" customWidth="1"/>
    <col min="5" max="5" width="32.140625" customWidth="1"/>
    <col min="6" max="6" width="11.5703125" bestFit="1" customWidth="1"/>
    <col min="7" max="7" width="12.5703125" bestFit="1" customWidth="1"/>
    <col min="19" max="19" width="25.85546875" customWidth="1"/>
  </cols>
  <sheetData>
    <row r="1" spans="1:20">
      <c r="A1" s="1" t="s">
        <v>4</v>
      </c>
      <c r="B1" s="1" t="s">
        <v>5</v>
      </c>
      <c r="E1" t="s">
        <v>963</v>
      </c>
      <c r="F1" t="s">
        <v>964</v>
      </c>
      <c r="I1" s="1" t="s">
        <v>6</v>
      </c>
      <c r="J1" s="1" t="s">
        <v>7</v>
      </c>
      <c r="K1" s="1" t="s">
        <v>8</v>
      </c>
      <c r="L1" s="1" t="s">
        <v>9</v>
      </c>
      <c r="M1" s="1" t="s">
        <v>10</v>
      </c>
      <c r="N1" s="1" t="s">
        <v>11</v>
      </c>
      <c r="O1" s="1" t="s">
        <v>12</v>
      </c>
      <c r="P1" s="1" t="s">
        <v>13</v>
      </c>
      <c r="S1" t="s">
        <v>957</v>
      </c>
      <c r="T1" t="s">
        <v>1106</v>
      </c>
    </row>
    <row r="2" spans="1:20">
      <c r="A2" s="1">
        <v>0.33333333300000001</v>
      </c>
      <c r="B2" s="1">
        <v>0</v>
      </c>
      <c r="E2" t="s">
        <v>967</v>
      </c>
      <c r="F2">
        <v>0</v>
      </c>
      <c r="I2" s="1">
        <v>0</v>
      </c>
      <c r="J2" s="1">
        <v>1</v>
      </c>
      <c r="K2" s="1">
        <v>0</v>
      </c>
      <c r="L2" s="1">
        <v>0</v>
      </c>
      <c r="M2" s="1">
        <v>0</v>
      </c>
      <c r="N2" s="1">
        <v>0</v>
      </c>
      <c r="O2" s="1">
        <v>0</v>
      </c>
      <c r="P2" s="1">
        <v>0</v>
      </c>
      <c r="S2" s="1" t="s">
        <v>9</v>
      </c>
      <c r="T2">
        <f>AVERAGE(L2:L497)</f>
        <v>0</v>
      </c>
    </row>
    <row r="3" spans="1:20">
      <c r="A3" s="1">
        <v>0</v>
      </c>
      <c r="B3" s="1">
        <v>0</v>
      </c>
      <c r="E3" t="s">
        <v>969</v>
      </c>
      <c r="F3">
        <v>0</v>
      </c>
      <c r="I3" s="1">
        <v>0</v>
      </c>
      <c r="J3" s="1">
        <v>0</v>
      </c>
      <c r="K3" s="1">
        <v>0</v>
      </c>
      <c r="L3" s="1">
        <v>0</v>
      </c>
      <c r="M3" s="1">
        <v>0</v>
      </c>
      <c r="N3" s="1">
        <v>0</v>
      </c>
      <c r="O3" s="1">
        <v>0</v>
      </c>
      <c r="P3" s="1">
        <v>0</v>
      </c>
      <c r="S3" s="1" t="s">
        <v>13</v>
      </c>
      <c r="T3">
        <f>AVERAGE(P2:P497)</f>
        <v>1.0080645161290322E-3</v>
      </c>
    </row>
    <row r="4" spans="1:20">
      <c r="A4" s="1">
        <v>0</v>
      </c>
      <c r="B4" s="1">
        <v>0</v>
      </c>
      <c r="E4" t="s">
        <v>971</v>
      </c>
      <c r="F4">
        <v>3</v>
      </c>
      <c r="I4" s="1">
        <v>0</v>
      </c>
      <c r="J4" s="1">
        <v>0</v>
      </c>
      <c r="K4" s="1">
        <v>0</v>
      </c>
      <c r="L4" s="1">
        <v>0</v>
      </c>
      <c r="M4" s="1">
        <v>0</v>
      </c>
      <c r="N4" s="1">
        <v>0</v>
      </c>
      <c r="O4" s="1">
        <v>0</v>
      </c>
      <c r="P4" s="1">
        <v>0</v>
      </c>
      <c r="S4" s="1" t="s">
        <v>6</v>
      </c>
      <c r="T4">
        <f>AVERAGE(I2:I497)</f>
        <v>2.0161290322580645E-3</v>
      </c>
    </row>
    <row r="5" spans="1:20">
      <c r="A5" s="1">
        <v>0.33333333300000001</v>
      </c>
      <c r="B5" s="1">
        <v>1</v>
      </c>
      <c r="E5" t="s">
        <v>973</v>
      </c>
      <c r="F5">
        <v>0</v>
      </c>
      <c r="I5" s="1">
        <v>0</v>
      </c>
      <c r="J5" s="1">
        <v>0</v>
      </c>
      <c r="K5" s="1">
        <v>1</v>
      </c>
      <c r="L5" s="1">
        <v>0</v>
      </c>
      <c r="M5" s="1">
        <v>0</v>
      </c>
      <c r="N5" s="1">
        <v>0</v>
      </c>
      <c r="O5" s="1">
        <v>0</v>
      </c>
      <c r="P5" s="1">
        <v>0</v>
      </c>
      <c r="S5" s="1" t="s">
        <v>11</v>
      </c>
      <c r="T5">
        <f>AVERAGE(N2:N497)</f>
        <v>8.0645161290322578E-3</v>
      </c>
    </row>
    <row r="6" spans="1:20">
      <c r="A6" s="1">
        <v>0.111111111</v>
      </c>
      <c r="B6" s="1">
        <v>0</v>
      </c>
      <c r="E6" t="s">
        <v>975</v>
      </c>
      <c r="F6">
        <v>3</v>
      </c>
      <c r="I6" s="1">
        <v>0</v>
      </c>
      <c r="J6" s="1">
        <v>0.5</v>
      </c>
      <c r="K6" s="1">
        <v>0</v>
      </c>
      <c r="L6" s="1">
        <v>0</v>
      </c>
      <c r="M6" s="1">
        <v>0</v>
      </c>
      <c r="N6" s="1">
        <v>0</v>
      </c>
      <c r="O6" s="1">
        <v>0</v>
      </c>
      <c r="P6" s="1">
        <v>0</v>
      </c>
      <c r="S6" s="1" t="s">
        <v>12</v>
      </c>
      <c r="T6">
        <f>AVERAGE(O2:O497)</f>
        <v>2.2177419354838711E-2</v>
      </c>
    </row>
    <row r="7" spans="1:20">
      <c r="A7" s="1">
        <v>0</v>
      </c>
      <c r="B7" s="1">
        <v>0</v>
      </c>
      <c r="E7" t="s">
        <v>977</v>
      </c>
      <c r="F7">
        <v>1</v>
      </c>
      <c r="I7" s="1">
        <v>0</v>
      </c>
      <c r="J7" s="1">
        <v>0</v>
      </c>
      <c r="K7" s="1">
        <v>0</v>
      </c>
      <c r="L7" s="1">
        <v>0</v>
      </c>
      <c r="M7" s="1">
        <v>0</v>
      </c>
      <c r="N7" s="1">
        <v>0</v>
      </c>
      <c r="O7" s="1">
        <v>0</v>
      </c>
      <c r="P7" s="1">
        <v>0</v>
      </c>
      <c r="S7" s="1" t="s">
        <v>10</v>
      </c>
      <c r="T7">
        <f>AVERAGE(M2:M497)</f>
        <v>0.17943548387096775</v>
      </c>
    </row>
    <row r="8" spans="1:20">
      <c r="A8" s="1">
        <v>0</v>
      </c>
      <c r="B8" s="1">
        <v>0</v>
      </c>
      <c r="E8" t="s">
        <v>979</v>
      </c>
      <c r="F8">
        <v>3</v>
      </c>
      <c r="I8" s="1">
        <v>0</v>
      </c>
      <c r="J8" s="1">
        <v>0</v>
      </c>
      <c r="K8" s="1">
        <v>0</v>
      </c>
      <c r="L8" s="1">
        <v>0</v>
      </c>
      <c r="M8" s="1">
        <v>0</v>
      </c>
      <c r="N8" s="1">
        <v>0</v>
      </c>
      <c r="O8" s="1">
        <v>0</v>
      </c>
      <c r="P8" s="1">
        <v>0</v>
      </c>
      <c r="S8" s="1" t="s">
        <v>7</v>
      </c>
      <c r="T8">
        <f>AVERAGE(J2:J497)</f>
        <v>7.5772849461693548E-2</v>
      </c>
    </row>
    <row r="9" spans="1:20">
      <c r="A9" s="1">
        <v>0</v>
      </c>
      <c r="B9" s="1">
        <v>0</v>
      </c>
      <c r="E9" t="s">
        <v>981</v>
      </c>
      <c r="F9">
        <v>0</v>
      </c>
      <c r="I9" s="1">
        <v>0</v>
      </c>
      <c r="J9" s="1">
        <v>0</v>
      </c>
      <c r="K9" s="1">
        <v>0</v>
      </c>
      <c r="L9" s="1">
        <v>0</v>
      </c>
      <c r="M9" s="1">
        <v>0</v>
      </c>
      <c r="N9" s="1">
        <v>0</v>
      </c>
      <c r="O9" s="1">
        <v>0</v>
      </c>
      <c r="P9" s="1">
        <v>0</v>
      </c>
      <c r="S9" s="1" t="s">
        <v>8</v>
      </c>
      <c r="T9">
        <f>AVERAGE(K2:K497)</f>
        <v>0.24059139784879033</v>
      </c>
    </row>
    <row r="10" spans="1:20">
      <c r="A10" s="1">
        <v>0</v>
      </c>
      <c r="B10" s="1">
        <v>0</v>
      </c>
      <c r="I10" s="1">
        <v>0</v>
      </c>
      <c r="J10" s="1">
        <v>0</v>
      </c>
      <c r="K10" s="1">
        <v>0</v>
      </c>
      <c r="L10" s="1">
        <v>0</v>
      </c>
      <c r="M10" s="1">
        <v>0</v>
      </c>
      <c r="N10" s="1">
        <v>0</v>
      </c>
      <c r="O10" s="1">
        <v>0</v>
      </c>
      <c r="P10" s="1">
        <v>0</v>
      </c>
    </row>
    <row r="11" spans="1:20">
      <c r="A11" s="1">
        <v>0</v>
      </c>
      <c r="B11" s="1">
        <v>0</v>
      </c>
      <c r="I11" s="1">
        <v>0</v>
      </c>
      <c r="J11" s="1">
        <v>0</v>
      </c>
      <c r="K11" s="1">
        <v>0</v>
      </c>
      <c r="L11" s="1">
        <v>0</v>
      </c>
      <c r="M11" s="1">
        <v>0</v>
      </c>
      <c r="N11" s="1">
        <v>0</v>
      </c>
      <c r="O11" s="1">
        <v>0</v>
      </c>
      <c r="P11" s="1">
        <v>0</v>
      </c>
    </row>
    <row r="12" spans="1:20">
      <c r="A12" s="1">
        <v>0</v>
      </c>
      <c r="B12" s="1">
        <v>0</v>
      </c>
      <c r="I12" s="1">
        <v>0</v>
      </c>
      <c r="J12" s="1">
        <v>0</v>
      </c>
      <c r="K12" s="1">
        <v>0</v>
      </c>
      <c r="L12" s="1">
        <v>0</v>
      </c>
      <c r="M12" s="1">
        <v>0</v>
      </c>
      <c r="N12" s="1">
        <v>0</v>
      </c>
      <c r="O12" s="1">
        <v>0</v>
      </c>
      <c r="P12" s="1">
        <v>0</v>
      </c>
    </row>
    <row r="13" spans="1:20">
      <c r="A13" s="1">
        <v>0</v>
      </c>
      <c r="B13" s="1">
        <v>0</v>
      </c>
      <c r="E13" s="1"/>
      <c r="F13" s="2"/>
      <c r="I13" s="1">
        <v>0</v>
      </c>
      <c r="J13" s="1">
        <v>0</v>
      </c>
      <c r="K13" s="1">
        <v>0</v>
      </c>
      <c r="L13" s="1">
        <v>0</v>
      </c>
      <c r="M13" s="1">
        <v>0</v>
      </c>
      <c r="N13" s="1">
        <v>0</v>
      </c>
      <c r="O13" s="1">
        <v>0</v>
      </c>
      <c r="P13" s="1">
        <v>0</v>
      </c>
    </row>
    <row r="14" spans="1:20">
      <c r="A14" s="1">
        <v>0</v>
      </c>
      <c r="B14" s="1">
        <v>0</v>
      </c>
      <c r="E14" s="1"/>
      <c r="F14" s="2"/>
      <c r="I14" s="1">
        <v>0</v>
      </c>
      <c r="J14" s="1">
        <v>0</v>
      </c>
      <c r="K14" s="1">
        <v>0</v>
      </c>
      <c r="L14" s="1">
        <v>0</v>
      </c>
      <c r="M14" s="1">
        <v>0</v>
      </c>
      <c r="N14" s="1">
        <v>0</v>
      </c>
      <c r="O14" s="1">
        <v>0</v>
      </c>
      <c r="P14" s="1">
        <v>0</v>
      </c>
    </row>
    <row r="15" spans="1:20">
      <c r="A15" s="1">
        <v>0</v>
      </c>
      <c r="B15" s="1">
        <v>0</v>
      </c>
      <c r="E15" s="1"/>
      <c r="F15" s="2"/>
      <c r="I15" s="1">
        <v>0</v>
      </c>
      <c r="J15" s="1">
        <v>0</v>
      </c>
      <c r="K15" s="1">
        <v>0</v>
      </c>
      <c r="L15" s="1">
        <v>0</v>
      </c>
      <c r="M15" s="1">
        <v>0</v>
      </c>
      <c r="N15" s="1">
        <v>0</v>
      </c>
      <c r="O15" s="1">
        <v>0</v>
      </c>
      <c r="P15" s="1">
        <v>0</v>
      </c>
    </row>
    <row r="16" spans="1:20">
      <c r="A16" s="1">
        <v>0</v>
      </c>
      <c r="B16" s="1">
        <v>0</v>
      </c>
      <c r="E16" s="1"/>
      <c r="F16" s="2"/>
      <c r="I16" s="1">
        <v>0</v>
      </c>
      <c r="J16" s="1">
        <v>0</v>
      </c>
      <c r="K16" s="1">
        <v>0</v>
      </c>
      <c r="L16" s="1">
        <v>0</v>
      </c>
      <c r="M16" s="1">
        <v>0</v>
      </c>
      <c r="N16" s="1">
        <v>0</v>
      </c>
      <c r="O16" s="1">
        <v>0</v>
      </c>
      <c r="P16" s="1">
        <v>0</v>
      </c>
    </row>
    <row r="17" spans="1:16">
      <c r="A17" s="1">
        <v>0.16666666699999999</v>
      </c>
      <c r="B17" s="1">
        <v>0.5</v>
      </c>
      <c r="E17" s="1"/>
      <c r="F17" s="2"/>
      <c r="I17" s="1">
        <v>0</v>
      </c>
      <c r="J17" s="1">
        <v>0</v>
      </c>
      <c r="K17" s="1">
        <v>1</v>
      </c>
      <c r="L17" s="1">
        <v>0</v>
      </c>
      <c r="M17" s="1">
        <v>0</v>
      </c>
      <c r="N17" s="1">
        <v>0</v>
      </c>
      <c r="O17" s="1">
        <v>0</v>
      </c>
      <c r="P17" s="1">
        <v>0</v>
      </c>
    </row>
    <row r="18" spans="1:16">
      <c r="A18" s="1">
        <v>0</v>
      </c>
      <c r="B18" s="1">
        <v>0</v>
      </c>
      <c r="E18" s="1"/>
      <c r="F18" s="2"/>
      <c r="I18" s="1">
        <v>0</v>
      </c>
      <c r="J18" s="1">
        <v>0</v>
      </c>
      <c r="K18" s="1">
        <v>0</v>
      </c>
      <c r="L18" s="1">
        <v>0</v>
      </c>
      <c r="M18" s="1">
        <v>0</v>
      </c>
      <c r="N18" s="1">
        <v>0</v>
      </c>
      <c r="O18" s="1">
        <v>0</v>
      </c>
      <c r="P18" s="1">
        <v>0</v>
      </c>
    </row>
    <row r="19" spans="1:16">
      <c r="A19" s="1">
        <v>1.2</v>
      </c>
      <c r="B19" s="1">
        <v>3.6</v>
      </c>
      <c r="E19" s="1"/>
      <c r="F19" s="2"/>
      <c r="I19" s="1">
        <v>0</v>
      </c>
      <c r="J19" s="1">
        <v>0</v>
      </c>
      <c r="K19" s="1">
        <v>3</v>
      </c>
      <c r="L19" s="1">
        <v>0</v>
      </c>
      <c r="M19" s="1">
        <v>3</v>
      </c>
      <c r="N19" s="1">
        <v>0</v>
      </c>
      <c r="O19" s="1">
        <v>0</v>
      </c>
      <c r="P19" s="1">
        <v>0</v>
      </c>
    </row>
    <row r="20" spans="1:16">
      <c r="A20" s="1">
        <v>0.6</v>
      </c>
      <c r="B20" s="1">
        <v>0</v>
      </c>
      <c r="E20" s="1"/>
      <c r="F20" s="2"/>
      <c r="I20" s="1">
        <v>0</v>
      </c>
      <c r="J20" s="1">
        <v>1.5</v>
      </c>
      <c r="K20" s="1">
        <v>0</v>
      </c>
      <c r="L20" s="1">
        <v>0</v>
      </c>
      <c r="M20" s="1">
        <v>0</v>
      </c>
      <c r="N20" s="1">
        <v>0</v>
      </c>
      <c r="O20" s="1">
        <v>0</v>
      </c>
      <c r="P20" s="1">
        <v>0</v>
      </c>
    </row>
    <row r="21" spans="1:16">
      <c r="A21" s="1">
        <v>0</v>
      </c>
      <c r="B21" s="1">
        <v>0</v>
      </c>
      <c r="E21" s="1"/>
      <c r="F21" s="2"/>
      <c r="I21" s="1">
        <v>0</v>
      </c>
      <c r="J21" s="1">
        <v>0</v>
      </c>
      <c r="K21" s="1">
        <v>0</v>
      </c>
      <c r="L21" s="1">
        <v>0</v>
      </c>
      <c r="M21" s="1">
        <v>0</v>
      </c>
      <c r="N21" s="1">
        <v>0</v>
      </c>
      <c r="O21" s="1">
        <v>0</v>
      </c>
      <c r="P21" s="1">
        <v>0</v>
      </c>
    </row>
    <row r="22" spans="1:16">
      <c r="A22" s="1">
        <v>2</v>
      </c>
      <c r="B22" s="1">
        <v>6</v>
      </c>
      <c r="I22" s="1">
        <v>0</v>
      </c>
      <c r="J22" s="1">
        <v>0</v>
      </c>
      <c r="K22" s="1">
        <v>0</v>
      </c>
      <c r="L22" s="1">
        <v>0</v>
      </c>
      <c r="M22" s="1">
        <v>2</v>
      </c>
      <c r="N22" s="1">
        <v>0</v>
      </c>
      <c r="O22" s="1">
        <v>0</v>
      </c>
      <c r="P22" s="1">
        <v>0</v>
      </c>
    </row>
    <row r="23" spans="1:16">
      <c r="A23" s="1">
        <v>0.28571428599999998</v>
      </c>
      <c r="B23" s="1">
        <v>0.428571429</v>
      </c>
      <c r="E23" t="s">
        <v>1102</v>
      </c>
      <c r="F23" t="s">
        <v>1103</v>
      </c>
      <c r="G23" t="s">
        <v>1104</v>
      </c>
      <c r="I23" s="1">
        <v>0</v>
      </c>
      <c r="J23" s="1">
        <v>0.5</v>
      </c>
      <c r="K23" s="1">
        <v>1</v>
      </c>
      <c r="L23" s="1">
        <v>0</v>
      </c>
      <c r="M23" s="1">
        <v>0</v>
      </c>
      <c r="N23" s="1">
        <v>0</v>
      </c>
      <c r="O23" s="1">
        <v>0</v>
      </c>
      <c r="P23" s="1">
        <v>0</v>
      </c>
    </row>
    <row r="24" spans="1:16">
      <c r="A24" s="1">
        <v>0.28571428599999998</v>
      </c>
      <c r="B24" s="1">
        <v>0.428571429</v>
      </c>
      <c r="E24" s="1" t="s">
        <v>9</v>
      </c>
      <c r="F24">
        <f>COUNTIF(L2:L497,"&gt;0")</f>
        <v>0</v>
      </c>
      <c r="G24">
        <f>(F24/$F$34)*100</f>
        <v>0</v>
      </c>
      <c r="I24" s="1">
        <v>0</v>
      </c>
      <c r="J24" s="1">
        <v>0.5</v>
      </c>
      <c r="K24" s="1">
        <v>1</v>
      </c>
      <c r="L24" s="1">
        <v>0</v>
      </c>
      <c r="M24" s="1">
        <v>0</v>
      </c>
      <c r="N24" s="1">
        <v>0</v>
      </c>
      <c r="O24" s="1">
        <v>0</v>
      </c>
      <c r="P24" s="1">
        <v>0</v>
      </c>
    </row>
    <row r="25" spans="1:16">
      <c r="A25" s="1">
        <v>0.33333333300000001</v>
      </c>
      <c r="B25" s="1">
        <v>1</v>
      </c>
      <c r="E25" s="1" t="s">
        <v>13</v>
      </c>
      <c r="F25">
        <f>COUNTIF(P2:P497,"&gt;0")</f>
        <v>1</v>
      </c>
      <c r="G25" s="3">
        <f>(F25/$F$34)*100</f>
        <v>0.20161290322580644</v>
      </c>
      <c r="I25" s="1">
        <v>0</v>
      </c>
      <c r="J25" s="1">
        <v>0</v>
      </c>
      <c r="K25" s="1">
        <v>1</v>
      </c>
      <c r="L25" s="1">
        <v>0</v>
      </c>
      <c r="M25" s="1">
        <v>0</v>
      </c>
      <c r="N25" s="1">
        <v>0</v>
      </c>
      <c r="O25" s="1">
        <v>0</v>
      </c>
      <c r="P25" s="1">
        <v>0</v>
      </c>
    </row>
    <row r="26" spans="1:16">
      <c r="A26" s="1">
        <v>0</v>
      </c>
      <c r="B26" s="1">
        <v>0</v>
      </c>
      <c r="E26" s="1" t="s">
        <v>6</v>
      </c>
      <c r="F26">
        <f>COUNTIF(I2:I497,"&gt;0")</f>
        <v>2</v>
      </c>
      <c r="G26" s="3">
        <f t="shared" ref="G25:G31" si="0">(F26/$F$34)*100</f>
        <v>0.40322580645161288</v>
      </c>
      <c r="I26" s="1">
        <v>0</v>
      </c>
      <c r="J26" s="1">
        <v>0</v>
      </c>
      <c r="K26" s="1">
        <v>0</v>
      </c>
      <c r="L26" s="1">
        <v>0</v>
      </c>
      <c r="M26" s="1">
        <v>0</v>
      </c>
      <c r="N26" s="1">
        <v>0</v>
      </c>
      <c r="O26" s="1">
        <v>0</v>
      </c>
      <c r="P26" s="1">
        <v>0</v>
      </c>
    </row>
    <row r="27" spans="1:16">
      <c r="A27" s="1">
        <v>0</v>
      </c>
      <c r="B27" s="1">
        <v>0</v>
      </c>
      <c r="E27" s="1" t="s">
        <v>11</v>
      </c>
      <c r="F27">
        <f>COUNTIF(N2:N497,"&gt;0")</f>
        <v>2</v>
      </c>
      <c r="G27" s="3">
        <f t="shared" si="0"/>
        <v>0.40322580645161288</v>
      </c>
      <c r="I27" s="1">
        <v>0</v>
      </c>
      <c r="J27" s="1">
        <v>0</v>
      </c>
      <c r="K27" s="1">
        <v>0</v>
      </c>
      <c r="L27" s="1">
        <v>0</v>
      </c>
      <c r="M27" s="1">
        <v>0</v>
      </c>
      <c r="N27" s="1">
        <v>0</v>
      </c>
      <c r="O27" s="1">
        <v>0</v>
      </c>
      <c r="P27" s="1">
        <v>0</v>
      </c>
    </row>
    <row r="28" spans="1:16">
      <c r="A28" s="1">
        <v>0</v>
      </c>
      <c r="B28" s="1">
        <v>0</v>
      </c>
      <c r="E28" s="1" t="s">
        <v>12</v>
      </c>
      <c r="F28">
        <f>COUNTIF(O2:O497,"&gt;0")</f>
        <v>4</v>
      </c>
      <c r="G28" s="3">
        <f t="shared" si="0"/>
        <v>0.80645161290322576</v>
      </c>
      <c r="I28" s="1">
        <v>0</v>
      </c>
      <c r="J28" s="1">
        <v>0</v>
      </c>
      <c r="K28" s="1">
        <v>0</v>
      </c>
      <c r="L28" s="1">
        <v>0</v>
      </c>
      <c r="M28" s="1">
        <v>0</v>
      </c>
      <c r="N28" s="1">
        <v>0</v>
      </c>
      <c r="O28" s="1">
        <v>0</v>
      </c>
      <c r="P28" s="1">
        <v>0</v>
      </c>
    </row>
    <row r="29" spans="1:16">
      <c r="A29" s="1">
        <v>0</v>
      </c>
      <c r="B29" s="1">
        <v>0</v>
      </c>
      <c r="E29" s="1" t="s">
        <v>10</v>
      </c>
      <c r="F29">
        <f>COUNTIF(M2:M497,"&gt;0")</f>
        <v>29</v>
      </c>
      <c r="G29" s="3">
        <f t="shared" si="0"/>
        <v>5.846774193548387</v>
      </c>
      <c r="I29" s="1">
        <v>0</v>
      </c>
      <c r="J29" s="1">
        <v>0</v>
      </c>
      <c r="K29" s="1">
        <v>0</v>
      </c>
      <c r="L29" s="1">
        <v>0</v>
      </c>
      <c r="M29" s="1">
        <v>0</v>
      </c>
      <c r="N29" s="1">
        <v>0</v>
      </c>
      <c r="O29" s="1">
        <v>0</v>
      </c>
      <c r="P29" s="1">
        <v>0</v>
      </c>
    </row>
    <row r="30" spans="1:16">
      <c r="A30" s="1">
        <v>0</v>
      </c>
      <c r="B30" s="1">
        <v>0</v>
      </c>
      <c r="E30" s="1" t="s">
        <v>7</v>
      </c>
      <c r="F30">
        <f>COUNTIF(J2:J497,"&gt;0")</f>
        <v>45</v>
      </c>
      <c r="G30" s="3">
        <f t="shared" si="0"/>
        <v>9.07258064516129</v>
      </c>
      <c r="I30" s="1">
        <v>0</v>
      </c>
      <c r="J30" s="1">
        <v>0</v>
      </c>
      <c r="K30" s="1">
        <v>0</v>
      </c>
      <c r="L30" s="1">
        <v>0</v>
      </c>
      <c r="M30" s="1">
        <v>0</v>
      </c>
      <c r="N30" s="1">
        <v>0</v>
      </c>
      <c r="O30" s="1">
        <v>0</v>
      </c>
      <c r="P30" s="1">
        <v>0</v>
      </c>
    </row>
    <row r="31" spans="1:16">
      <c r="A31" s="1">
        <v>0</v>
      </c>
      <c r="B31" s="1">
        <v>0</v>
      </c>
      <c r="E31" s="1" t="s">
        <v>8</v>
      </c>
      <c r="F31">
        <f>COUNTIF(K2:K497,"&gt;0")</f>
        <v>78</v>
      </c>
      <c r="G31" s="3">
        <f t="shared" si="0"/>
        <v>15.725806451612904</v>
      </c>
      <c r="I31" s="1">
        <v>0</v>
      </c>
      <c r="J31" s="1">
        <v>0</v>
      </c>
      <c r="K31" s="1">
        <v>0</v>
      </c>
      <c r="L31" s="1">
        <v>0</v>
      </c>
      <c r="M31" s="1">
        <v>0</v>
      </c>
      <c r="N31" s="1">
        <v>0</v>
      </c>
      <c r="O31" s="1">
        <v>0</v>
      </c>
      <c r="P31" s="1">
        <v>0</v>
      </c>
    </row>
    <row r="32" spans="1:16">
      <c r="A32" s="1">
        <v>0</v>
      </c>
      <c r="B32" s="1">
        <v>0</v>
      </c>
      <c r="I32" s="1">
        <v>0</v>
      </c>
      <c r="J32" s="1">
        <v>0</v>
      </c>
      <c r="K32" s="1">
        <v>0</v>
      </c>
      <c r="L32" s="1">
        <v>0</v>
      </c>
      <c r="M32" s="1">
        <v>0</v>
      </c>
      <c r="N32" s="1">
        <v>0</v>
      </c>
      <c r="O32" s="1">
        <v>0</v>
      </c>
      <c r="P32" s="1">
        <v>0</v>
      </c>
    </row>
    <row r="33" spans="1:16">
      <c r="A33" s="1">
        <v>0</v>
      </c>
      <c r="B33" s="1">
        <v>0</v>
      </c>
      <c r="I33" s="1">
        <v>0</v>
      </c>
      <c r="J33" s="1">
        <v>0</v>
      </c>
      <c r="K33" s="1">
        <v>0</v>
      </c>
      <c r="L33" s="1">
        <v>0</v>
      </c>
      <c r="M33" s="1">
        <v>0</v>
      </c>
      <c r="N33" s="1">
        <v>0</v>
      </c>
      <c r="O33" s="1">
        <v>0</v>
      </c>
      <c r="P33" s="1">
        <v>0</v>
      </c>
    </row>
    <row r="34" spans="1:16">
      <c r="A34" s="1">
        <v>0</v>
      </c>
      <c r="B34" s="1">
        <v>0</v>
      </c>
      <c r="E34" t="s">
        <v>1115</v>
      </c>
      <c r="F34">
        <f>COUNT(I2:I497)</f>
        <v>496</v>
      </c>
      <c r="I34" s="1">
        <v>0</v>
      </c>
      <c r="J34" s="1">
        <v>0</v>
      </c>
      <c r="K34" s="1">
        <v>0</v>
      </c>
      <c r="L34" s="1">
        <v>0</v>
      </c>
      <c r="M34" s="1">
        <v>0</v>
      </c>
      <c r="N34" s="1">
        <v>0</v>
      </c>
      <c r="O34" s="1">
        <v>0</v>
      </c>
      <c r="P34" s="1">
        <v>0</v>
      </c>
    </row>
    <row r="35" spans="1:16">
      <c r="A35" s="1">
        <v>0</v>
      </c>
      <c r="B35" s="1">
        <v>0</v>
      </c>
      <c r="I35" s="1">
        <v>0</v>
      </c>
      <c r="J35" s="1">
        <v>0</v>
      </c>
      <c r="K35" s="1">
        <v>0</v>
      </c>
      <c r="L35" s="1">
        <v>0</v>
      </c>
      <c r="M35" s="1">
        <v>0</v>
      </c>
      <c r="N35" s="1">
        <v>0</v>
      </c>
      <c r="O35" s="1">
        <v>0</v>
      </c>
      <c r="P35" s="1">
        <v>0</v>
      </c>
    </row>
    <row r="36" spans="1:16">
      <c r="A36" s="1"/>
      <c r="B36" s="1"/>
      <c r="I36" s="1">
        <v>0</v>
      </c>
      <c r="J36" s="1">
        <v>0</v>
      </c>
      <c r="K36" s="1">
        <v>0</v>
      </c>
      <c r="L36" s="1">
        <v>0</v>
      </c>
      <c r="M36" s="1">
        <v>0</v>
      </c>
      <c r="N36" s="1">
        <v>0</v>
      </c>
      <c r="O36" s="1">
        <v>0</v>
      </c>
      <c r="P36" s="1">
        <v>0</v>
      </c>
    </row>
    <row r="37" spans="1:16">
      <c r="A37" s="1">
        <v>0</v>
      </c>
      <c r="B37" s="1">
        <v>0</v>
      </c>
      <c r="I37" s="1">
        <v>0</v>
      </c>
      <c r="J37" s="1">
        <v>0</v>
      </c>
      <c r="K37" s="1">
        <v>0</v>
      </c>
      <c r="L37" s="1">
        <v>0</v>
      </c>
      <c r="M37" s="1">
        <v>3</v>
      </c>
      <c r="N37" s="1">
        <v>0</v>
      </c>
      <c r="O37" s="1">
        <v>0</v>
      </c>
      <c r="P37" s="1">
        <v>0</v>
      </c>
    </row>
    <row r="38" spans="1:16">
      <c r="A38" s="1">
        <v>1</v>
      </c>
      <c r="B38" s="1">
        <v>3</v>
      </c>
      <c r="E38" t="s">
        <v>1116</v>
      </c>
      <c r="I38" s="1">
        <v>0</v>
      </c>
      <c r="J38" s="1">
        <v>1.5</v>
      </c>
      <c r="K38" s="1">
        <v>0</v>
      </c>
      <c r="L38" s="1">
        <v>0</v>
      </c>
      <c r="M38" s="1">
        <v>0</v>
      </c>
      <c r="N38" s="1">
        <v>0</v>
      </c>
      <c r="O38" s="1">
        <v>0</v>
      </c>
      <c r="P38" s="1">
        <v>0</v>
      </c>
    </row>
    <row r="39" spans="1:16">
      <c r="A39" s="1">
        <v>0.75</v>
      </c>
      <c r="B39" s="1">
        <v>0</v>
      </c>
      <c r="I39" s="1">
        <v>0</v>
      </c>
      <c r="J39" s="1">
        <v>0</v>
      </c>
      <c r="K39" s="1">
        <v>0</v>
      </c>
      <c r="L39" s="1">
        <v>0</v>
      </c>
      <c r="M39" s="1">
        <v>0</v>
      </c>
      <c r="N39" s="1">
        <v>0</v>
      </c>
      <c r="O39" s="1">
        <v>0</v>
      </c>
      <c r="P39" s="1">
        <v>0</v>
      </c>
    </row>
    <row r="40" spans="1:16">
      <c r="A40" s="1">
        <v>0</v>
      </c>
      <c r="B40" s="1">
        <v>0</v>
      </c>
      <c r="I40" s="1">
        <v>0</v>
      </c>
      <c r="J40" s="1">
        <v>0</v>
      </c>
      <c r="K40" s="1">
        <v>0</v>
      </c>
      <c r="L40" s="1">
        <v>0</v>
      </c>
      <c r="M40" s="1">
        <v>0</v>
      </c>
      <c r="N40" s="1">
        <v>0</v>
      </c>
      <c r="O40" s="1">
        <v>0</v>
      </c>
      <c r="P40" s="1">
        <v>0</v>
      </c>
    </row>
    <row r="41" spans="1:16">
      <c r="A41" s="1">
        <v>0</v>
      </c>
      <c r="B41" s="1">
        <v>0</v>
      </c>
      <c r="I41" s="1">
        <v>0</v>
      </c>
      <c r="J41" s="1">
        <v>0</v>
      </c>
      <c r="K41" s="1">
        <v>0</v>
      </c>
      <c r="L41" s="1">
        <v>0</v>
      </c>
      <c r="M41" s="1">
        <v>0</v>
      </c>
      <c r="N41" s="1">
        <v>0</v>
      </c>
      <c r="O41" s="1">
        <v>0</v>
      </c>
      <c r="P41" s="1">
        <v>0</v>
      </c>
    </row>
    <row r="42" spans="1:16">
      <c r="A42" s="1">
        <v>0</v>
      </c>
      <c r="B42" s="1">
        <v>0</v>
      </c>
      <c r="I42" s="1">
        <v>0</v>
      </c>
      <c r="J42" s="1">
        <v>0</v>
      </c>
      <c r="K42" s="1">
        <v>0</v>
      </c>
      <c r="L42" s="1">
        <v>0</v>
      </c>
      <c r="M42" s="1">
        <v>0</v>
      </c>
      <c r="N42" s="1">
        <v>0</v>
      </c>
      <c r="O42" s="1">
        <v>0</v>
      </c>
      <c r="P42" s="1">
        <v>0</v>
      </c>
    </row>
    <row r="43" spans="1:16">
      <c r="A43" s="1">
        <v>0</v>
      </c>
      <c r="B43" s="1">
        <v>0</v>
      </c>
      <c r="I43" s="1">
        <v>0</v>
      </c>
      <c r="J43" s="1">
        <v>0</v>
      </c>
      <c r="K43" s="1">
        <v>0</v>
      </c>
      <c r="L43" s="1">
        <v>0</v>
      </c>
      <c r="M43" s="1">
        <v>0</v>
      </c>
      <c r="N43" s="1">
        <v>0</v>
      </c>
      <c r="O43" s="1">
        <v>0</v>
      </c>
      <c r="P43" s="1">
        <v>0</v>
      </c>
    </row>
    <row r="44" spans="1:16">
      <c r="A44" s="1">
        <v>0</v>
      </c>
      <c r="B44" s="1">
        <v>0</v>
      </c>
      <c r="I44" s="1">
        <v>0</v>
      </c>
      <c r="J44" s="1">
        <v>0</v>
      </c>
      <c r="K44" s="1">
        <v>0</v>
      </c>
      <c r="L44" s="1">
        <v>0</v>
      </c>
      <c r="M44" s="1">
        <v>0</v>
      </c>
      <c r="N44" s="1">
        <v>0</v>
      </c>
      <c r="O44" s="1">
        <v>0</v>
      </c>
      <c r="P44" s="1">
        <v>0</v>
      </c>
    </row>
    <row r="45" spans="1:16">
      <c r="A45" s="1">
        <v>0</v>
      </c>
      <c r="B45" s="1">
        <v>0</v>
      </c>
      <c r="I45" s="1">
        <v>0</v>
      </c>
      <c r="J45" s="1">
        <v>0</v>
      </c>
      <c r="K45" s="1">
        <v>0</v>
      </c>
      <c r="L45" s="1">
        <v>0</v>
      </c>
      <c r="M45" s="1">
        <v>0</v>
      </c>
      <c r="N45" s="1">
        <v>0</v>
      </c>
      <c r="O45" s="1">
        <v>0</v>
      </c>
      <c r="P45" s="1">
        <v>0</v>
      </c>
    </row>
    <row r="46" spans="1:16">
      <c r="A46" s="1">
        <v>0</v>
      </c>
      <c r="B46" s="1">
        <v>0</v>
      </c>
      <c r="I46" s="1">
        <v>0</v>
      </c>
      <c r="J46" s="1">
        <v>0</v>
      </c>
      <c r="K46" s="1">
        <v>0</v>
      </c>
      <c r="L46" s="1">
        <v>0</v>
      </c>
      <c r="M46" s="1">
        <v>0</v>
      </c>
      <c r="N46" s="1">
        <v>0</v>
      </c>
      <c r="O46" s="1">
        <v>0</v>
      </c>
      <c r="P46" s="1">
        <v>0</v>
      </c>
    </row>
    <row r="47" spans="1:16">
      <c r="A47" s="1">
        <v>0</v>
      </c>
      <c r="B47" s="1">
        <v>0</v>
      </c>
      <c r="I47" s="1">
        <v>0</v>
      </c>
      <c r="J47" s="1">
        <v>0</v>
      </c>
      <c r="K47" s="1">
        <v>0</v>
      </c>
      <c r="L47" s="1">
        <v>0</v>
      </c>
      <c r="M47" s="1">
        <v>0</v>
      </c>
      <c r="N47" s="1">
        <v>0</v>
      </c>
      <c r="O47" s="1">
        <v>0</v>
      </c>
      <c r="P47" s="1">
        <v>0</v>
      </c>
    </row>
    <row r="48" spans="1:16">
      <c r="A48" s="1">
        <v>0</v>
      </c>
      <c r="B48" s="1">
        <v>0</v>
      </c>
      <c r="I48" s="1">
        <v>0</v>
      </c>
      <c r="J48" s="1">
        <v>0.5</v>
      </c>
      <c r="K48" s="1">
        <v>0</v>
      </c>
      <c r="L48" s="1">
        <v>0</v>
      </c>
      <c r="M48" s="1">
        <v>0</v>
      </c>
      <c r="N48" s="1">
        <v>0</v>
      </c>
      <c r="O48" s="1">
        <v>0</v>
      </c>
      <c r="P48" s="1">
        <v>0</v>
      </c>
    </row>
    <row r="49" spans="1:16">
      <c r="A49" s="1">
        <v>0.2</v>
      </c>
      <c r="B49" s="1">
        <v>0</v>
      </c>
      <c r="I49" s="1">
        <v>0</v>
      </c>
      <c r="J49" s="1">
        <v>0</v>
      </c>
      <c r="K49" s="1">
        <v>0</v>
      </c>
      <c r="L49" s="1">
        <v>0</v>
      </c>
      <c r="M49" s="1">
        <v>0</v>
      </c>
      <c r="N49" s="1">
        <v>0</v>
      </c>
      <c r="O49" s="1">
        <v>0</v>
      </c>
      <c r="P49" s="1">
        <v>0</v>
      </c>
    </row>
    <row r="50" spans="1:16">
      <c r="A50" s="1">
        <v>0</v>
      </c>
      <c r="B50" s="1">
        <v>0</v>
      </c>
      <c r="I50" s="1">
        <v>0</v>
      </c>
      <c r="J50" s="1">
        <v>0</v>
      </c>
      <c r="K50" s="1">
        <v>0</v>
      </c>
      <c r="L50" s="1">
        <v>0</v>
      </c>
      <c r="M50" s="1">
        <v>0</v>
      </c>
      <c r="N50" s="1">
        <v>0</v>
      </c>
      <c r="O50" s="1">
        <v>0</v>
      </c>
      <c r="P50" s="1">
        <v>0</v>
      </c>
    </row>
    <row r="51" spans="1:16">
      <c r="A51" s="1">
        <v>0</v>
      </c>
      <c r="B51" s="1">
        <v>0</v>
      </c>
      <c r="I51" s="1">
        <v>0</v>
      </c>
      <c r="J51" s="1">
        <v>0</v>
      </c>
      <c r="K51" s="1">
        <v>0</v>
      </c>
      <c r="L51" s="1">
        <v>0</v>
      </c>
      <c r="M51" s="1">
        <v>0</v>
      </c>
      <c r="N51" s="1">
        <v>0</v>
      </c>
      <c r="O51" s="1">
        <v>0</v>
      </c>
      <c r="P51" s="1">
        <v>0</v>
      </c>
    </row>
    <row r="52" spans="1:16">
      <c r="A52" s="1">
        <v>0</v>
      </c>
      <c r="B52" s="1">
        <v>0</v>
      </c>
      <c r="I52" s="1">
        <v>0</v>
      </c>
      <c r="J52" s="1">
        <v>0</v>
      </c>
      <c r="K52" s="1">
        <v>0</v>
      </c>
      <c r="L52" s="1">
        <v>0</v>
      </c>
      <c r="M52" s="1">
        <v>0</v>
      </c>
      <c r="N52" s="1">
        <v>0</v>
      </c>
      <c r="O52" s="1">
        <v>0</v>
      </c>
      <c r="P52" s="1">
        <v>0</v>
      </c>
    </row>
    <row r="53" spans="1:16">
      <c r="A53" s="1">
        <v>0</v>
      </c>
      <c r="B53" s="1">
        <v>0</v>
      </c>
      <c r="I53" s="1">
        <v>0</v>
      </c>
      <c r="J53" s="1">
        <v>0</v>
      </c>
      <c r="K53" s="1">
        <v>0</v>
      </c>
      <c r="L53" s="1">
        <v>0</v>
      </c>
      <c r="M53" s="1">
        <v>0</v>
      </c>
      <c r="N53" s="1">
        <v>0</v>
      </c>
      <c r="O53" s="1">
        <v>0</v>
      </c>
      <c r="P53" s="1">
        <v>0</v>
      </c>
    </row>
    <row r="54" spans="1:16">
      <c r="A54" s="1">
        <v>0</v>
      </c>
      <c r="B54" s="1">
        <v>0</v>
      </c>
      <c r="I54" s="1">
        <v>0</v>
      </c>
      <c r="J54" s="1">
        <v>0</v>
      </c>
      <c r="K54" s="1">
        <v>0</v>
      </c>
      <c r="L54" s="1">
        <v>0</v>
      </c>
      <c r="M54" s="1">
        <v>0</v>
      </c>
      <c r="N54" s="1">
        <v>0</v>
      </c>
      <c r="O54" s="1">
        <v>0</v>
      </c>
      <c r="P54" s="1">
        <v>0</v>
      </c>
    </row>
    <row r="55" spans="1:16">
      <c r="A55" s="1">
        <v>0</v>
      </c>
      <c r="B55" s="1">
        <v>0</v>
      </c>
      <c r="I55" s="1">
        <v>0</v>
      </c>
      <c r="J55" s="1">
        <v>0</v>
      </c>
      <c r="K55" s="1">
        <v>0</v>
      </c>
      <c r="L55" s="1">
        <v>0</v>
      </c>
      <c r="M55" s="1">
        <v>0</v>
      </c>
      <c r="N55" s="1">
        <v>0</v>
      </c>
      <c r="O55" s="1">
        <v>0</v>
      </c>
      <c r="P55" s="1">
        <v>0</v>
      </c>
    </row>
    <row r="56" spans="1:16">
      <c r="A56" s="1">
        <v>0</v>
      </c>
      <c r="B56" s="1">
        <v>0</v>
      </c>
      <c r="I56" s="1">
        <v>0</v>
      </c>
      <c r="J56" s="1">
        <v>0</v>
      </c>
      <c r="K56" s="1">
        <v>0</v>
      </c>
      <c r="L56" s="1">
        <v>0</v>
      </c>
      <c r="M56" s="1">
        <v>0</v>
      </c>
      <c r="N56" s="1">
        <v>0</v>
      </c>
      <c r="O56" s="1">
        <v>0</v>
      </c>
      <c r="P56" s="1">
        <v>0</v>
      </c>
    </row>
    <row r="57" spans="1:16">
      <c r="A57" s="1">
        <v>0</v>
      </c>
      <c r="B57" s="1">
        <v>0</v>
      </c>
      <c r="I57" s="1">
        <v>0</v>
      </c>
      <c r="J57" s="1">
        <v>0</v>
      </c>
      <c r="K57" s="1">
        <v>1</v>
      </c>
      <c r="L57" s="1">
        <v>0</v>
      </c>
      <c r="M57" s="1">
        <v>0</v>
      </c>
      <c r="N57" s="1">
        <v>0</v>
      </c>
      <c r="O57" s="1">
        <v>0</v>
      </c>
      <c r="P57" s="1">
        <v>0</v>
      </c>
    </row>
    <row r="58" spans="1:16">
      <c r="A58" s="1">
        <v>0.33333333300000001</v>
      </c>
      <c r="B58" s="1">
        <v>1</v>
      </c>
      <c r="I58" s="1">
        <v>0</v>
      </c>
      <c r="J58" s="1">
        <v>0</v>
      </c>
      <c r="K58" s="1">
        <v>0</v>
      </c>
      <c r="L58" s="1">
        <v>0</v>
      </c>
      <c r="M58" s="1">
        <v>0</v>
      </c>
      <c r="N58" s="1">
        <v>0</v>
      </c>
      <c r="O58" s="1">
        <v>0</v>
      </c>
      <c r="P58" s="1">
        <v>0</v>
      </c>
    </row>
    <row r="59" spans="1:16">
      <c r="A59" s="1">
        <v>0</v>
      </c>
      <c r="B59" s="1">
        <v>0</v>
      </c>
      <c r="I59" s="1">
        <v>0</v>
      </c>
      <c r="J59" s="1">
        <v>0</v>
      </c>
      <c r="K59" s="1">
        <v>0</v>
      </c>
      <c r="L59" s="1">
        <v>0</v>
      </c>
      <c r="M59" s="1">
        <v>0</v>
      </c>
      <c r="N59" s="1">
        <v>0</v>
      </c>
      <c r="O59" s="1">
        <v>0</v>
      </c>
      <c r="P59" s="1">
        <v>0</v>
      </c>
    </row>
    <row r="60" spans="1:16">
      <c r="A60" s="1">
        <v>0</v>
      </c>
      <c r="B60" s="1">
        <v>0</v>
      </c>
      <c r="I60" s="1">
        <v>0</v>
      </c>
      <c r="J60" s="1">
        <v>0.5</v>
      </c>
      <c r="K60" s="1">
        <v>0</v>
      </c>
      <c r="L60" s="1">
        <v>0</v>
      </c>
      <c r="M60" s="1">
        <v>0</v>
      </c>
      <c r="N60" s="1">
        <v>0</v>
      </c>
      <c r="O60" s="1">
        <v>0</v>
      </c>
      <c r="P60" s="1">
        <v>0</v>
      </c>
    </row>
    <row r="61" spans="1:16">
      <c r="A61" s="1">
        <v>0.2</v>
      </c>
      <c r="B61" s="1">
        <v>0</v>
      </c>
      <c r="I61" s="1">
        <v>0</v>
      </c>
      <c r="J61" s="1">
        <v>0</v>
      </c>
      <c r="K61" s="1">
        <v>0</v>
      </c>
      <c r="L61" s="1">
        <v>0</v>
      </c>
      <c r="M61" s="1">
        <v>0</v>
      </c>
      <c r="N61" s="1">
        <v>0</v>
      </c>
      <c r="O61" s="1">
        <v>0</v>
      </c>
      <c r="P61" s="1">
        <v>0</v>
      </c>
    </row>
    <row r="62" spans="1:16">
      <c r="A62" s="1">
        <v>0</v>
      </c>
      <c r="B62" s="1">
        <v>0</v>
      </c>
      <c r="I62" s="1">
        <v>0</v>
      </c>
      <c r="J62" s="1">
        <v>0</v>
      </c>
      <c r="K62" s="1">
        <v>0</v>
      </c>
      <c r="L62" s="1">
        <v>0</v>
      </c>
      <c r="M62" s="1">
        <v>0</v>
      </c>
      <c r="N62" s="1">
        <v>0</v>
      </c>
      <c r="O62" s="1">
        <v>0</v>
      </c>
      <c r="P62" s="1">
        <v>0</v>
      </c>
    </row>
    <row r="63" spans="1:16">
      <c r="A63" s="1">
        <v>0</v>
      </c>
      <c r="B63" s="1">
        <v>0</v>
      </c>
      <c r="I63" s="1">
        <v>0</v>
      </c>
      <c r="J63" s="1">
        <v>0</v>
      </c>
      <c r="K63" s="1">
        <v>0</v>
      </c>
      <c r="L63" s="1">
        <v>0</v>
      </c>
      <c r="M63" s="1">
        <v>0</v>
      </c>
      <c r="N63" s="1">
        <v>0</v>
      </c>
      <c r="O63" s="1">
        <v>0</v>
      </c>
      <c r="P63" s="1">
        <v>0</v>
      </c>
    </row>
    <row r="64" spans="1:16">
      <c r="A64" s="1">
        <v>0</v>
      </c>
      <c r="B64" s="1">
        <v>0</v>
      </c>
      <c r="I64" s="1">
        <v>0</v>
      </c>
      <c r="J64" s="1">
        <v>0</v>
      </c>
      <c r="K64" s="1">
        <v>0</v>
      </c>
      <c r="L64" s="1">
        <v>0</v>
      </c>
      <c r="M64" s="1">
        <v>0</v>
      </c>
      <c r="N64" s="1">
        <v>0</v>
      </c>
      <c r="O64" s="1">
        <v>0</v>
      </c>
      <c r="P64" s="1">
        <v>0</v>
      </c>
    </row>
    <row r="65" spans="1:16">
      <c r="A65" s="1">
        <v>0</v>
      </c>
      <c r="B65" s="1">
        <v>0</v>
      </c>
      <c r="I65" s="1">
        <v>0</v>
      </c>
      <c r="J65" s="1">
        <v>0</v>
      </c>
      <c r="K65" s="1">
        <v>0</v>
      </c>
      <c r="L65" s="1">
        <v>0</v>
      </c>
      <c r="M65" s="1">
        <v>0</v>
      </c>
      <c r="N65" s="1">
        <v>0</v>
      </c>
      <c r="O65" s="1">
        <v>0</v>
      </c>
      <c r="P65" s="1">
        <v>0</v>
      </c>
    </row>
    <row r="66" spans="1:16">
      <c r="A66" s="1">
        <v>0</v>
      </c>
      <c r="B66" s="1">
        <v>0</v>
      </c>
      <c r="I66" s="1">
        <v>0</v>
      </c>
      <c r="J66" s="1">
        <v>0</v>
      </c>
      <c r="K66" s="1">
        <v>0</v>
      </c>
      <c r="L66" s="1">
        <v>0</v>
      </c>
      <c r="M66" s="1">
        <v>0</v>
      </c>
      <c r="N66" s="1">
        <v>0</v>
      </c>
      <c r="O66" s="1">
        <v>0</v>
      </c>
      <c r="P66" s="1">
        <v>0</v>
      </c>
    </row>
    <row r="67" spans="1:16">
      <c r="A67" s="1">
        <v>0</v>
      </c>
      <c r="B67" s="1">
        <v>0</v>
      </c>
      <c r="I67" s="1">
        <v>0</v>
      </c>
      <c r="J67" s="1">
        <v>0</v>
      </c>
      <c r="K67" s="1">
        <v>1</v>
      </c>
      <c r="L67" s="1">
        <v>0</v>
      </c>
      <c r="M67" s="1">
        <v>0</v>
      </c>
      <c r="N67" s="1">
        <v>0</v>
      </c>
      <c r="O67" s="1">
        <v>0</v>
      </c>
      <c r="P67" s="1">
        <v>0</v>
      </c>
    </row>
    <row r="68" spans="1:16">
      <c r="A68" s="1">
        <v>0.25</v>
      </c>
      <c r="B68" s="1">
        <v>0.75</v>
      </c>
      <c r="I68" s="1">
        <v>0</v>
      </c>
      <c r="J68" s="1">
        <v>0</v>
      </c>
      <c r="K68" s="1">
        <v>0</v>
      </c>
      <c r="L68" s="1">
        <v>0</v>
      </c>
      <c r="M68" s="1">
        <v>0</v>
      </c>
      <c r="N68" s="1">
        <v>0</v>
      </c>
      <c r="O68" s="1">
        <v>0</v>
      </c>
      <c r="P68" s="1">
        <v>0</v>
      </c>
    </row>
    <row r="69" spans="1:16">
      <c r="A69" s="1">
        <v>0</v>
      </c>
      <c r="B69" s="1">
        <v>0</v>
      </c>
      <c r="I69" s="1">
        <v>0</v>
      </c>
      <c r="J69" s="1">
        <v>0</v>
      </c>
      <c r="K69" s="1">
        <v>0</v>
      </c>
      <c r="L69" s="1">
        <v>0</v>
      </c>
      <c r="M69" s="1">
        <v>0</v>
      </c>
      <c r="N69" s="1">
        <v>0</v>
      </c>
      <c r="O69" s="1">
        <v>0</v>
      </c>
      <c r="P69" s="1">
        <v>0</v>
      </c>
    </row>
    <row r="70" spans="1:16">
      <c r="A70" s="1">
        <v>0</v>
      </c>
      <c r="B70" s="1">
        <v>0</v>
      </c>
      <c r="I70" s="1">
        <v>0</v>
      </c>
      <c r="J70" s="1">
        <v>1</v>
      </c>
      <c r="K70" s="1">
        <v>1</v>
      </c>
      <c r="L70" s="1">
        <v>0</v>
      </c>
      <c r="M70" s="1">
        <v>0</v>
      </c>
      <c r="N70" s="1">
        <v>0</v>
      </c>
      <c r="O70" s="1">
        <v>0</v>
      </c>
      <c r="P70" s="1">
        <v>0</v>
      </c>
    </row>
    <row r="71" spans="1:16">
      <c r="A71" s="1">
        <v>0.4</v>
      </c>
      <c r="B71" s="1">
        <v>0.6</v>
      </c>
      <c r="I71" s="1">
        <v>0</v>
      </c>
      <c r="J71" s="1">
        <v>0</v>
      </c>
      <c r="K71" s="1">
        <v>0</v>
      </c>
      <c r="L71" s="1">
        <v>0</v>
      </c>
      <c r="M71" s="1">
        <v>0</v>
      </c>
      <c r="N71" s="1">
        <v>0</v>
      </c>
      <c r="O71" s="1">
        <v>0</v>
      </c>
      <c r="P71" s="1">
        <v>0</v>
      </c>
    </row>
    <row r="72" spans="1:16">
      <c r="A72" s="1">
        <v>0</v>
      </c>
      <c r="B72" s="1">
        <v>0</v>
      </c>
      <c r="I72" s="1">
        <v>0</v>
      </c>
      <c r="J72" s="1">
        <v>0</v>
      </c>
      <c r="K72" s="1">
        <v>0</v>
      </c>
      <c r="L72" s="1">
        <v>0</v>
      </c>
      <c r="M72" s="1">
        <v>0</v>
      </c>
      <c r="N72" s="1">
        <v>0</v>
      </c>
      <c r="O72" s="1">
        <v>0</v>
      </c>
      <c r="P72" s="1">
        <v>0</v>
      </c>
    </row>
    <row r="73" spans="1:16">
      <c r="A73" s="1">
        <v>0</v>
      </c>
      <c r="B73" s="1">
        <v>0</v>
      </c>
      <c r="I73" s="1">
        <v>0</v>
      </c>
      <c r="J73" s="1">
        <v>0</v>
      </c>
      <c r="K73" s="1">
        <v>0</v>
      </c>
      <c r="L73" s="1">
        <v>0</v>
      </c>
      <c r="M73" s="1">
        <v>0</v>
      </c>
      <c r="N73" s="1">
        <v>0</v>
      </c>
      <c r="O73" s="1">
        <v>0</v>
      </c>
      <c r="P73" s="1">
        <v>0</v>
      </c>
    </row>
    <row r="74" spans="1:16">
      <c r="A74" s="1">
        <v>0</v>
      </c>
      <c r="B74" s="1">
        <v>0</v>
      </c>
      <c r="I74" s="1">
        <v>0</v>
      </c>
      <c r="J74" s="1">
        <v>1</v>
      </c>
      <c r="K74" s="1">
        <v>0</v>
      </c>
      <c r="L74" s="1">
        <v>0</v>
      </c>
      <c r="M74" s="1">
        <v>0</v>
      </c>
      <c r="N74" s="1">
        <v>0</v>
      </c>
      <c r="O74" s="1">
        <v>0</v>
      </c>
      <c r="P74" s="1">
        <v>0</v>
      </c>
    </row>
    <row r="75" spans="1:16">
      <c r="A75" s="1">
        <v>0.16666666699999999</v>
      </c>
      <c r="B75" s="1">
        <v>0</v>
      </c>
      <c r="I75" s="1">
        <v>0.5</v>
      </c>
      <c r="J75" s="1">
        <v>0</v>
      </c>
      <c r="K75" s="1">
        <v>0</v>
      </c>
      <c r="L75" s="1">
        <v>0</v>
      </c>
      <c r="M75" s="1">
        <v>0</v>
      </c>
      <c r="N75" s="1">
        <v>0</v>
      </c>
      <c r="O75" s="1">
        <v>0</v>
      </c>
      <c r="P75" s="1">
        <v>0</v>
      </c>
    </row>
    <row r="76" spans="1:16">
      <c r="A76" s="1">
        <v>0.33333333300000001</v>
      </c>
      <c r="B76" s="1">
        <v>0</v>
      </c>
      <c r="I76" s="1">
        <v>0</v>
      </c>
      <c r="J76" s="1">
        <v>0</v>
      </c>
      <c r="K76" s="1">
        <v>0</v>
      </c>
      <c r="L76" s="1">
        <v>0</v>
      </c>
      <c r="M76" s="1">
        <v>0</v>
      </c>
      <c r="N76" s="1">
        <v>0</v>
      </c>
      <c r="O76" s="1">
        <v>0</v>
      </c>
      <c r="P76" s="1">
        <v>0</v>
      </c>
    </row>
    <row r="77" spans="1:16">
      <c r="A77" s="1">
        <v>0</v>
      </c>
      <c r="B77" s="1">
        <v>0</v>
      </c>
      <c r="I77" s="1">
        <v>0</v>
      </c>
      <c r="J77" s="1">
        <v>0</v>
      </c>
      <c r="K77" s="1">
        <v>0</v>
      </c>
      <c r="L77" s="1">
        <v>0</v>
      </c>
      <c r="M77" s="1">
        <v>0</v>
      </c>
      <c r="N77" s="1">
        <v>0</v>
      </c>
      <c r="O77" s="1">
        <v>0</v>
      </c>
      <c r="P77" s="1">
        <v>0</v>
      </c>
    </row>
    <row r="78" spans="1:16">
      <c r="A78" s="1">
        <v>0</v>
      </c>
      <c r="B78" s="1">
        <v>0</v>
      </c>
      <c r="I78" s="1">
        <v>0</v>
      </c>
      <c r="J78" s="1">
        <v>0</v>
      </c>
      <c r="K78" s="1">
        <v>0</v>
      </c>
      <c r="L78" s="1">
        <v>0</v>
      </c>
      <c r="M78" s="1">
        <v>0</v>
      </c>
      <c r="N78" s="1">
        <v>0</v>
      </c>
      <c r="O78" s="1">
        <v>0</v>
      </c>
      <c r="P78" s="1">
        <v>0</v>
      </c>
    </row>
    <row r="79" spans="1:16">
      <c r="A79" s="1">
        <v>0</v>
      </c>
      <c r="B79" s="1">
        <v>0</v>
      </c>
      <c r="I79" s="1">
        <v>0</v>
      </c>
      <c r="J79" s="1">
        <v>0</v>
      </c>
      <c r="K79" s="1">
        <v>0</v>
      </c>
      <c r="L79" s="1">
        <v>0</v>
      </c>
      <c r="M79" s="1">
        <v>0</v>
      </c>
      <c r="N79" s="1">
        <v>0</v>
      </c>
      <c r="O79" s="1">
        <v>0</v>
      </c>
      <c r="P79" s="1">
        <v>0</v>
      </c>
    </row>
    <row r="80" spans="1:16">
      <c r="A80" s="1">
        <v>0</v>
      </c>
      <c r="B80" s="1">
        <v>0</v>
      </c>
      <c r="I80" s="1">
        <v>0</v>
      </c>
      <c r="J80" s="1">
        <v>0</v>
      </c>
      <c r="K80" s="1">
        <v>0</v>
      </c>
      <c r="L80" s="1">
        <v>0</v>
      </c>
      <c r="M80" s="1">
        <v>0</v>
      </c>
      <c r="N80" s="1">
        <v>0</v>
      </c>
      <c r="O80" s="1">
        <v>0</v>
      </c>
      <c r="P80" s="1">
        <v>0</v>
      </c>
    </row>
    <row r="81" spans="1:16">
      <c r="A81" s="1">
        <v>0</v>
      </c>
      <c r="B81" s="1">
        <v>0</v>
      </c>
      <c r="I81" s="1">
        <v>0</v>
      </c>
      <c r="J81" s="1">
        <v>0</v>
      </c>
      <c r="K81" s="1">
        <v>0</v>
      </c>
      <c r="L81" s="1">
        <v>0</v>
      </c>
      <c r="M81" s="1">
        <v>0</v>
      </c>
      <c r="N81" s="1">
        <v>0</v>
      </c>
      <c r="O81" s="1">
        <v>0</v>
      </c>
      <c r="P81" s="1">
        <v>0</v>
      </c>
    </row>
    <row r="82" spans="1:16">
      <c r="A82" s="1">
        <v>0</v>
      </c>
      <c r="B82" s="1">
        <v>0</v>
      </c>
      <c r="I82" s="1">
        <v>0</v>
      </c>
      <c r="J82" s="1">
        <v>0</v>
      </c>
      <c r="K82" s="1">
        <v>0</v>
      </c>
      <c r="L82" s="1">
        <v>0</v>
      </c>
      <c r="M82" s="1">
        <v>0</v>
      </c>
      <c r="N82" s="1">
        <v>0</v>
      </c>
      <c r="O82" s="1">
        <v>0</v>
      </c>
      <c r="P82" s="1">
        <v>0</v>
      </c>
    </row>
    <row r="83" spans="1:16">
      <c r="A83" s="1">
        <v>0</v>
      </c>
      <c r="B83" s="1">
        <v>0</v>
      </c>
      <c r="I83" s="1">
        <v>0</v>
      </c>
      <c r="J83" s="1">
        <v>0</v>
      </c>
      <c r="K83" s="1">
        <v>0</v>
      </c>
      <c r="L83" s="1">
        <v>0</v>
      </c>
      <c r="M83" s="1">
        <v>0</v>
      </c>
      <c r="N83" s="1">
        <v>0</v>
      </c>
      <c r="O83" s="1">
        <v>0</v>
      </c>
      <c r="P83" s="1">
        <v>0</v>
      </c>
    </row>
    <row r="84" spans="1:16">
      <c r="A84" s="1">
        <v>0</v>
      </c>
      <c r="B84" s="1">
        <v>0</v>
      </c>
      <c r="I84" s="1">
        <v>0</v>
      </c>
      <c r="J84" s="1">
        <v>0</v>
      </c>
      <c r="K84" s="1">
        <v>0</v>
      </c>
      <c r="L84" s="1">
        <v>0</v>
      </c>
      <c r="M84" s="1">
        <v>0</v>
      </c>
      <c r="N84" s="1">
        <v>0</v>
      </c>
      <c r="O84" s="1">
        <v>0</v>
      </c>
      <c r="P84" s="1">
        <v>0</v>
      </c>
    </row>
    <row r="85" spans="1:16">
      <c r="A85" s="1">
        <v>0</v>
      </c>
      <c r="B85" s="1">
        <v>0</v>
      </c>
      <c r="I85" s="1">
        <v>0</v>
      </c>
      <c r="J85" s="1">
        <v>0</v>
      </c>
      <c r="K85" s="1">
        <v>0</v>
      </c>
      <c r="L85" s="1">
        <v>0</v>
      </c>
      <c r="M85" s="1">
        <v>0</v>
      </c>
      <c r="N85" s="1">
        <v>0</v>
      </c>
      <c r="O85" s="1">
        <v>0</v>
      </c>
      <c r="P85" s="1">
        <v>0</v>
      </c>
    </row>
    <row r="86" spans="1:16">
      <c r="A86" s="1">
        <v>0</v>
      </c>
      <c r="B86" s="1">
        <v>0</v>
      </c>
      <c r="I86" s="1">
        <v>0</v>
      </c>
      <c r="J86" s="1">
        <v>0</v>
      </c>
      <c r="K86" s="1">
        <v>0</v>
      </c>
      <c r="L86" s="1">
        <v>0</v>
      </c>
      <c r="M86" s="1">
        <v>0</v>
      </c>
      <c r="N86" s="1">
        <v>0</v>
      </c>
      <c r="O86" s="1">
        <v>0</v>
      </c>
      <c r="P86" s="1">
        <v>0</v>
      </c>
    </row>
    <row r="87" spans="1:16">
      <c r="A87" s="1">
        <v>0</v>
      </c>
      <c r="B87" s="1">
        <v>0</v>
      </c>
      <c r="I87" s="1">
        <v>0</v>
      </c>
      <c r="J87" s="1">
        <v>0</v>
      </c>
      <c r="K87" s="1">
        <v>0</v>
      </c>
      <c r="L87" s="1">
        <v>0</v>
      </c>
      <c r="M87" s="1">
        <v>0</v>
      </c>
      <c r="N87" s="1">
        <v>0</v>
      </c>
      <c r="O87" s="1">
        <v>0</v>
      </c>
      <c r="P87" s="1">
        <v>0</v>
      </c>
    </row>
    <row r="88" spans="1:16">
      <c r="A88" s="1">
        <v>0</v>
      </c>
      <c r="B88" s="1">
        <v>0</v>
      </c>
      <c r="I88" s="1">
        <v>0</v>
      </c>
      <c r="J88" s="1">
        <v>1</v>
      </c>
      <c r="K88" s="1">
        <v>1</v>
      </c>
      <c r="L88" s="1">
        <v>0</v>
      </c>
      <c r="M88" s="1">
        <v>0</v>
      </c>
      <c r="N88" s="1">
        <v>0</v>
      </c>
      <c r="O88" s="1">
        <v>0</v>
      </c>
      <c r="P88" s="1">
        <v>0</v>
      </c>
    </row>
    <row r="89" spans="1:16">
      <c r="A89" s="1">
        <v>0.33333333300000001</v>
      </c>
      <c r="B89" s="1">
        <v>0.5</v>
      </c>
      <c r="I89" s="1">
        <v>0</v>
      </c>
      <c r="J89" s="1">
        <v>0</v>
      </c>
      <c r="K89" s="1">
        <v>0</v>
      </c>
      <c r="L89" s="1">
        <v>0</v>
      </c>
      <c r="M89" s="1">
        <v>0</v>
      </c>
      <c r="N89" s="1">
        <v>0</v>
      </c>
      <c r="O89" s="1">
        <v>0</v>
      </c>
      <c r="P89" s="1">
        <v>0</v>
      </c>
    </row>
    <row r="90" spans="1:16">
      <c r="A90" s="1">
        <v>0</v>
      </c>
      <c r="B90" s="1">
        <v>0</v>
      </c>
      <c r="I90" s="1">
        <v>0</v>
      </c>
      <c r="J90" s="1">
        <v>0</v>
      </c>
      <c r="K90" s="1">
        <v>1</v>
      </c>
      <c r="L90" s="1">
        <v>0</v>
      </c>
      <c r="M90" s="1">
        <v>0</v>
      </c>
      <c r="N90" s="1">
        <v>0</v>
      </c>
      <c r="O90" s="1">
        <v>0</v>
      </c>
      <c r="P90" s="1">
        <v>0</v>
      </c>
    </row>
    <row r="91" spans="1:16">
      <c r="A91" s="1">
        <v>0.2</v>
      </c>
      <c r="B91" s="1">
        <v>0.6</v>
      </c>
      <c r="I91" s="1">
        <v>0</v>
      </c>
      <c r="J91" s="1">
        <v>0</v>
      </c>
      <c r="K91" s="1">
        <v>0</v>
      </c>
      <c r="L91" s="1">
        <v>0</v>
      </c>
      <c r="M91" s="1">
        <v>0</v>
      </c>
      <c r="N91" s="1">
        <v>0</v>
      </c>
      <c r="O91" s="1">
        <v>0</v>
      </c>
      <c r="P91" s="1">
        <v>0</v>
      </c>
    </row>
    <row r="92" spans="1:16">
      <c r="A92" s="1">
        <v>0</v>
      </c>
      <c r="B92" s="1">
        <v>0</v>
      </c>
      <c r="I92" s="1">
        <v>0</v>
      </c>
      <c r="J92" s="1">
        <v>0</v>
      </c>
      <c r="K92" s="1">
        <v>0</v>
      </c>
      <c r="L92" s="1">
        <v>0</v>
      </c>
      <c r="M92" s="1">
        <v>0</v>
      </c>
      <c r="N92" s="1">
        <v>0</v>
      </c>
      <c r="O92" s="1">
        <v>0</v>
      </c>
      <c r="P92" s="1">
        <v>0</v>
      </c>
    </row>
    <row r="93" spans="1:16">
      <c r="A93" s="1">
        <v>0</v>
      </c>
      <c r="B93" s="1">
        <v>0</v>
      </c>
      <c r="I93" s="1">
        <v>0</v>
      </c>
      <c r="J93" s="1">
        <v>0</v>
      </c>
      <c r="K93" s="1">
        <v>1</v>
      </c>
      <c r="L93" s="1">
        <v>0</v>
      </c>
      <c r="M93" s="1">
        <v>0</v>
      </c>
      <c r="N93" s="1">
        <v>0</v>
      </c>
      <c r="O93" s="1">
        <v>0</v>
      </c>
      <c r="P93" s="1">
        <v>0</v>
      </c>
    </row>
    <row r="94" spans="1:16">
      <c r="A94" s="1">
        <v>0.33333333300000001</v>
      </c>
      <c r="B94" s="1">
        <v>1</v>
      </c>
      <c r="I94" s="1">
        <v>0</v>
      </c>
      <c r="J94" s="1">
        <v>0</v>
      </c>
      <c r="K94" s="1">
        <v>0</v>
      </c>
      <c r="L94" s="1">
        <v>0</v>
      </c>
      <c r="M94" s="1">
        <v>0</v>
      </c>
      <c r="N94" s="1">
        <v>0</v>
      </c>
      <c r="O94" s="1">
        <v>0</v>
      </c>
      <c r="P94" s="1">
        <v>0</v>
      </c>
    </row>
    <row r="95" spans="1:16">
      <c r="A95" s="1">
        <v>0</v>
      </c>
      <c r="B95" s="1">
        <v>0</v>
      </c>
      <c r="I95" s="1">
        <v>0</v>
      </c>
      <c r="J95" s="1">
        <v>0</v>
      </c>
      <c r="K95" s="1">
        <v>0</v>
      </c>
      <c r="L95" s="1">
        <v>0</v>
      </c>
      <c r="M95" s="1">
        <v>0</v>
      </c>
      <c r="N95" s="1">
        <v>0</v>
      </c>
      <c r="O95" s="1">
        <v>0</v>
      </c>
      <c r="P95" s="1">
        <v>0</v>
      </c>
    </row>
    <row r="96" spans="1:16">
      <c r="A96" s="1">
        <v>0</v>
      </c>
      <c r="B96" s="1">
        <v>0</v>
      </c>
      <c r="I96" s="1">
        <v>0</v>
      </c>
      <c r="J96" s="1">
        <v>0</v>
      </c>
      <c r="K96" s="1">
        <v>0</v>
      </c>
      <c r="L96" s="1">
        <v>0</v>
      </c>
      <c r="M96" s="1">
        <v>0</v>
      </c>
      <c r="N96" s="1">
        <v>0</v>
      </c>
      <c r="O96" s="1">
        <v>0</v>
      </c>
      <c r="P96" s="1">
        <v>0</v>
      </c>
    </row>
    <row r="97" spans="1:16">
      <c r="A97" s="1">
        <v>0</v>
      </c>
      <c r="B97" s="1">
        <v>0</v>
      </c>
      <c r="I97" s="1">
        <v>0</v>
      </c>
      <c r="J97" s="1">
        <v>0</v>
      </c>
      <c r="K97" s="1">
        <v>0</v>
      </c>
      <c r="L97" s="1">
        <v>0</v>
      </c>
      <c r="M97" s="1">
        <v>0</v>
      </c>
      <c r="N97" s="1">
        <v>0</v>
      </c>
      <c r="O97" s="1">
        <v>0</v>
      </c>
      <c r="P97" s="1">
        <v>0</v>
      </c>
    </row>
    <row r="98" spans="1:16">
      <c r="A98" s="1">
        <v>0</v>
      </c>
      <c r="B98" s="1">
        <v>0</v>
      </c>
      <c r="I98" s="1">
        <v>0</v>
      </c>
      <c r="J98" s="1">
        <v>0</v>
      </c>
      <c r="K98" s="1">
        <v>0</v>
      </c>
      <c r="L98" s="1">
        <v>0</v>
      </c>
      <c r="M98" s="1">
        <v>0</v>
      </c>
      <c r="N98" s="1">
        <v>0</v>
      </c>
      <c r="O98" s="1">
        <v>0</v>
      </c>
      <c r="P98" s="1">
        <v>0</v>
      </c>
    </row>
    <row r="99" spans="1:16">
      <c r="A99" s="1">
        <v>0</v>
      </c>
      <c r="B99" s="1">
        <v>0</v>
      </c>
      <c r="I99" s="1">
        <v>0</v>
      </c>
      <c r="J99" s="1">
        <v>0</v>
      </c>
      <c r="K99" s="1">
        <v>0</v>
      </c>
      <c r="L99" s="1">
        <v>0</v>
      </c>
      <c r="M99" s="1">
        <v>0</v>
      </c>
      <c r="N99" s="1">
        <v>0</v>
      </c>
      <c r="O99" s="1">
        <v>0</v>
      </c>
      <c r="P99" s="1">
        <v>0</v>
      </c>
    </row>
    <row r="100" spans="1:16">
      <c r="A100" s="1">
        <v>0</v>
      </c>
      <c r="B100" s="1">
        <v>0</v>
      </c>
      <c r="I100" s="1">
        <v>0</v>
      </c>
      <c r="J100" s="1">
        <v>0</v>
      </c>
      <c r="K100" s="1">
        <v>0</v>
      </c>
      <c r="L100" s="1">
        <v>0</v>
      </c>
      <c r="M100" s="1">
        <v>0</v>
      </c>
      <c r="N100" s="1">
        <v>0</v>
      </c>
      <c r="O100" s="1">
        <v>0</v>
      </c>
      <c r="P100" s="1">
        <v>0</v>
      </c>
    </row>
    <row r="101" spans="1:16">
      <c r="A101" s="1">
        <v>0</v>
      </c>
      <c r="B101" s="1">
        <v>0</v>
      </c>
      <c r="I101" s="1">
        <v>0</v>
      </c>
      <c r="J101" s="1">
        <v>0.5</v>
      </c>
      <c r="K101" s="1">
        <v>0</v>
      </c>
      <c r="L101" s="1">
        <v>0</v>
      </c>
      <c r="M101" s="1">
        <v>0</v>
      </c>
      <c r="N101" s="1">
        <v>0</v>
      </c>
      <c r="O101" s="1">
        <v>0</v>
      </c>
      <c r="P101" s="1">
        <v>0</v>
      </c>
    </row>
    <row r="102" spans="1:16">
      <c r="A102" s="1">
        <v>0.2</v>
      </c>
      <c r="B102" s="1">
        <v>0</v>
      </c>
      <c r="I102" s="1">
        <v>0</v>
      </c>
      <c r="J102" s="1">
        <v>0</v>
      </c>
      <c r="K102" s="1">
        <v>0</v>
      </c>
      <c r="L102" s="1">
        <v>0</v>
      </c>
      <c r="M102" s="1">
        <v>0</v>
      </c>
      <c r="N102" s="1">
        <v>0</v>
      </c>
      <c r="O102" s="1">
        <v>0</v>
      </c>
      <c r="P102" s="1">
        <v>0</v>
      </c>
    </row>
    <row r="103" spans="1:16">
      <c r="A103" s="1">
        <v>0</v>
      </c>
      <c r="B103" s="1">
        <v>0</v>
      </c>
      <c r="I103" s="1">
        <v>0</v>
      </c>
      <c r="J103" s="1">
        <v>0</v>
      </c>
      <c r="K103" s="1">
        <v>0</v>
      </c>
      <c r="L103" s="1">
        <v>0</v>
      </c>
      <c r="M103" s="1">
        <v>0</v>
      </c>
      <c r="N103" s="1">
        <v>0</v>
      </c>
      <c r="O103" s="1">
        <v>0</v>
      </c>
      <c r="P103" s="1">
        <v>0</v>
      </c>
    </row>
    <row r="104" spans="1:16">
      <c r="A104" s="1">
        <v>0</v>
      </c>
      <c r="B104" s="1">
        <v>0</v>
      </c>
      <c r="I104" s="1">
        <v>0</v>
      </c>
      <c r="J104" s="1">
        <v>0</v>
      </c>
      <c r="K104" s="1">
        <v>0</v>
      </c>
      <c r="L104" s="1">
        <v>0</v>
      </c>
      <c r="M104" s="1">
        <v>0</v>
      </c>
      <c r="N104" s="1">
        <v>0</v>
      </c>
      <c r="O104" s="1">
        <v>0</v>
      </c>
      <c r="P104" s="1">
        <v>0</v>
      </c>
    </row>
    <row r="105" spans="1:16">
      <c r="A105" s="1">
        <v>0</v>
      </c>
      <c r="B105" s="1">
        <v>0</v>
      </c>
      <c r="I105" s="1">
        <v>0</v>
      </c>
      <c r="J105" s="1">
        <v>0</v>
      </c>
      <c r="K105" s="1">
        <v>0</v>
      </c>
      <c r="L105" s="1">
        <v>0</v>
      </c>
      <c r="M105" s="1">
        <v>0</v>
      </c>
      <c r="N105" s="1">
        <v>0</v>
      </c>
      <c r="O105" s="1">
        <v>0</v>
      </c>
      <c r="P105" s="1">
        <v>0</v>
      </c>
    </row>
    <row r="106" spans="1:16">
      <c r="A106" s="1">
        <v>0</v>
      </c>
      <c r="B106" s="1">
        <v>0</v>
      </c>
      <c r="I106" s="1">
        <v>0</v>
      </c>
      <c r="J106" s="1">
        <v>0</v>
      </c>
      <c r="K106" s="1">
        <v>0</v>
      </c>
      <c r="L106" s="1">
        <v>0</v>
      </c>
      <c r="M106" s="1">
        <v>0</v>
      </c>
      <c r="N106" s="1">
        <v>0</v>
      </c>
      <c r="O106" s="1">
        <v>0</v>
      </c>
      <c r="P106" s="1">
        <v>0</v>
      </c>
    </row>
    <row r="107" spans="1:16">
      <c r="A107" s="1">
        <v>0</v>
      </c>
      <c r="B107" s="1">
        <v>0</v>
      </c>
      <c r="I107" s="1">
        <v>0</v>
      </c>
      <c r="J107" s="1">
        <v>0</v>
      </c>
      <c r="K107" s="1">
        <v>0</v>
      </c>
      <c r="L107" s="1">
        <v>0</v>
      </c>
      <c r="M107" s="1">
        <v>0</v>
      </c>
      <c r="N107" s="1">
        <v>0</v>
      </c>
      <c r="O107" s="1">
        <v>0</v>
      </c>
      <c r="P107" s="1">
        <v>0</v>
      </c>
    </row>
    <row r="108" spans="1:16">
      <c r="A108" s="1">
        <v>0</v>
      </c>
      <c r="B108" s="1">
        <v>0</v>
      </c>
      <c r="I108" s="1">
        <v>0</v>
      </c>
      <c r="J108" s="1">
        <v>0</v>
      </c>
      <c r="K108" s="1">
        <v>0</v>
      </c>
      <c r="L108" s="1">
        <v>0</v>
      </c>
      <c r="M108" s="1">
        <v>0</v>
      </c>
      <c r="N108" s="1">
        <v>0</v>
      </c>
      <c r="O108" s="1">
        <v>0</v>
      </c>
      <c r="P108" s="1">
        <v>0</v>
      </c>
    </row>
    <row r="109" spans="1:16">
      <c r="A109" s="1">
        <v>0</v>
      </c>
      <c r="B109" s="1">
        <v>0</v>
      </c>
      <c r="I109" s="1">
        <v>0</v>
      </c>
      <c r="J109" s="1">
        <v>0</v>
      </c>
      <c r="K109" s="1">
        <v>0</v>
      </c>
      <c r="L109" s="1">
        <v>0</v>
      </c>
      <c r="M109" s="1">
        <v>0</v>
      </c>
      <c r="N109" s="1">
        <v>0</v>
      </c>
      <c r="O109" s="1">
        <v>0</v>
      </c>
      <c r="P109" s="1">
        <v>0</v>
      </c>
    </row>
    <row r="110" spans="1:16">
      <c r="A110" s="1">
        <v>0</v>
      </c>
      <c r="B110" s="1">
        <v>0</v>
      </c>
      <c r="I110" s="1">
        <v>0</v>
      </c>
      <c r="J110" s="1">
        <v>0</v>
      </c>
      <c r="K110" s="1">
        <v>0</v>
      </c>
      <c r="L110" s="1">
        <v>0</v>
      </c>
      <c r="M110" s="1">
        <v>0</v>
      </c>
      <c r="N110" s="1">
        <v>0</v>
      </c>
      <c r="O110" s="1">
        <v>0</v>
      </c>
      <c r="P110" s="1">
        <v>0</v>
      </c>
    </row>
    <row r="111" spans="1:16">
      <c r="A111" s="1">
        <v>0</v>
      </c>
      <c r="B111" s="1">
        <v>0</v>
      </c>
      <c r="I111" s="1">
        <v>0</v>
      </c>
      <c r="J111" s="1">
        <v>0</v>
      </c>
      <c r="K111" s="1">
        <v>0</v>
      </c>
      <c r="L111" s="1">
        <v>0</v>
      </c>
      <c r="M111" s="1">
        <v>0</v>
      </c>
      <c r="N111" s="1">
        <v>0</v>
      </c>
      <c r="O111" s="1">
        <v>0</v>
      </c>
      <c r="P111" s="1">
        <v>0</v>
      </c>
    </row>
    <row r="112" spans="1:16">
      <c r="A112" s="1">
        <v>0</v>
      </c>
      <c r="B112" s="1">
        <v>0</v>
      </c>
      <c r="I112" s="1">
        <v>0</v>
      </c>
      <c r="J112" s="1">
        <v>0</v>
      </c>
      <c r="K112" s="1">
        <v>0</v>
      </c>
      <c r="L112" s="1">
        <v>0</v>
      </c>
      <c r="M112" s="1">
        <v>0</v>
      </c>
      <c r="N112" s="1">
        <v>0</v>
      </c>
      <c r="O112" s="1">
        <v>0</v>
      </c>
      <c r="P112" s="1">
        <v>0</v>
      </c>
    </row>
    <row r="113" spans="1:16">
      <c r="A113" s="1">
        <v>0</v>
      </c>
      <c r="B113" s="1">
        <v>0</v>
      </c>
      <c r="I113" s="1">
        <v>0</v>
      </c>
      <c r="J113" s="1">
        <v>0</v>
      </c>
      <c r="K113" s="1">
        <v>0</v>
      </c>
      <c r="L113" s="1">
        <v>0</v>
      </c>
      <c r="M113" s="1">
        <v>0</v>
      </c>
      <c r="N113" s="1">
        <v>0</v>
      </c>
      <c r="O113" s="1">
        <v>0</v>
      </c>
      <c r="P113" s="1">
        <v>0</v>
      </c>
    </row>
    <row r="114" spans="1:16">
      <c r="A114" s="1">
        <v>0</v>
      </c>
      <c r="B114" s="1">
        <v>0</v>
      </c>
      <c r="I114" s="1">
        <v>0</v>
      </c>
      <c r="J114" s="1">
        <v>0</v>
      </c>
      <c r="K114" s="1">
        <v>0</v>
      </c>
      <c r="L114" s="1">
        <v>0</v>
      </c>
      <c r="M114" s="1">
        <v>0</v>
      </c>
      <c r="N114" s="1">
        <v>0</v>
      </c>
      <c r="O114" s="1">
        <v>0</v>
      </c>
      <c r="P114" s="1">
        <v>0</v>
      </c>
    </row>
    <row r="115" spans="1:16">
      <c r="A115" s="1">
        <v>0</v>
      </c>
      <c r="B115" s="1">
        <v>0</v>
      </c>
      <c r="I115" s="1">
        <v>0</v>
      </c>
      <c r="J115" s="1">
        <v>0</v>
      </c>
      <c r="K115" s="1">
        <v>0</v>
      </c>
      <c r="L115" s="1">
        <v>0</v>
      </c>
      <c r="M115" s="1">
        <v>0</v>
      </c>
      <c r="N115" s="1">
        <v>0</v>
      </c>
      <c r="O115" s="1">
        <v>0</v>
      </c>
      <c r="P115" s="1">
        <v>0</v>
      </c>
    </row>
    <row r="116" spans="1:16">
      <c r="A116" s="1">
        <v>0</v>
      </c>
      <c r="B116" s="1">
        <v>0</v>
      </c>
      <c r="I116" s="1">
        <v>0</v>
      </c>
      <c r="J116" s="1">
        <v>0.5</v>
      </c>
      <c r="K116" s="1">
        <v>0</v>
      </c>
      <c r="L116" s="1">
        <v>0</v>
      </c>
      <c r="M116" s="1">
        <v>0</v>
      </c>
      <c r="N116" s="1">
        <v>0</v>
      </c>
      <c r="O116" s="1">
        <v>0</v>
      </c>
      <c r="P116" s="1">
        <v>0</v>
      </c>
    </row>
    <row r="117" spans="1:16">
      <c r="A117" s="1">
        <v>0.16666666699999999</v>
      </c>
      <c r="B117" s="1">
        <v>0</v>
      </c>
      <c r="I117" s="1">
        <v>0</v>
      </c>
      <c r="J117" s="1">
        <v>0</v>
      </c>
      <c r="K117" s="1">
        <v>0</v>
      </c>
      <c r="L117" s="1">
        <v>0</v>
      </c>
      <c r="M117" s="1">
        <v>0</v>
      </c>
      <c r="N117" s="1">
        <v>0</v>
      </c>
      <c r="O117" s="1">
        <v>0</v>
      </c>
      <c r="P117" s="1">
        <v>0</v>
      </c>
    </row>
    <row r="118" spans="1:16">
      <c r="A118" s="1">
        <v>0</v>
      </c>
      <c r="B118" s="1">
        <v>0</v>
      </c>
      <c r="I118" s="1">
        <v>0</v>
      </c>
      <c r="J118" s="1">
        <v>0</v>
      </c>
      <c r="K118" s="1">
        <v>0</v>
      </c>
      <c r="L118" s="1">
        <v>0</v>
      </c>
      <c r="M118" s="1">
        <v>0</v>
      </c>
      <c r="N118" s="1">
        <v>0</v>
      </c>
      <c r="O118" s="1">
        <v>0</v>
      </c>
      <c r="P118" s="1">
        <v>0</v>
      </c>
    </row>
    <row r="119" spans="1:16">
      <c r="A119" s="1">
        <v>0</v>
      </c>
      <c r="B119" s="1">
        <v>0</v>
      </c>
      <c r="I119" s="1">
        <v>0</v>
      </c>
      <c r="J119" s="1">
        <v>0</v>
      </c>
      <c r="K119" s="1">
        <v>0</v>
      </c>
      <c r="L119" s="1">
        <v>0</v>
      </c>
      <c r="M119" s="1">
        <v>0</v>
      </c>
      <c r="N119" s="1">
        <v>0</v>
      </c>
      <c r="O119" s="1">
        <v>0</v>
      </c>
      <c r="P119" s="1">
        <v>0</v>
      </c>
    </row>
    <row r="120" spans="1:16">
      <c r="A120" s="1">
        <v>0</v>
      </c>
      <c r="B120" s="1">
        <v>0</v>
      </c>
      <c r="I120" s="1">
        <v>0</v>
      </c>
      <c r="J120" s="1">
        <v>0</v>
      </c>
      <c r="K120" s="1">
        <v>0</v>
      </c>
      <c r="L120" s="1">
        <v>0</v>
      </c>
      <c r="M120" s="1">
        <v>0</v>
      </c>
      <c r="N120" s="1">
        <v>0</v>
      </c>
      <c r="O120" s="1">
        <v>0</v>
      </c>
      <c r="P120" s="1">
        <v>0</v>
      </c>
    </row>
    <row r="121" spans="1:16">
      <c r="A121" s="1">
        <v>0</v>
      </c>
      <c r="B121" s="1">
        <v>0</v>
      </c>
      <c r="I121" s="1">
        <v>0</v>
      </c>
      <c r="J121" s="1">
        <v>0</v>
      </c>
      <c r="K121" s="1">
        <v>0</v>
      </c>
      <c r="L121" s="1">
        <v>0</v>
      </c>
      <c r="M121" s="1">
        <v>0</v>
      </c>
      <c r="N121" s="1">
        <v>0</v>
      </c>
      <c r="O121" s="1">
        <v>0</v>
      </c>
      <c r="P121" s="1">
        <v>0</v>
      </c>
    </row>
    <row r="122" spans="1:16">
      <c r="A122" s="1">
        <v>0</v>
      </c>
      <c r="B122" s="1">
        <v>0</v>
      </c>
      <c r="I122" s="1">
        <v>0</v>
      </c>
      <c r="J122" s="1">
        <v>0</v>
      </c>
      <c r="K122" s="1">
        <v>0</v>
      </c>
      <c r="L122" s="1">
        <v>0</v>
      </c>
      <c r="M122" s="1">
        <v>0</v>
      </c>
      <c r="N122" s="1">
        <v>0</v>
      </c>
      <c r="O122" s="1">
        <v>0</v>
      </c>
      <c r="P122" s="1">
        <v>0</v>
      </c>
    </row>
    <row r="123" spans="1:16">
      <c r="A123" s="1">
        <v>0</v>
      </c>
      <c r="B123" s="1">
        <v>0</v>
      </c>
      <c r="I123" s="1">
        <v>0</v>
      </c>
      <c r="J123" s="1">
        <v>0</v>
      </c>
      <c r="K123" s="1">
        <v>0</v>
      </c>
      <c r="L123" s="1">
        <v>0</v>
      </c>
      <c r="M123" s="1">
        <v>0</v>
      </c>
      <c r="N123" s="1">
        <v>0</v>
      </c>
      <c r="O123" s="1">
        <v>0</v>
      </c>
      <c r="P123" s="1">
        <v>0</v>
      </c>
    </row>
    <row r="124" spans="1:16">
      <c r="A124" s="1">
        <v>0</v>
      </c>
      <c r="B124" s="1">
        <v>0</v>
      </c>
      <c r="I124" s="1">
        <v>0</v>
      </c>
      <c r="J124" s="1">
        <v>0</v>
      </c>
      <c r="K124" s="1">
        <v>0</v>
      </c>
      <c r="L124" s="1">
        <v>0</v>
      </c>
      <c r="M124" s="1">
        <v>0</v>
      </c>
      <c r="N124" s="1">
        <v>0</v>
      </c>
      <c r="O124" s="1">
        <v>0</v>
      </c>
      <c r="P124" s="1">
        <v>0</v>
      </c>
    </row>
    <row r="125" spans="1:16">
      <c r="A125" s="1">
        <v>0</v>
      </c>
      <c r="B125" s="1">
        <v>0</v>
      </c>
      <c r="I125" s="1">
        <v>0</v>
      </c>
      <c r="J125" s="1">
        <v>0.5</v>
      </c>
      <c r="K125" s="1">
        <v>0</v>
      </c>
      <c r="L125" s="1">
        <v>0</v>
      </c>
      <c r="M125" s="1">
        <v>0</v>
      </c>
      <c r="N125" s="1">
        <v>0</v>
      </c>
      <c r="O125" s="1">
        <v>0</v>
      </c>
      <c r="P125" s="1">
        <v>0</v>
      </c>
    </row>
    <row r="126" spans="1:16">
      <c r="A126" s="1">
        <v>0.16666666699999999</v>
      </c>
      <c r="B126" s="1">
        <v>0</v>
      </c>
      <c r="I126" s="1">
        <v>0</v>
      </c>
      <c r="J126" s="1">
        <v>0</v>
      </c>
      <c r="K126" s="1">
        <v>0</v>
      </c>
      <c r="L126" s="1">
        <v>0</v>
      </c>
      <c r="M126" s="1">
        <v>0</v>
      </c>
      <c r="N126" s="1">
        <v>0</v>
      </c>
      <c r="O126" s="1">
        <v>0</v>
      </c>
      <c r="P126" s="1">
        <v>0</v>
      </c>
    </row>
    <row r="127" spans="1:16">
      <c r="A127" s="1">
        <v>0</v>
      </c>
      <c r="B127" s="1">
        <v>0</v>
      </c>
      <c r="I127" s="1">
        <v>0</v>
      </c>
      <c r="J127" s="1">
        <v>0</v>
      </c>
      <c r="K127" s="1">
        <v>0</v>
      </c>
      <c r="L127" s="1">
        <v>0</v>
      </c>
      <c r="M127" s="1">
        <v>0</v>
      </c>
      <c r="N127" s="1">
        <v>0</v>
      </c>
      <c r="O127" s="1">
        <v>0</v>
      </c>
      <c r="P127" s="1">
        <v>0</v>
      </c>
    </row>
    <row r="128" spans="1:16">
      <c r="A128" s="1">
        <v>0</v>
      </c>
      <c r="B128" s="1">
        <v>0</v>
      </c>
      <c r="I128" s="1">
        <v>0</v>
      </c>
      <c r="J128" s="1">
        <v>0</v>
      </c>
      <c r="K128" s="1">
        <v>0</v>
      </c>
      <c r="L128" s="1">
        <v>0</v>
      </c>
      <c r="M128" s="1">
        <v>0</v>
      </c>
      <c r="N128" s="1">
        <v>0</v>
      </c>
      <c r="O128" s="1">
        <v>0</v>
      </c>
      <c r="P128" s="1">
        <v>0</v>
      </c>
    </row>
    <row r="129" spans="1:16">
      <c r="A129" s="1">
        <v>0</v>
      </c>
      <c r="B129" s="1">
        <v>0</v>
      </c>
      <c r="I129" s="1">
        <v>0</v>
      </c>
      <c r="J129" s="1">
        <v>0</v>
      </c>
      <c r="K129" s="1">
        <v>0</v>
      </c>
      <c r="L129" s="1">
        <v>0</v>
      </c>
      <c r="M129" s="1">
        <v>0</v>
      </c>
      <c r="N129" s="1">
        <v>0</v>
      </c>
      <c r="O129" s="1">
        <v>0</v>
      </c>
      <c r="P129" s="1">
        <v>0</v>
      </c>
    </row>
    <row r="130" spans="1:16">
      <c r="A130" s="1">
        <v>0</v>
      </c>
      <c r="B130" s="1">
        <v>0</v>
      </c>
      <c r="I130" s="1">
        <v>0</v>
      </c>
      <c r="J130" s="1">
        <v>0</v>
      </c>
      <c r="K130" s="1">
        <v>0</v>
      </c>
      <c r="L130" s="1">
        <v>0</v>
      </c>
      <c r="M130" s="1">
        <v>0</v>
      </c>
      <c r="N130" s="1">
        <v>0</v>
      </c>
      <c r="O130" s="1">
        <v>0</v>
      </c>
      <c r="P130" s="1">
        <v>0</v>
      </c>
    </row>
    <row r="131" spans="1:16">
      <c r="A131" s="1">
        <v>0</v>
      </c>
      <c r="B131" s="1">
        <v>0</v>
      </c>
      <c r="I131" s="1">
        <v>0</v>
      </c>
      <c r="J131" s="1">
        <v>1</v>
      </c>
      <c r="K131" s="1">
        <v>1</v>
      </c>
      <c r="L131" s="1">
        <v>0</v>
      </c>
      <c r="M131" s="1">
        <v>0</v>
      </c>
      <c r="N131" s="1">
        <v>0</v>
      </c>
      <c r="O131" s="1">
        <v>0</v>
      </c>
      <c r="P131" s="1">
        <v>0</v>
      </c>
    </row>
    <row r="132" spans="1:16">
      <c r="A132" s="1">
        <v>0.5</v>
      </c>
      <c r="B132" s="1">
        <v>0.75</v>
      </c>
      <c r="I132" s="1">
        <v>0</v>
      </c>
      <c r="J132" s="1">
        <v>0</v>
      </c>
      <c r="K132" s="1">
        <v>0</v>
      </c>
      <c r="L132" s="1">
        <v>0</v>
      </c>
      <c r="M132" s="1">
        <v>0</v>
      </c>
      <c r="N132" s="1">
        <v>0</v>
      </c>
      <c r="O132" s="1">
        <v>0</v>
      </c>
      <c r="P132" s="1">
        <v>0</v>
      </c>
    </row>
    <row r="133" spans="1:16">
      <c r="A133" s="1">
        <v>0</v>
      </c>
      <c r="B133" s="1">
        <v>0</v>
      </c>
      <c r="I133" s="1">
        <v>0</v>
      </c>
      <c r="J133" s="1">
        <v>0.5</v>
      </c>
      <c r="K133" s="1">
        <v>0</v>
      </c>
      <c r="L133" s="1">
        <v>0</v>
      </c>
      <c r="M133" s="1">
        <v>0</v>
      </c>
      <c r="N133" s="1">
        <v>0</v>
      </c>
      <c r="O133" s="1">
        <v>0</v>
      </c>
      <c r="P133" s="1">
        <v>0</v>
      </c>
    </row>
    <row r="134" spans="1:16">
      <c r="A134" s="1">
        <v>0.16666666699999999</v>
      </c>
      <c r="B134" s="1">
        <v>0</v>
      </c>
      <c r="I134" s="1">
        <v>0</v>
      </c>
      <c r="J134" s="1">
        <v>0</v>
      </c>
      <c r="K134" s="1">
        <v>0</v>
      </c>
      <c r="L134" s="1">
        <v>0</v>
      </c>
      <c r="M134" s="1">
        <v>0</v>
      </c>
      <c r="N134" s="1">
        <v>0</v>
      </c>
      <c r="O134" s="1">
        <v>0</v>
      </c>
      <c r="P134" s="1">
        <v>0</v>
      </c>
    </row>
    <row r="135" spans="1:16">
      <c r="A135" s="1">
        <v>0</v>
      </c>
      <c r="B135" s="1">
        <v>0</v>
      </c>
      <c r="I135" s="1">
        <v>0</v>
      </c>
      <c r="J135" s="1">
        <v>0</v>
      </c>
      <c r="K135" s="1">
        <v>0</v>
      </c>
      <c r="L135" s="1">
        <v>0</v>
      </c>
      <c r="M135" s="1">
        <v>0</v>
      </c>
      <c r="N135" s="1">
        <v>0</v>
      </c>
      <c r="O135" s="1">
        <v>0</v>
      </c>
      <c r="P135" s="1">
        <v>0</v>
      </c>
    </row>
    <row r="136" spans="1:16">
      <c r="A136" s="1">
        <v>0</v>
      </c>
      <c r="B136" s="1">
        <v>0</v>
      </c>
      <c r="I136" s="1">
        <v>0</v>
      </c>
      <c r="J136" s="1">
        <v>0</v>
      </c>
      <c r="K136" s="1">
        <v>0</v>
      </c>
      <c r="L136" s="1">
        <v>0</v>
      </c>
      <c r="M136" s="1">
        <v>0</v>
      </c>
      <c r="N136" s="1">
        <v>0</v>
      </c>
      <c r="O136" s="1">
        <v>0</v>
      </c>
      <c r="P136" s="1">
        <v>0</v>
      </c>
    </row>
    <row r="137" spans="1:16">
      <c r="A137" s="1">
        <v>0</v>
      </c>
      <c r="B137" s="1">
        <v>0</v>
      </c>
      <c r="I137" s="1">
        <v>0</v>
      </c>
      <c r="J137" s="1">
        <v>0</v>
      </c>
      <c r="K137" s="1">
        <v>0</v>
      </c>
      <c r="L137" s="1">
        <v>0</v>
      </c>
      <c r="M137" s="1">
        <v>0</v>
      </c>
      <c r="N137" s="1">
        <v>0</v>
      </c>
      <c r="O137" s="1">
        <v>0</v>
      </c>
      <c r="P137" s="1">
        <v>0</v>
      </c>
    </row>
    <row r="138" spans="1:16">
      <c r="A138" s="1">
        <v>0</v>
      </c>
      <c r="B138" s="1">
        <v>0</v>
      </c>
      <c r="I138" s="1">
        <v>0</v>
      </c>
      <c r="J138" s="1">
        <v>0</v>
      </c>
      <c r="K138" s="1">
        <v>0</v>
      </c>
      <c r="L138" s="1">
        <v>0</v>
      </c>
      <c r="M138" s="1">
        <v>0</v>
      </c>
      <c r="N138" s="1">
        <v>0</v>
      </c>
      <c r="O138" s="1">
        <v>0</v>
      </c>
      <c r="P138" s="1">
        <v>0</v>
      </c>
    </row>
    <row r="139" spans="1:16">
      <c r="A139" s="1">
        <v>0</v>
      </c>
      <c r="B139" s="1">
        <v>0</v>
      </c>
      <c r="I139" s="1">
        <v>0</v>
      </c>
      <c r="J139" s="1">
        <v>0.5</v>
      </c>
      <c r="K139" s="1">
        <v>0</v>
      </c>
      <c r="L139" s="1">
        <v>0</v>
      </c>
      <c r="M139" s="1">
        <v>0</v>
      </c>
      <c r="N139" s="1">
        <v>0</v>
      </c>
      <c r="O139" s="1">
        <v>0</v>
      </c>
      <c r="P139" s="1">
        <v>0</v>
      </c>
    </row>
    <row r="140" spans="1:16">
      <c r="A140" s="1">
        <v>0.2</v>
      </c>
      <c r="B140" s="1">
        <v>0</v>
      </c>
      <c r="I140" s="1">
        <v>0</v>
      </c>
      <c r="J140" s="1">
        <v>0</v>
      </c>
      <c r="K140" s="1">
        <v>0</v>
      </c>
      <c r="L140" s="1">
        <v>0</v>
      </c>
      <c r="M140" s="1">
        <v>0</v>
      </c>
      <c r="N140" s="1">
        <v>0</v>
      </c>
      <c r="O140" s="1">
        <v>0</v>
      </c>
      <c r="P140" s="1">
        <v>0</v>
      </c>
    </row>
    <row r="141" spans="1:16">
      <c r="A141" s="1">
        <v>0</v>
      </c>
      <c r="B141" s="1">
        <v>0</v>
      </c>
      <c r="I141" s="1">
        <v>0</v>
      </c>
      <c r="J141" s="1">
        <v>0</v>
      </c>
      <c r="K141" s="1">
        <v>1</v>
      </c>
      <c r="L141" s="1">
        <v>0</v>
      </c>
      <c r="M141" s="1">
        <v>0</v>
      </c>
      <c r="N141" s="1">
        <v>0</v>
      </c>
      <c r="O141" s="1">
        <v>0</v>
      </c>
      <c r="P141" s="1">
        <v>0</v>
      </c>
    </row>
    <row r="142" spans="1:16">
      <c r="A142" s="1">
        <v>0.33333333300000001</v>
      </c>
      <c r="B142" s="1">
        <v>1</v>
      </c>
      <c r="I142" s="1">
        <v>0</v>
      </c>
      <c r="J142" s="1">
        <v>0</v>
      </c>
      <c r="K142" s="1">
        <v>0</v>
      </c>
      <c r="L142" s="1">
        <v>0</v>
      </c>
      <c r="M142" s="1">
        <v>0</v>
      </c>
      <c r="N142" s="1">
        <v>0</v>
      </c>
      <c r="O142" s="1">
        <v>0</v>
      </c>
      <c r="P142" s="1">
        <v>0</v>
      </c>
    </row>
    <row r="143" spans="1:16">
      <c r="A143" s="1">
        <v>0</v>
      </c>
      <c r="B143" s="1">
        <v>0</v>
      </c>
      <c r="I143" s="1">
        <v>0</v>
      </c>
      <c r="J143" s="1">
        <v>0.5</v>
      </c>
      <c r="K143" s="1">
        <v>0</v>
      </c>
      <c r="L143" s="1">
        <v>0</v>
      </c>
      <c r="M143" s="1">
        <v>0</v>
      </c>
      <c r="N143" s="1">
        <v>0</v>
      </c>
      <c r="O143" s="1">
        <v>0</v>
      </c>
      <c r="P143" s="1">
        <v>0</v>
      </c>
    </row>
    <row r="144" spans="1:16">
      <c r="A144" s="1">
        <v>0.2</v>
      </c>
      <c r="B144" s="1">
        <v>0</v>
      </c>
      <c r="I144" s="1">
        <v>0</v>
      </c>
      <c r="J144" s="1">
        <v>0.5</v>
      </c>
      <c r="K144" s="1">
        <v>0</v>
      </c>
      <c r="L144" s="1">
        <v>0</v>
      </c>
      <c r="M144" s="1">
        <v>0</v>
      </c>
      <c r="N144" s="1">
        <v>0</v>
      </c>
      <c r="O144" s="1">
        <v>0</v>
      </c>
      <c r="P144" s="1">
        <v>0</v>
      </c>
    </row>
    <row r="145" spans="1:16">
      <c r="A145" s="1">
        <v>0.2</v>
      </c>
      <c r="B145" s="1">
        <v>0</v>
      </c>
      <c r="I145" s="1">
        <v>0</v>
      </c>
      <c r="J145" s="1">
        <v>0</v>
      </c>
      <c r="K145" s="1">
        <v>0</v>
      </c>
      <c r="L145" s="1">
        <v>0</v>
      </c>
      <c r="M145" s="1">
        <v>0</v>
      </c>
      <c r="N145" s="1">
        <v>0</v>
      </c>
      <c r="O145" s="1">
        <v>0</v>
      </c>
      <c r="P145" s="1">
        <v>0</v>
      </c>
    </row>
    <row r="146" spans="1:16">
      <c r="A146" s="1">
        <v>0</v>
      </c>
      <c r="B146" s="1">
        <v>0</v>
      </c>
      <c r="I146" s="1">
        <v>0</v>
      </c>
      <c r="J146" s="1">
        <v>0</v>
      </c>
      <c r="K146" s="1">
        <v>1</v>
      </c>
      <c r="L146" s="1">
        <v>0</v>
      </c>
      <c r="M146" s="1">
        <v>0</v>
      </c>
      <c r="N146" s="1">
        <v>0</v>
      </c>
      <c r="O146" s="1">
        <v>0</v>
      </c>
      <c r="P146" s="1">
        <v>0</v>
      </c>
    </row>
    <row r="147" spans="1:16">
      <c r="A147" s="1">
        <v>0.14285714299999999</v>
      </c>
      <c r="B147" s="1">
        <v>0.428571429</v>
      </c>
      <c r="I147" s="1">
        <v>0</v>
      </c>
      <c r="J147" s="1">
        <v>0</v>
      </c>
      <c r="K147" s="1">
        <v>0</v>
      </c>
      <c r="L147" s="1">
        <v>0</v>
      </c>
      <c r="M147" s="1">
        <v>0</v>
      </c>
      <c r="N147" s="1">
        <v>0</v>
      </c>
      <c r="O147" s="1">
        <v>0</v>
      </c>
      <c r="P147" s="1">
        <v>0</v>
      </c>
    </row>
    <row r="148" spans="1:16">
      <c r="A148" s="1">
        <v>0</v>
      </c>
      <c r="B148" s="1">
        <v>0</v>
      </c>
      <c r="I148" s="1">
        <v>0</v>
      </c>
      <c r="J148" s="1">
        <v>0</v>
      </c>
      <c r="K148" s="1">
        <v>0</v>
      </c>
      <c r="L148" s="1">
        <v>0</v>
      </c>
      <c r="M148" s="1">
        <v>0</v>
      </c>
      <c r="N148" s="1">
        <v>0</v>
      </c>
      <c r="O148" s="1">
        <v>0</v>
      </c>
      <c r="P148" s="1">
        <v>0</v>
      </c>
    </row>
    <row r="149" spans="1:16">
      <c r="A149" s="1">
        <v>0</v>
      </c>
      <c r="B149" s="1">
        <v>0</v>
      </c>
      <c r="I149" s="1">
        <v>0</v>
      </c>
      <c r="J149" s="1">
        <v>0</v>
      </c>
      <c r="K149" s="1">
        <v>0</v>
      </c>
      <c r="L149" s="1">
        <v>0</v>
      </c>
      <c r="M149" s="1">
        <v>0</v>
      </c>
      <c r="N149" s="1">
        <v>0</v>
      </c>
      <c r="O149" s="1">
        <v>0</v>
      </c>
      <c r="P149" s="1">
        <v>0</v>
      </c>
    </row>
    <row r="150" spans="1:16">
      <c r="A150" s="1">
        <v>0</v>
      </c>
      <c r="B150" s="1">
        <v>0</v>
      </c>
      <c r="I150" s="1">
        <v>0</v>
      </c>
      <c r="J150" s="1">
        <v>0</v>
      </c>
      <c r="K150" s="1">
        <v>0</v>
      </c>
      <c r="L150" s="1">
        <v>0</v>
      </c>
      <c r="M150" s="1">
        <v>0</v>
      </c>
      <c r="N150" s="1">
        <v>0</v>
      </c>
      <c r="O150" s="1">
        <v>0</v>
      </c>
      <c r="P150" s="1">
        <v>0</v>
      </c>
    </row>
    <row r="151" spans="1:16">
      <c r="A151" s="1">
        <v>0</v>
      </c>
      <c r="B151" s="1">
        <v>0</v>
      </c>
      <c r="I151" s="1">
        <v>0</v>
      </c>
      <c r="J151" s="1">
        <v>0</v>
      </c>
      <c r="K151" s="1">
        <v>0</v>
      </c>
      <c r="L151" s="1">
        <v>0</v>
      </c>
      <c r="M151" s="1">
        <v>0</v>
      </c>
      <c r="N151" s="1">
        <v>0</v>
      </c>
      <c r="O151" s="1">
        <v>0</v>
      </c>
      <c r="P151" s="1">
        <v>0</v>
      </c>
    </row>
    <row r="152" spans="1:16">
      <c r="A152" s="1">
        <v>0</v>
      </c>
      <c r="B152" s="1">
        <v>0</v>
      </c>
      <c r="I152" s="1">
        <v>0</v>
      </c>
      <c r="J152" s="1">
        <v>0</v>
      </c>
      <c r="K152" s="1">
        <v>0</v>
      </c>
      <c r="L152" s="1">
        <v>0</v>
      </c>
      <c r="M152" s="1">
        <v>0</v>
      </c>
      <c r="N152" s="1">
        <v>0</v>
      </c>
      <c r="O152" s="1">
        <v>0</v>
      </c>
      <c r="P152" s="1">
        <v>0</v>
      </c>
    </row>
    <row r="153" spans="1:16">
      <c r="A153" s="1">
        <v>0</v>
      </c>
      <c r="B153" s="1">
        <v>0</v>
      </c>
      <c r="I153" s="1">
        <v>0</v>
      </c>
      <c r="J153" s="1">
        <v>0</v>
      </c>
      <c r="K153" s="1">
        <v>0</v>
      </c>
      <c r="L153" s="1">
        <v>0</v>
      </c>
      <c r="M153" s="1">
        <v>0</v>
      </c>
      <c r="N153" s="1">
        <v>0</v>
      </c>
      <c r="O153" s="1">
        <v>0</v>
      </c>
      <c r="P153" s="1">
        <v>0</v>
      </c>
    </row>
    <row r="154" spans="1:16">
      <c r="A154" s="1">
        <v>0</v>
      </c>
      <c r="B154" s="1">
        <v>0</v>
      </c>
      <c r="I154" s="1">
        <v>0</v>
      </c>
      <c r="J154" s="1">
        <v>0</v>
      </c>
      <c r="K154" s="1">
        <v>0</v>
      </c>
      <c r="L154" s="1">
        <v>0</v>
      </c>
      <c r="M154" s="1">
        <v>0</v>
      </c>
      <c r="N154" s="1">
        <v>0</v>
      </c>
      <c r="O154" s="1">
        <v>0</v>
      </c>
      <c r="P154" s="1">
        <v>0</v>
      </c>
    </row>
    <row r="155" spans="1:16">
      <c r="A155" s="1">
        <v>0</v>
      </c>
      <c r="B155" s="1">
        <v>0</v>
      </c>
      <c r="I155" s="1">
        <v>0</v>
      </c>
      <c r="J155" s="1">
        <v>0</v>
      </c>
      <c r="K155" s="1">
        <v>0</v>
      </c>
      <c r="L155" s="1">
        <v>0</v>
      </c>
      <c r="M155" s="1">
        <v>0</v>
      </c>
      <c r="N155" s="1">
        <v>0</v>
      </c>
      <c r="O155" s="1">
        <v>0</v>
      </c>
      <c r="P155" s="1">
        <v>0</v>
      </c>
    </row>
    <row r="156" spans="1:16">
      <c r="A156" s="1">
        <v>0</v>
      </c>
      <c r="B156" s="1">
        <v>0</v>
      </c>
      <c r="I156" s="1">
        <v>0</v>
      </c>
      <c r="J156" s="1">
        <v>0</v>
      </c>
      <c r="K156" s="1">
        <v>0</v>
      </c>
      <c r="L156" s="1">
        <v>0</v>
      </c>
      <c r="M156" s="1">
        <v>0</v>
      </c>
      <c r="N156" s="1">
        <v>0</v>
      </c>
      <c r="O156" s="1">
        <v>0</v>
      </c>
      <c r="P156" s="1">
        <v>0</v>
      </c>
    </row>
    <row r="157" spans="1:16">
      <c r="A157" s="1">
        <v>0</v>
      </c>
      <c r="B157" s="1">
        <v>0</v>
      </c>
      <c r="I157" s="1">
        <v>0</v>
      </c>
      <c r="J157" s="1">
        <v>0</v>
      </c>
      <c r="K157" s="1">
        <v>0</v>
      </c>
      <c r="L157" s="1">
        <v>0</v>
      </c>
      <c r="M157" s="1">
        <v>0</v>
      </c>
      <c r="N157" s="1">
        <v>0</v>
      </c>
      <c r="O157" s="1">
        <v>0</v>
      </c>
      <c r="P157" s="1">
        <v>0</v>
      </c>
    </row>
    <row r="158" spans="1:16">
      <c r="A158" s="1">
        <v>0</v>
      </c>
      <c r="B158" s="1">
        <v>0</v>
      </c>
      <c r="I158" s="1">
        <v>0</v>
      </c>
      <c r="J158" s="1">
        <v>0</v>
      </c>
      <c r="K158" s="1">
        <v>1</v>
      </c>
      <c r="L158" s="1">
        <v>0</v>
      </c>
      <c r="M158" s="1">
        <v>0</v>
      </c>
      <c r="N158" s="1">
        <v>0</v>
      </c>
      <c r="O158" s="1">
        <v>0</v>
      </c>
      <c r="P158" s="1">
        <v>0</v>
      </c>
    </row>
    <row r="159" spans="1:16">
      <c r="A159" s="1">
        <v>1</v>
      </c>
      <c r="B159" s="1">
        <v>3</v>
      </c>
      <c r="I159" s="1">
        <v>0</v>
      </c>
      <c r="J159" s="1">
        <v>0</v>
      </c>
      <c r="K159" s="1">
        <v>1</v>
      </c>
      <c r="L159" s="1">
        <v>0</v>
      </c>
      <c r="M159" s="1">
        <v>0</v>
      </c>
      <c r="N159" s="1">
        <v>0</v>
      </c>
      <c r="O159" s="1">
        <v>0</v>
      </c>
      <c r="P159" s="1">
        <v>0</v>
      </c>
    </row>
    <row r="160" spans="1:16">
      <c r="A160" s="1">
        <v>0.2</v>
      </c>
      <c r="B160" s="1">
        <v>0.6</v>
      </c>
      <c r="I160" s="1">
        <v>0</v>
      </c>
      <c r="J160" s="1">
        <v>0</v>
      </c>
      <c r="K160" s="1">
        <v>1</v>
      </c>
      <c r="L160" s="1">
        <v>0</v>
      </c>
      <c r="M160" s="1">
        <v>0</v>
      </c>
      <c r="N160" s="1">
        <v>0</v>
      </c>
      <c r="O160" s="1">
        <v>0</v>
      </c>
      <c r="P160" s="1">
        <v>0</v>
      </c>
    </row>
    <row r="161" spans="1:16">
      <c r="A161" s="1">
        <v>0.2</v>
      </c>
      <c r="B161" s="1">
        <v>0.6</v>
      </c>
      <c r="I161" s="1">
        <v>0</v>
      </c>
      <c r="J161" s="1">
        <v>1</v>
      </c>
      <c r="K161" s="1">
        <v>1</v>
      </c>
      <c r="L161" s="1">
        <v>0</v>
      </c>
      <c r="M161" s="1">
        <v>0</v>
      </c>
      <c r="N161" s="1">
        <v>0</v>
      </c>
      <c r="O161" s="1">
        <v>0</v>
      </c>
      <c r="P161" s="1">
        <v>0</v>
      </c>
    </row>
    <row r="162" spans="1:16">
      <c r="A162" s="1">
        <v>0.5</v>
      </c>
      <c r="B162" s="1">
        <v>0.75</v>
      </c>
      <c r="I162" s="1">
        <v>0</v>
      </c>
      <c r="J162" s="1">
        <v>0</v>
      </c>
      <c r="K162" s="1">
        <v>0</v>
      </c>
      <c r="L162" s="1">
        <v>0</v>
      </c>
      <c r="M162" s="1">
        <v>0</v>
      </c>
      <c r="N162" s="1">
        <v>0</v>
      </c>
      <c r="O162" s="1">
        <v>0</v>
      </c>
      <c r="P162" s="1">
        <v>0</v>
      </c>
    </row>
    <row r="163" spans="1:16">
      <c r="A163" s="1">
        <v>0</v>
      </c>
      <c r="B163" s="1">
        <v>0</v>
      </c>
      <c r="I163" s="1">
        <v>0</v>
      </c>
      <c r="J163" s="1">
        <v>0</v>
      </c>
      <c r="K163" s="1">
        <v>1</v>
      </c>
      <c r="L163" s="1">
        <v>0</v>
      </c>
      <c r="M163" s="1">
        <v>0</v>
      </c>
      <c r="N163" s="1">
        <v>0</v>
      </c>
      <c r="O163" s="1">
        <v>0</v>
      </c>
      <c r="P163" s="1">
        <v>0</v>
      </c>
    </row>
    <row r="164" spans="1:16">
      <c r="A164" s="1">
        <v>0.25</v>
      </c>
      <c r="B164" s="1">
        <v>0.75</v>
      </c>
      <c r="I164" s="1">
        <v>0</v>
      </c>
      <c r="J164" s="1">
        <v>1</v>
      </c>
      <c r="K164" s="1">
        <v>0</v>
      </c>
      <c r="L164" s="1">
        <v>0</v>
      </c>
      <c r="M164" s="1">
        <v>0</v>
      </c>
      <c r="N164" s="1">
        <v>0</v>
      </c>
      <c r="O164" s="1">
        <v>0</v>
      </c>
      <c r="P164" s="1">
        <v>0</v>
      </c>
    </row>
    <row r="165" spans="1:16">
      <c r="A165" s="1">
        <v>1</v>
      </c>
      <c r="B165" s="1">
        <v>0</v>
      </c>
      <c r="I165" s="1">
        <v>0</v>
      </c>
      <c r="J165" s="1">
        <v>0</v>
      </c>
      <c r="K165" s="1">
        <v>0</v>
      </c>
      <c r="L165" s="1">
        <v>0</v>
      </c>
      <c r="M165" s="1">
        <v>0</v>
      </c>
      <c r="N165" s="1">
        <v>0</v>
      </c>
      <c r="O165" s="1">
        <v>0</v>
      </c>
      <c r="P165" s="1">
        <v>0</v>
      </c>
    </row>
    <row r="166" spans="1:16">
      <c r="A166" s="1">
        <v>0</v>
      </c>
      <c r="B166" s="1">
        <v>0</v>
      </c>
      <c r="I166" s="1">
        <v>0</v>
      </c>
      <c r="J166" s="1">
        <v>0</v>
      </c>
      <c r="K166" s="1">
        <v>0</v>
      </c>
      <c r="L166" s="1">
        <v>0</v>
      </c>
      <c r="M166" s="1">
        <v>0</v>
      </c>
      <c r="N166" s="1">
        <v>0</v>
      </c>
      <c r="O166" s="1">
        <v>0</v>
      </c>
      <c r="P166" s="1">
        <v>0</v>
      </c>
    </row>
    <row r="167" spans="1:16">
      <c r="A167" s="1">
        <v>0</v>
      </c>
      <c r="B167" s="1">
        <v>0</v>
      </c>
      <c r="I167" s="1">
        <v>0</v>
      </c>
      <c r="J167" s="1">
        <v>0</v>
      </c>
      <c r="K167" s="1">
        <v>0</v>
      </c>
      <c r="L167" s="1">
        <v>0</v>
      </c>
      <c r="M167" s="1">
        <v>0</v>
      </c>
      <c r="N167" s="1">
        <v>0</v>
      </c>
      <c r="O167" s="1">
        <v>0</v>
      </c>
      <c r="P167" s="1">
        <v>0</v>
      </c>
    </row>
    <row r="168" spans="1:16">
      <c r="A168" s="1">
        <v>0</v>
      </c>
      <c r="B168" s="1">
        <v>0</v>
      </c>
      <c r="I168" s="1">
        <v>0</v>
      </c>
      <c r="J168" s="1">
        <v>0</v>
      </c>
      <c r="K168" s="1">
        <v>0</v>
      </c>
      <c r="L168" s="1">
        <v>0</v>
      </c>
      <c r="M168" s="1">
        <v>0</v>
      </c>
      <c r="N168" s="1">
        <v>0</v>
      </c>
      <c r="O168" s="1">
        <v>0</v>
      </c>
      <c r="P168" s="1">
        <v>0</v>
      </c>
    </row>
    <row r="169" spans="1:16">
      <c r="A169" s="1">
        <v>0</v>
      </c>
      <c r="B169" s="1">
        <v>0</v>
      </c>
      <c r="I169" s="1">
        <v>0</v>
      </c>
      <c r="J169" s="1">
        <v>0</v>
      </c>
      <c r="K169" s="1">
        <v>0</v>
      </c>
      <c r="L169" s="1">
        <v>0</v>
      </c>
      <c r="M169" s="1">
        <v>0</v>
      </c>
      <c r="N169" s="1">
        <v>0</v>
      </c>
      <c r="O169" s="1">
        <v>0</v>
      </c>
      <c r="P169" s="1">
        <v>0</v>
      </c>
    </row>
    <row r="170" spans="1:16">
      <c r="A170" s="1">
        <v>0</v>
      </c>
      <c r="B170" s="1">
        <v>0</v>
      </c>
      <c r="I170" s="1">
        <v>0</v>
      </c>
      <c r="J170" s="1">
        <v>0</v>
      </c>
      <c r="K170" s="1">
        <v>3</v>
      </c>
      <c r="L170" s="1">
        <v>0</v>
      </c>
      <c r="M170" s="1">
        <v>0</v>
      </c>
      <c r="N170" s="1">
        <v>0</v>
      </c>
      <c r="O170" s="1">
        <v>0</v>
      </c>
      <c r="P170" s="1">
        <v>0</v>
      </c>
    </row>
    <row r="171" spans="1:16">
      <c r="A171" s="1">
        <v>1</v>
      </c>
      <c r="B171" s="1">
        <v>3</v>
      </c>
      <c r="I171" s="1">
        <v>0</v>
      </c>
      <c r="J171" s="1">
        <v>0</v>
      </c>
      <c r="K171" s="1">
        <v>0</v>
      </c>
      <c r="L171" s="1">
        <v>0</v>
      </c>
      <c r="M171" s="1">
        <v>0</v>
      </c>
      <c r="N171" s="1">
        <v>0</v>
      </c>
      <c r="O171" s="1">
        <v>0</v>
      </c>
      <c r="P171" s="1">
        <v>0</v>
      </c>
    </row>
    <row r="172" spans="1:16">
      <c r="A172" s="1">
        <v>0</v>
      </c>
      <c r="B172" s="1">
        <v>0</v>
      </c>
      <c r="I172" s="1">
        <v>0</v>
      </c>
      <c r="J172" s="1">
        <v>0</v>
      </c>
      <c r="K172" s="1">
        <v>0</v>
      </c>
      <c r="L172" s="1">
        <v>0</v>
      </c>
      <c r="M172" s="1">
        <v>3</v>
      </c>
      <c r="N172" s="1">
        <v>0</v>
      </c>
      <c r="O172" s="1">
        <v>0</v>
      </c>
      <c r="P172" s="1">
        <v>0</v>
      </c>
    </row>
    <row r="173" spans="1:16">
      <c r="A173" s="1">
        <v>3</v>
      </c>
      <c r="B173" s="1">
        <v>9</v>
      </c>
      <c r="I173" s="1">
        <v>0</v>
      </c>
      <c r="J173" s="1">
        <v>0</v>
      </c>
      <c r="K173" s="1">
        <v>0</v>
      </c>
      <c r="L173" s="1">
        <v>0</v>
      </c>
      <c r="M173" s="1">
        <v>0</v>
      </c>
      <c r="N173" s="1">
        <v>0</v>
      </c>
      <c r="O173" s="1">
        <v>0</v>
      </c>
      <c r="P173" s="1">
        <v>0</v>
      </c>
    </row>
    <row r="174" spans="1:16">
      <c r="A174" s="1">
        <v>0</v>
      </c>
      <c r="B174" s="1">
        <v>0</v>
      </c>
      <c r="I174" s="1">
        <v>0</v>
      </c>
      <c r="J174" s="1">
        <v>0</v>
      </c>
      <c r="K174" s="1">
        <v>0</v>
      </c>
      <c r="L174" s="1">
        <v>0</v>
      </c>
      <c r="M174" s="1">
        <v>0</v>
      </c>
      <c r="N174" s="1">
        <v>0</v>
      </c>
      <c r="O174" s="1">
        <v>0</v>
      </c>
      <c r="P174" s="1">
        <v>0</v>
      </c>
    </row>
    <row r="175" spans="1:16">
      <c r="A175" s="1">
        <v>0</v>
      </c>
      <c r="B175" s="1">
        <v>0</v>
      </c>
      <c r="I175" s="1">
        <v>0</v>
      </c>
      <c r="J175" s="1">
        <v>0</v>
      </c>
      <c r="K175" s="1">
        <v>0</v>
      </c>
      <c r="L175" s="1">
        <v>0</v>
      </c>
      <c r="M175" s="1">
        <v>0</v>
      </c>
      <c r="N175" s="1">
        <v>0</v>
      </c>
      <c r="O175" s="1">
        <v>0</v>
      </c>
      <c r="P175" s="1">
        <v>0</v>
      </c>
    </row>
    <row r="176" spans="1:16">
      <c r="A176" s="1">
        <v>0</v>
      </c>
      <c r="B176" s="1">
        <v>0</v>
      </c>
      <c r="I176" s="1">
        <v>0</v>
      </c>
      <c r="J176" s="1">
        <v>0</v>
      </c>
      <c r="K176" s="1">
        <v>0</v>
      </c>
      <c r="L176" s="1">
        <v>0</v>
      </c>
      <c r="M176" s="1">
        <v>0</v>
      </c>
      <c r="N176" s="1">
        <v>0</v>
      </c>
      <c r="O176" s="1">
        <v>0</v>
      </c>
      <c r="P176" s="1">
        <v>0</v>
      </c>
    </row>
    <row r="177" spans="1:16">
      <c r="A177" s="1">
        <v>0</v>
      </c>
      <c r="B177" s="1">
        <v>0</v>
      </c>
      <c r="I177" s="1">
        <v>0</v>
      </c>
      <c r="J177" s="1">
        <v>0</v>
      </c>
      <c r="K177" s="1">
        <v>0</v>
      </c>
      <c r="L177" s="1">
        <v>0</v>
      </c>
      <c r="M177" s="1">
        <v>0</v>
      </c>
      <c r="N177" s="1">
        <v>0</v>
      </c>
      <c r="O177" s="1">
        <v>0</v>
      </c>
      <c r="P177" s="1">
        <v>0</v>
      </c>
    </row>
    <row r="178" spans="1:16">
      <c r="A178" s="1">
        <v>0</v>
      </c>
      <c r="B178" s="1">
        <v>0</v>
      </c>
      <c r="I178" s="1">
        <v>0</v>
      </c>
      <c r="J178" s="1">
        <v>0</v>
      </c>
      <c r="K178" s="1">
        <v>0</v>
      </c>
      <c r="L178" s="1">
        <v>0</v>
      </c>
      <c r="M178" s="1">
        <v>0</v>
      </c>
      <c r="N178" s="1">
        <v>0</v>
      </c>
      <c r="O178" s="1">
        <v>0</v>
      </c>
      <c r="P178" s="1">
        <v>0</v>
      </c>
    </row>
    <row r="179" spans="1:16">
      <c r="A179" s="1">
        <v>0</v>
      </c>
      <c r="B179" s="1">
        <v>0</v>
      </c>
      <c r="I179" s="1">
        <v>0</v>
      </c>
      <c r="J179" s="1">
        <v>0</v>
      </c>
      <c r="K179" s="1">
        <v>0</v>
      </c>
      <c r="L179" s="1">
        <v>0</v>
      </c>
      <c r="M179" s="1">
        <v>0</v>
      </c>
      <c r="N179" s="1">
        <v>0</v>
      </c>
      <c r="O179" s="1">
        <v>0</v>
      </c>
      <c r="P179" s="1">
        <v>0</v>
      </c>
    </row>
    <row r="180" spans="1:16">
      <c r="A180" s="1">
        <v>0</v>
      </c>
      <c r="B180" s="1">
        <v>0</v>
      </c>
      <c r="I180" s="1">
        <v>0</v>
      </c>
      <c r="J180" s="1">
        <v>0</v>
      </c>
      <c r="K180" s="1">
        <v>0</v>
      </c>
      <c r="L180" s="1">
        <v>0</v>
      </c>
      <c r="M180" s="1">
        <v>0</v>
      </c>
      <c r="N180" s="1">
        <v>0</v>
      </c>
      <c r="O180" s="1">
        <v>0</v>
      </c>
      <c r="P180" s="1">
        <v>0</v>
      </c>
    </row>
    <row r="181" spans="1:16">
      <c r="A181" s="1">
        <v>0</v>
      </c>
      <c r="B181" s="1">
        <v>0</v>
      </c>
      <c r="I181" s="1">
        <v>0</v>
      </c>
      <c r="J181" s="1">
        <v>1</v>
      </c>
      <c r="K181" s="1">
        <v>0</v>
      </c>
      <c r="L181" s="1">
        <v>0</v>
      </c>
      <c r="M181" s="1">
        <v>0</v>
      </c>
      <c r="N181" s="1">
        <v>0</v>
      </c>
      <c r="O181" s="1">
        <v>0</v>
      </c>
      <c r="P181" s="1">
        <v>0</v>
      </c>
    </row>
    <row r="182" spans="1:16">
      <c r="A182" s="1">
        <v>1</v>
      </c>
      <c r="B182" s="1">
        <v>0</v>
      </c>
      <c r="I182" s="1">
        <v>0</v>
      </c>
      <c r="J182" s="1">
        <v>0</v>
      </c>
      <c r="K182" s="1">
        <v>0</v>
      </c>
      <c r="L182" s="1">
        <v>0</v>
      </c>
      <c r="M182" s="1">
        <v>0</v>
      </c>
      <c r="N182" s="1">
        <v>0</v>
      </c>
      <c r="O182" s="1">
        <v>0</v>
      </c>
      <c r="P182" s="1">
        <v>0</v>
      </c>
    </row>
    <row r="183" spans="1:16">
      <c r="A183" s="1">
        <v>0</v>
      </c>
      <c r="B183" s="1">
        <v>0</v>
      </c>
      <c r="I183" s="1">
        <v>0</v>
      </c>
      <c r="J183" s="1">
        <v>0</v>
      </c>
      <c r="K183" s="1">
        <v>0</v>
      </c>
      <c r="L183" s="1">
        <v>0</v>
      </c>
      <c r="M183" s="1">
        <v>0</v>
      </c>
      <c r="N183" s="1">
        <v>0</v>
      </c>
      <c r="O183" s="1">
        <v>0</v>
      </c>
      <c r="P183" s="1">
        <v>0</v>
      </c>
    </row>
    <row r="184" spans="1:16">
      <c r="A184" s="1">
        <v>0</v>
      </c>
      <c r="B184" s="1">
        <v>0</v>
      </c>
      <c r="I184" s="1">
        <v>0</v>
      </c>
      <c r="J184" s="1">
        <v>0</v>
      </c>
      <c r="K184" s="1">
        <v>0</v>
      </c>
      <c r="L184" s="1">
        <v>0</v>
      </c>
      <c r="M184" s="1">
        <v>0</v>
      </c>
      <c r="N184" s="1">
        <v>0</v>
      </c>
      <c r="O184" s="1">
        <v>0</v>
      </c>
      <c r="P184" s="1">
        <v>0</v>
      </c>
    </row>
    <row r="185" spans="1:16">
      <c r="A185" s="1">
        <v>0</v>
      </c>
      <c r="B185" s="1">
        <v>0</v>
      </c>
      <c r="I185" s="1">
        <v>0</v>
      </c>
      <c r="J185" s="1">
        <v>0</v>
      </c>
      <c r="K185" s="1">
        <v>0</v>
      </c>
      <c r="L185" s="1">
        <v>0</v>
      </c>
      <c r="M185" s="1">
        <v>0</v>
      </c>
      <c r="N185" s="1">
        <v>0</v>
      </c>
      <c r="O185" s="1">
        <v>0</v>
      </c>
      <c r="P185" s="1">
        <v>0</v>
      </c>
    </row>
    <row r="186" spans="1:16">
      <c r="A186" s="1">
        <v>0</v>
      </c>
      <c r="B186" s="1">
        <v>0</v>
      </c>
      <c r="I186" s="1">
        <v>0</v>
      </c>
      <c r="J186" s="1">
        <v>0</v>
      </c>
      <c r="K186" s="1">
        <v>0</v>
      </c>
      <c r="L186" s="1">
        <v>0</v>
      </c>
      <c r="M186" s="1">
        <v>0</v>
      </c>
      <c r="N186" s="1">
        <v>0</v>
      </c>
      <c r="O186" s="1">
        <v>0</v>
      </c>
      <c r="P186" s="1">
        <v>0</v>
      </c>
    </row>
    <row r="187" spans="1:16">
      <c r="A187" s="1">
        <v>0</v>
      </c>
      <c r="B187" s="1">
        <v>0</v>
      </c>
      <c r="I187" s="1">
        <v>0</v>
      </c>
      <c r="J187" s="1">
        <v>0</v>
      </c>
      <c r="K187" s="1">
        <v>0</v>
      </c>
      <c r="L187" s="1">
        <v>0</v>
      </c>
      <c r="M187" s="1">
        <v>0</v>
      </c>
      <c r="N187" s="1">
        <v>0</v>
      </c>
      <c r="O187" s="1">
        <v>0</v>
      </c>
      <c r="P187" s="1">
        <v>0</v>
      </c>
    </row>
    <row r="188" spans="1:16">
      <c r="A188" s="1">
        <v>0</v>
      </c>
      <c r="B188" s="1">
        <v>0</v>
      </c>
      <c r="I188" s="1">
        <v>0</v>
      </c>
      <c r="J188" s="1">
        <v>0.5</v>
      </c>
      <c r="K188" s="1">
        <v>0</v>
      </c>
      <c r="L188" s="1">
        <v>0</v>
      </c>
      <c r="M188" s="1">
        <v>0</v>
      </c>
      <c r="N188" s="1">
        <v>0</v>
      </c>
      <c r="O188" s="1">
        <v>0</v>
      </c>
      <c r="P188" s="1">
        <v>0</v>
      </c>
    </row>
    <row r="189" spans="1:16">
      <c r="A189" s="1">
        <v>0.33333333300000001</v>
      </c>
      <c r="B189" s="1">
        <v>0</v>
      </c>
      <c r="I189" s="1">
        <v>0</v>
      </c>
      <c r="J189" s="1">
        <v>0</v>
      </c>
      <c r="K189" s="1">
        <v>0</v>
      </c>
      <c r="L189" s="1">
        <v>0</v>
      </c>
      <c r="M189" s="1">
        <v>0</v>
      </c>
      <c r="N189" s="1">
        <v>0</v>
      </c>
      <c r="O189" s="1">
        <v>0</v>
      </c>
      <c r="P189" s="1">
        <v>0</v>
      </c>
    </row>
    <row r="190" spans="1:16">
      <c r="A190" s="1">
        <v>0</v>
      </c>
      <c r="B190" s="1">
        <v>0</v>
      </c>
      <c r="I190" s="1">
        <v>0</v>
      </c>
      <c r="J190" s="1">
        <v>0</v>
      </c>
      <c r="K190" s="1">
        <v>0</v>
      </c>
      <c r="L190" s="1">
        <v>0</v>
      </c>
      <c r="M190" s="1">
        <v>0</v>
      </c>
      <c r="N190" s="1">
        <v>0</v>
      </c>
      <c r="O190" s="1">
        <v>0</v>
      </c>
      <c r="P190" s="1">
        <v>0</v>
      </c>
    </row>
    <row r="191" spans="1:16">
      <c r="A191" s="1">
        <v>0</v>
      </c>
      <c r="B191" s="1">
        <v>0</v>
      </c>
      <c r="I191" s="1">
        <v>0</v>
      </c>
      <c r="J191" s="1">
        <v>0</v>
      </c>
      <c r="K191" s="1">
        <v>0</v>
      </c>
      <c r="L191" s="1">
        <v>0</v>
      </c>
      <c r="M191" s="1">
        <v>3.5</v>
      </c>
      <c r="N191" s="1">
        <v>0</v>
      </c>
      <c r="O191" s="1">
        <v>0</v>
      </c>
      <c r="P191" s="1">
        <v>0</v>
      </c>
    </row>
    <row r="192" spans="1:16">
      <c r="A192" s="1">
        <v>2.3333333330000001</v>
      </c>
      <c r="B192" s="1">
        <v>7</v>
      </c>
      <c r="I192" s="1">
        <v>0</v>
      </c>
      <c r="J192" s="1">
        <v>0</v>
      </c>
      <c r="K192" s="1">
        <v>0</v>
      </c>
      <c r="L192" s="1">
        <v>0</v>
      </c>
      <c r="M192" s="1">
        <v>3</v>
      </c>
      <c r="N192" s="1">
        <v>0</v>
      </c>
      <c r="O192" s="1">
        <v>0</v>
      </c>
      <c r="P192" s="1">
        <v>0</v>
      </c>
    </row>
    <row r="193" spans="1:16">
      <c r="A193" s="1">
        <v>1</v>
      </c>
      <c r="B193" s="1">
        <v>3</v>
      </c>
      <c r="I193" s="1">
        <v>0</v>
      </c>
      <c r="J193" s="1">
        <v>0</v>
      </c>
      <c r="K193" s="1">
        <v>0</v>
      </c>
      <c r="L193" s="1">
        <v>0</v>
      </c>
      <c r="M193" s="1">
        <v>0</v>
      </c>
      <c r="N193" s="1">
        <v>0</v>
      </c>
      <c r="O193" s="1">
        <v>0</v>
      </c>
      <c r="P193" s="1">
        <v>0</v>
      </c>
    </row>
    <row r="194" spans="1:16">
      <c r="A194" s="1">
        <v>0</v>
      </c>
      <c r="B194" s="1">
        <v>0</v>
      </c>
      <c r="I194" s="1">
        <v>0</v>
      </c>
      <c r="J194" s="1">
        <v>0</v>
      </c>
      <c r="K194" s="1">
        <v>0</v>
      </c>
      <c r="L194" s="1">
        <v>0</v>
      </c>
      <c r="M194" s="1">
        <v>0</v>
      </c>
      <c r="N194" s="1">
        <v>0</v>
      </c>
      <c r="O194" s="1">
        <v>0</v>
      </c>
      <c r="P194" s="1">
        <v>0</v>
      </c>
    </row>
    <row r="195" spans="1:16">
      <c r="A195" s="1">
        <v>0</v>
      </c>
      <c r="B195" s="1">
        <v>0</v>
      </c>
      <c r="I195" s="1">
        <v>0</v>
      </c>
      <c r="J195" s="1">
        <v>0</v>
      </c>
      <c r="K195" s="1">
        <v>0</v>
      </c>
      <c r="L195" s="1">
        <v>0</v>
      </c>
      <c r="M195" s="1">
        <v>0</v>
      </c>
      <c r="N195" s="1">
        <v>0</v>
      </c>
      <c r="O195" s="1">
        <v>0</v>
      </c>
      <c r="P195" s="1">
        <v>0</v>
      </c>
    </row>
    <row r="196" spans="1:16">
      <c r="A196" s="1">
        <v>0</v>
      </c>
      <c r="B196" s="1">
        <v>0</v>
      </c>
      <c r="I196" s="1">
        <v>0</v>
      </c>
      <c r="J196" s="1">
        <v>0</v>
      </c>
      <c r="K196" s="1">
        <v>0</v>
      </c>
      <c r="L196" s="1">
        <v>0</v>
      </c>
      <c r="M196" s="1">
        <v>0</v>
      </c>
      <c r="N196" s="1">
        <v>0</v>
      </c>
      <c r="O196" s="1">
        <v>0</v>
      </c>
      <c r="P196" s="1">
        <v>0</v>
      </c>
    </row>
    <row r="197" spans="1:16">
      <c r="A197" s="1">
        <v>0</v>
      </c>
      <c r="B197" s="1">
        <v>0</v>
      </c>
      <c r="I197" s="1">
        <v>0</v>
      </c>
      <c r="J197" s="1">
        <v>0</v>
      </c>
      <c r="K197" s="1">
        <v>0</v>
      </c>
      <c r="L197" s="1">
        <v>0</v>
      </c>
      <c r="M197" s="1">
        <v>0</v>
      </c>
      <c r="N197" s="1">
        <v>0</v>
      </c>
      <c r="O197" s="1">
        <v>0</v>
      </c>
      <c r="P197" s="1">
        <v>0</v>
      </c>
    </row>
    <row r="198" spans="1:16">
      <c r="A198" s="1">
        <v>0</v>
      </c>
      <c r="B198" s="1">
        <v>0</v>
      </c>
      <c r="I198" s="1">
        <v>0</v>
      </c>
      <c r="J198" s="1">
        <v>0</v>
      </c>
      <c r="K198" s="1">
        <v>0</v>
      </c>
      <c r="L198" s="1">
        <v>0</v>
      </c>
      <c r="M198" s="1">
        <v>0</v>
      </c>
      <c r="N198" s="1">
        <v>0</v>
      </c>
      <c r="O198" s="1">
        <v>0</v>
      </c>
      <c r="P198" s="1">
        <v>0</v>
      </c>
    </row>
    <row r="199" spans="1:16">
      <c r="A199" s="1">
        <v>0</v>
      </c>
      <c r="B199" s="1">
        <v>0</v>
      </c>
      <c r="I199" s="1">
        <v>0</v>
      </c>
      <c r="J199" s="1">
        <v>0</v>
      </c>
      <c r="K199" s="1">
        <v>0</v>
      </c>
      <c r="L199" s="1">
        <v>0</v>
      </c>
      <c r="M199" s="1">
        <v>0</v>
      </c>
      <c r="N199" s="1">
        <v>0</v>
      </c>
      <c r="O199" s="1">
        <v>0</v>
      </c>
      <c r="P199" s="1">
        <v>0</v>
      </c>
    </row>
    <row r="200" spans="1:16">
      <c r="A200" s="1">
        <v>0</v>
      </c>
      <c r="B200" s="1">
        <v>0</v>
      </c>
      <c r="I200" s="1">
        <v>0</v>
      </c>
      <c r="J200" s="1">
        <v>0</v>
      </c>
      <c r="K200" s="1">
        <v>1</v>
      </c>
      <c r="L200" s="1">
        <v>0</v>
      </c>
      <c r="M200" s="1">
        <v>0</v>
      </c>
      <c r="N200" s="1">
        <v>0</v>
      </c>
      <c r="O200" s="1">
        <v>0</v>
      </c>
      <c r="P200" s="1">
        <v>0.5</v>
      </c>
    </row>
    <row r="201" spans="1:16">
      <c r="A201" s="1">
        <v>0.66666666699999999</v>
      </c>
      <c r="B201" s="1">
        <v>1</v>
      </c>
      <c r="I201" s="1">
        <v>0</v>
      </c>
      <c r="J201" s="1">
        <v>0</v>
      </c>
      <c r="K201" s="1">
        <v>3</v>
      </c>
      <c r="L201" s="1">
        <v>0</v>
      </c>
      <c r="M201" s="1">
        <v>3</v>
      </c>
      <c r="N201" s="1">
        <v>0</v>
      </c>
      <c r="O201" s="1">
        <v>0</v>
      </c>
      <c r="P201" s="1">
        <v>0</v>
      </c>
    </row>
    <row r="202" spans="1:16">
      <c r="A202" s="1">
        <v>2</v>
      </c>
      <c r="B202" s="1">
        <v>6</v>
      </c>
      <c r="I202" s="1">
        <v>0</v>
      </c>
      <c r="J202" s="1">
        <v>0</v>
      </c>
      <c r="K202" s="1">
        <v>0</v>
      </c>
      <c r="L202" s="1">
        <v>0</v>
      </c>
      <c r="M202" s="1">
        <v>0</v>
      </c>
      <c r="N202" s="1">
        <v>0</v>
      </c>
      <c r="O202" s="1">
        <v>0</v>
      </c>
      <c r="P202" s="1">
        <v>0</v>
      </c>
    </row>
    <row r="203" spans="1:16">
      <c r="A203" s="1">
        <v>0</v>
      </c>
      <c r="B203" s="1">
        <v>0</v>
      </c>
      <c r="I203" s="1">
        <v>0</v>
      </c>
      <c r="J203" s="1">
        <v>0</v>
      </c>
      <c r="K203" s="1">
        <v>0</v>
      </c>
      <c r="L203" s="1">
        <v>0</v>
      </c>
      <c r="M203" s="1">
        <v>0</v>
      </c>
      <c r="N203" s="1">
        <v>0</v>
      </c>
      <c r="O203" s="1">
        <v>0</v>
      </c>
      <c r="P203" s="1">
        <v>0</v>
      </c>
    </row>
    <row r="204" spans="1:16">
      <c r="A204" s="1">
        <v>0</v>
      </c>
      <c r="B204" s="1">
        <v>0</v>
      </c>
      <c r="I204" s="1">
        <v>0</v>
      </c>
      <c r="J204" s="1">
        <v>0</v>
      </c>
      <c r="K204" s="1">
        <v>0</v>
      </c>
      <c r="L204" s="1">
        <v>0</v>
      </c>
      <c r="M204" s="1">
        <v>0</v>
      </c>
      <c r="N204" s="1">
        <v>0</v>
      </c>
      <c r="O204" s="1">
        <v>0</v>
      </c>
      <c r="P204" s="1">
        <v>0</v>
      </c>
    </row>
    <row r="205" spans="1:16">
      <c r="A205" s="1">
        <v>0</v>
      </c>
      <c r="B205" s="1">
        <v>0</v>
      </c>
      <c r="I205" s="1">
        <v>0</v>
      </c>
      <c r="J205" s="1">
        <v>1</v>
      </c>
      <c r="K205" s="1">
        <v>0</v>
      </c>
      <c r="L205" s="1">
        <v>0</v>
      </c>
      <c r="M205" s="1">
        <v>0</v>
      </c>
      <c r="N205" s="1">
        <v>0</v>
      </c>
      <c r="O205" s="1">
        <v>0</v>
      </c>
      <c r="P205" s="1">
        <v>0</v>
      </c>
    </row>
    <row r="206" spans="1:16">
      <c r="A206" s="1">
        <v>0.5</v>
      </c>
      <c r="B206" s="1">
        <v>0</v>
      </c>
      <c r="I206" s="1">
        <v>0</v>
      </c>
      <c r="J206" s="1">
        <v>0</v>
      </c>
      <c r="K206" s="1">
        <v>0</v>
      </c>
      <c r="L206" s="1">
        <v>0</v>
      </c>
      <c r="M206" s="1">
        <v>0</v>
      </c>
      <c r="N206" s="1">
        <v>0</v>
      </c>
      <c r="O206" s="1">
        <v>0</v>
      </c>
      <c r="P206" s="1">
        <v>0</v>
      </c>
    </row>
    <row r="207" spans="1:16">
      <c r="A207" s="1">
        <v>0</v>
      </c>
      <c r="B207" s="1">
        <v>0</v>
      </c>
      <c r="I207" s="1">
        <v>0</v>
      </c>
      <c r="J207" s="1">
        <v>0</v>
      </c>
      <c r="K207" s="1">
        <v>0</v>
      </c>
      <c r="L207" s="1">
        <v>0</v>
      </c>
      <c r="M207" s="1">
        <v>0</v>
      </c>
      <c r="N207" s="1">
        <v>0</v>
      </c>
      <c r="O207" s="1">
        <v>0</v>
      </c>
      <c r="P207" s="1">
        <v>0</v>
      </c>
    </row>
    <row r="208" spans="1:16">
      <c r="A208" s="1">
        <v>0</v>
      </c>
      <c r="B208" s="1">
        <v>0</v>
      </c>
      <c r="I208" s="1">
        <v>0</v>
      </c>
      <c r="J208" s="1">
        <v>0</v>
      </c>
      <c r="K208" s="1">
        <v>3</v>
      </c>
      <c r="L208" s="1">
        <v>0</v>
      </c>
      <c r="M208" s="1">
        <v>0</v>
      </c>
      <c r="N208" s="1">
        <v>0</v>
      </c>
      <c r="O208" s="1">
        <v>0</v>
      </c>
      <c r="P208" s="1">
        <v>0</v>
      </c>
    </row>
    <row r="209" spans="1:16">
      <c r="A209" s="1">
        <v>0.5</v>
      </c>
      <c r="B209" s="1">
        <v>1.5</v>
      </c>
      <c r="I209" s="1">
        <v>0</v>
      </c>
      <c r="J209" s="1">
        <v>0</v>
      </c>
      <c r="K209" s="1">
        <v>0</v>
      </c>
      <c r="L209" s="1">
        <v>0</v>
      </c>
      <c r="M209" s="1">
        <v>0</v>
      </c>
      <c r="N209" s="1">
        <v>0</v>
      </c>
      <c r="O209" s="1">
        <v>0</v>
      </c>
      <c r="P209" s="1">
        <v>0</v>
      </c>
    </row>
    <row r="210" spans="1:16">
      <c r="A210" s="1">
        <v>0</v>
      </c>
      <c r="B210" s="1">
        <v>0</v>
      </c>
      <c r="I210" s="1">
        <v>0</v>
      </c>
      <c r="J210" s="1">
        <v>0</v>
      </c>
      <c r="K210" s="1">
        <v>3</v>
      </c>
      <c r="L210" s="1">
        <v>0</v>
      </c>
      <c r="M210" s="1">
        <v>0</v>
      </c>
      <c r="N210" s="1">
        <v>0</v>
      </c>
      <c r="O210" s="1">
        <v>0</v>
      </c>
      <c r="P210" s="1">
        <v>0</v>
      </c>
    </row>
    <row r="211" spans="1:16">
      <c r="A211" s="1">
        <v>1.5</v>
      </c>
      <c r="B211" s="1">
        <v>4.5</v>
      </c>
      <c r="I211" s="1">
        <v>0</v>
      </c>
      <c r="J211" s="1">
        <v>0</v>
      </c>
      <c r="K211" s="1">
        <v>0</v>
      </c>
      <c r="L211" s="1">
        <v>0</v>
      </c>
      <c r="M211" s="1">
        <v>3</v>
      </c>
      <c r="N211" s="1">
        <v>0</v>
      </c>
      <c r="O211" s="1">
        <v>0</v>
      </c>
      <c r="P211" s="1">
        <v>0</v>
      </c>
    </row>
    <row r="212" spans="1:16">
      <c r="A212" s="1">
        <v>3</v>
      </c>
      <c r="B212" s="1">
        <v>9</v>
      </c>
      <c r="I212" s="1">
        <v>0</v>
      </c>
      <c r="J212" s="1">
        <v>0</v>
      </c>
      <c r="K212" s="1">
        <v>0</v>
      </c>
      <c r="L212" s="1">
        <v>0</v>
      </c>
      <c r="M212" s="1">
        <v>3</v>
      </c>
      <c r="N212" s="1">
        <v>0</v>
      </c>
      <c r="O212" s="1">
        <v>0</v>
      </c>
      <c r="P212" s="1">
        <v>0</v>
      </c>
    </row>
    <row r="213" spans="1:16">
      <c r="A213" s="1">
        <v>1.5</v>
      </c>
      <c r="B213" s="1">
        <v>4.5</v>
      </c>
      <c r="I213" s="1">
        <v>0</v>
      </c>
      <c r="J213" s="1">
        <v>0</v>
      </c>
      <c r="K213" s="1">
        <v>3</v>
      </c>
      <c r="L213" s="1">
        <v>0</v>
      </c>
      <c r="M213" s="1">
        <v>0</v>
      </c>
      <c r="N213" s="1">
        <v>0</v>
      </c>
      <c r="O213" s="1">
        <v>0</v>
      </c>
      <c r="P213" s="1">
        <v>0</v>
      </c>
    </row>
    <row r="214" spans="1:16">
      <c r="A214" s="1">
        <v>1.5</v>
      </c>
      <c r="B214" s="1">
        <v>4.5</v>
      </c>
      <c r="I214" s="1">
        <v>0</v>
      </c>
      <c r="J214" s="1">
        <v>0</v>
      </c>
      <c r="K214" s="1">
        <v>0</v>
      </c>
      <c r="L214" s="1">
        <v>0</v>
      </c>
      <c r="M214" s="1">
        <v>0</v>
      </c>
      <c r="N214" s="1">
        <v>0</v>
      </c>
      <c r="O214" s="1">
        <v>0</v>
      </c>
      <c r="P214" s="1">
        <v>0</v>
      </c>
    </row>
    <row r="215" spans="1:16">
      <c r="A215" s="1">
        <v>0</v>
      </c>
      <c r="B215" s="1">
        <v>0</v>
      </c>
      <c r="I215" s="1">
        <v>0</v>
      </c>
      <c r="J215" s="1">
        <v>0</v>
      </c>
      <c r="K215" s="1">
        <v>0</v>
      </c>
      <c r="L215" s="1">
        <v>0</v>
      </c>
      <c r="M215" s="1">
        <v>0</v>
      </c>
      <c r="N215" s="1">
        <v>0</v>
      </c>
      <c r="O215" s="1">
        <v>0</v>
      </c>
      <c r="P215" s="1">
        <v>0</v>
      </c>
    </row>
    <row r="216" spans="1:16">
      <c r="A216" s="1">
        <v>0</v>
      </c>
      <c r="B216" s="1">
        <v>0</v>
      </c>
      <c r="I216" s="1">
        <v>0</v>
      </c>
      <c r="J216" s="1">
        <v>0</v>
      </c>
      <c r="K216" s="1">
        <v>0</v>
      </c>
      <c r="L216" s="1">
        <v>0</v>
      </c>
      <c r="M216" s="1">
        <v>0</v>
      </c>
      <c r="N216" s="1">
        <v>0</v>
      </c>
      <c r="O216" s="1">
        <v>0</v>
      </c>
      <c r="P216" s="1">
        <v>0</v>
      </c>
    </row>
    <row r="217" spans="1:16">
      <c r="A217" s="1">
        <v>0</v>
      </c>
      <c r="B217" s="1">
        <v>0</v>
      </c>
      <c r="I217" s="1">
        <v>0</v>
      </c>
      <c r="J217" s="1">
        <v>1</v>
      </c>
      <c r="K217" s="1">
        <v>0</v>
      </c>
      <c r="L217" s="1">
        <v>0</v>
      </c>
      <c r="M217" s="1">
        <v>0</v>
      </c>
      <c r="N217" s="1">
        <v>0</v>
      </c>
      <c r="O217" s="1">
        <v>0</v>
      </c>
      <c r="P217" s="1">
        <v>0</v>
      </c>
    </row>
    <row r="218" spans="1:16">
      <c r="A218" s="1">
        <v>0.33333333300000001</v>
      </c>
      <c r="B218" s="1">
        <v>0</v>
      </c>
      <c r="I218" s="1">
        <v>0</v>
      </c>
      <c r="J218" s="1">
        <v>1</v>
      </c>
      <c r="K218" s="1">
        <v>0</v>
      </c>
      <c r="L218" s="1">
        <v>0</v>
      </c>
      <c r="M218" s="1">
        <v>0</v>
      </c>
      <c r="N218" s="1">
        <v>0</v>
      </c>
      <c r="O218" s="1">
        <v>0</v>
      </c>
      <c r="P218" s="1">
        <v>0</v>
      </c>
    </row>
    <row r="219" spans="1:16">
      <c r="A219" s="1">
        <v>0.33333333300000001</v>
      </c>
      <c r="B219" s="1">
        <v>0</v>
      </c>
      <c r="I219" s="1">
        <v>0</v>
      </c>
      <c r="J219" s="1">
        <v>1</v>
      </c>
      <c r="K219" s="1">
        <v>0</v>
      </c>
      <c r="L219" s="1">
        <v>0</v>
      </c>
      <c r="M219" s="1">
        <v>0</v>
      </c>
      <c r="N219" s="1">
        <v>0</v>
      </c>
      <c r="O219" s="1">
        <v>0</v>
      </c>
      <c r="P219" s="1">
        <v>0</v>
      </c>
    </row>
    <row r="220" spans="1:16">
      <c r="A220" s="1">
        <v>0.5</v>
      </c>
      <c r="B220" s="1">
        <v>0</v>
      </c>
      <c r="I220" s="1">
        <v>0</v>
      </c>
      <c r="J220" s="1">
        <v>0</v>
      </c>
      <c r="K220" s="1">
        <v>0</v>
      </c>
      <c r="L220" s="1">
        <v>0</v>
      </c>
      <c r="M220" s="1">
        <v>0</v>
      </c>
      <c r="N220" s="1">
        <v>0</v>
      </c>
      <c r="O220" s="1">
        <v>0</v>
      </c>
      <c r="P220" s="1">
        <v>0</v>
      </c>
    </row>
    <row r="221" spans="1:16">
      <c r="A221" s="1">
        <v>0</v>
      </c>
      <c r="B221" s="1">
        <v>0</v>
      </c>
      <c r="I221" s="1">
        <v>0</v>
      </c>
      <c r="J221" s="1">
        <v>1</v>
      </c>
      <c r="K221" s="1">
        <v>1</v>
      </c>
      <c r="L221" s="1">
        <v>0</v>
      </c>
      <c r="M221" s="1">
        <v>0</v>
      </c>
      <c r="N221" s="1">
        <v>0</v>
      </c>
      <c r="O221" s="1">
        <v>0</v>
      </c>
      <c r="P221" s="1">
        <v>0</v>
      </c>
    </row>
    <row r="222" spans="1:16">
      <c r="A222" s="1">
        <v>1</v>
      </c>
      <c r="B222" s="1">
        <v>1.5</v>
      </c>
      <c r="I222" s="1">
        <v>0</v>
      </c>
      <c r="J222" s="1">
        <v>0</v>
      </c>
      <c r="K222" s="1">
        <v>0</v>
      </c>
      <c r="L222" s="1">
        <v>0</v>
      </c>
      <c r="M222" s="1">
        <v>0</v>
      </c>
      <c r="N222" s="1">
        <v>0</v>
      </c>
      <c r="O222" s="1">
        <v>0</v>
      </c>
      <c r="P222" s="1">
        <v>0</v>
      </c>
    </row>
    <row r="223" spans="1:16">
      <c r="A223" s="1">
        <v>0</v>
      </c>
      <c r="B223" s="1">
        <v>0</v>
      </c>
      <c r="I223" s="1">
        <v>0</v>
      </c>
      <c r="J223" s="1">
        <v>0</v>
      </c>
      <c r="K223" s="1">
        <v>0</v>
      </c>
      <c r="L223" s="1">
        <v>0</v>
      </c>
      <c r="M223" s="1">
        <v>0</v>
      </c>
      <c r="N223" s="1">
        <v>0</v>
      </c>
      <c r="O223" s="1">
        <v>0</v>
      </c>
      <c r="P223" s="1">
        <v>0</v>
      </c>
    </row>
    <row r="224" spans="1:16">
      <c r="A224" s="1">
        <v>0</v>
      </c>
      <c r="B224" s="1">
        <v>0</v>
      </c>
      <c r="I224" s="1">
        <v>0</v>
      </c>
      <c r="J224" s="1">
        <v>0</v>
      </c>
      <c r="K224" s="1">
        <v>0</v>
      </c>
      <c r="L224" s="1">
        <v>0</v>
      </c>
      <c r="M224" s="1">
        <v>0</v>
      </c>
      <c r="N224" s="1">
        <v>0</v>
      </c>
      <c r="O224" s="1">
        <v>0</v>
      </c>
      <c r="P224" s="1">
        <v>0</v>
      </c>
    </row>
    <row r="225" spans="1:16">
      <c r="A225" s="1">
        <v>0</v>
      </c>
      <c r="B225" s="1">
        <v>0</v>
      </c>
      <c r="I225" s="1">
        <v>0</v>
      </c>
      <c r="J225" s="1">
        <v>0</v>
      </c>
      <c r="K225" s="1">
        <v>0</v>
      </c>
      <c r="L225" s="1">
        <v>0</v>
      </c>
      <c r="M225" s="1">
        <v>0</v>
      </c>
      <c r="N225" s="1">
        <v>0</v>
      </c>
      <c r="O225" s="1">
        <v>0</v>
      </c>
      <c r="P225" s="1">
        <v>0</v>
      </c>
    </row>
    <row r="226" spans="1:16">
      <c r="A226" s="1">
        <v>0</v>
      </c>
      <c r="B226" s="1">
        <v>0</v>
      </c>
      <c r="I226" s="1">
        <v>0</v>
      </c>
      <c r="J226" s="1">
        <v>0</v>
      </c>
      <c r="K226" s="1">
        <v>0</v>
      </c>
      <c r="L226" s="1">
        <v>0</v>
      </c>
      <c r="M226" s="1">
        <v>0</v>
      </c>
      <c r="N226" s="1">
        <v>0</v>
      </c>
      <c r="O226" s="1">
        <v>0</v>
      </c>
      <c r="P226" s="1">
        <v>0</v>
      </c>
    </row>
    <row r="227" spans="1:16">
      <c r="A227" s="1">
        <v>0</v>
      </c>
      <c r="B227" s="1">
        <v>0</v>
      </c>
      <c r="I227" s="1">
        <v>0</v>
      </c>
      <c r="J227" s="1">
        <v>0</v>
      </c>
      <c r="K227" s="1">
        <v>0</v>
      </c>
      <c r="L227" s="1">
        <v>0</v>
      </c>
      <c r="M227" s="1">
        <v>3</v>
      </c>
      <c r="N227" s="1">
        <v>0</v>
      </c>
      <c r="O227" s="1">
        <v>0</v>
      </c>
      <c r="P227" s="1">
        <v>0</v>
      </c>
    </row>
    <row r="228" spans="1:16">
      <c r="A228" s="1">
        <v>1.5</v>
      </c>
      <c r="B228" s="1">
        <v>4.5</v>
      </c>
      <c r="I228" s="1">
        <v>0</v>
      </c>
      <c r="J228" s="1">
        <v>1</v>
      </c>
      <c r="K228" s="1">
        <v>0</v>
      </c>
      <c r="L228" s="1">
        <v>0</v>
      </c>
      <c r="M228" s="1">
        <v>0</v>
      </c>
      <c r="N228" s="1">
        <v>0</v>
      </c>
      <c r="O228" s="1">
        <v>0</v>
      </c>
      <c r="P228" s="1">
        <v>0</v>
      </c>
    </row>
    <row r="229" spans="1:16">
      <c r="A229" s="1">
        <v>0.33333333300000001</v>
      </c>
      <c r="B229" s="1">
        <v>0</v>
      </c>
      <c r="I229" s="1">
        <v>0</v>
      </c>
      <c r="J229" s="1">
        <v>0</v>
      </c>
      <c r="K229" s="1">
        <v>0</v>
      </c>
      <c r="L229" s="1">
        <v>0</v>
      </c>
      <c r="M229" s="1">
        <v>0</v>
      </c>
      <c r="N229" s="1">
        <v>0</v>
      </c>
      <c r="O229" s="1">
        <v>0</v>
      </c>
      <c r="P229" s="1">
        <v>0</v>
      </c>
    </row>
    <row r="230" spans="1:16">
      <c r="A230" s="1">
        <v>0</v>
      </c>
      <c r="B230" s="1">
        <v>0</v>
      </c>
      <c r="I230" s="1">
        <v>0</v>
      </c>
      <c r="J230" s="1">
        <v>1</v>
      </c>
      <c r="K230" s="1">
        <v>0</v>
      </c>
      <c r="L230" s="1">
        <v>0</v>
      </c>
      <c r="M230" s="1">
        <v>0</v>
      </c>
      <c r="N230" s="1">
        <v>0</v>
      </c>
      <c r="O230" s="1">
        <v>0</v>
      </c>
      <c r="P230" s="1">
        <v>0</v>
      </c>
    </row>
    <row r="231" spans="1:16">
      <c r="A231" s="1">
        <v>1</v>
      </c>
      <c r="B231" s="1">
        <v>0</v>
      </c>
      <c r="I231" s="1">
        <v>0</v>
      </c>
      <c r="J231" s="1">
        <v>0</v>
      </c>
      <c r="K231" s="1">
        <v>0</v>
      </c>
      <c r="L231" s="1">
        <v>0</v>
      </c>
      <c r="M231" s="1">
        <v>0</v>
      </c>
      <c r="N231" s="1">
        <v>0</v>
      </c>
      <c r="O231" s="1">
        <v>0</v>
      </c>
      <c r="P231" s="1">
        <v>0</v>
      </c>
    </row>
    <row r="232" spans="1:16">
      <c r="A232" s="1">
        <v>0</v>
      </c>
      <c r="B232" s="1">
        <v>0</v>
      </c>
      <c r="I232" s="1">
        <v>0</v>
      </c>
      <c r="J232" s="1">
        <v>0</v>
      </c>
      <c r="K232" s="1">
        <v>0</v>
      </c>
      <c r="L232" s="1">
        <v>0</v>
      </c>
      <c r="M232" s="1">
        <v>0</v>
      </c>
      <c r="N232" s="1">
        <v>0</v>
      </c>
      <c r="O232" s="1">
        <v>0</v>
      </c>
      <c r="P232" s="1">
        <v>0</v>
      </c>
    </row>
    <row r="233" spans="1:16">
      <c r="A233" s="1">
        <v>0</v>
      </c>
      <c r="B233" s="1">
        <v>0</v>
      </c>
      <c r="I233" s="1">
        <v>0</v>
      </c>
      <c r="J233" s="1">
        <v>0</v>
      </c>
      <c r="K233" s="1">
        <v>0</v>
      </c>
      <c r="L233" s="1">
        <v>0</v>
      </c>
      <c r="M233" s="1">
        <v>0</v>
      </c>
      <c r="N233" s="1">
        <v>0</v>
      </c>
      <c r="O233" s="1">
        <v>0</v>
      </c>
      <c r="P233" s="1">
        <v>0</v>
      </c>
    </row>
    <row r="234" spans="1:16">
      <c r="A234" s="1">
        <v>0</v>
      </c>
      <c r="B234" s="1">
        <v>0</v>
      </c>
      <c r="I234" s="1">
        <v>0</v>
      </c>
      <c r="J234" s="1">
        <v>0</v>
      </c>
      <c r="K234" s="1">
        <v>0</v>
      </c>
      <c r="L234" s="1">
        <v>0</v>
      </c>
      <c r="M234" s="1">
        <v>0</v>
      </c>
      <c r="N234" s="1">
        <v>0</v>
      </c>
      <c r="O234" s="1">
        <v>0</v>
      </c>
      <c r="P234" s="1">
        <v>0</v>
      </c>
    </row>
    <row r="235" spans="1:16">
      <c r="A235" s="1">
        <v>0</v>
      </c>
      <c r="B235" s="1">
        <v>0</v>
      </c>
      <c r="I235" s="1">
        <v>0</v>
      </c>
      <c r="J235" s="1">
        <v>0</v>
      </c>
      <c r="K235" s="1">
        <v>0</v>
      </c>
      <c r="L235" s="1">
        <v>0</v>
      </c>
      <c r="M235" s="1">
        <v>0</v>
      </c>
      <c r="N235" s="1">
        <v>0</v>
      </c>
      <c r="O235" s="1">
        <v>3</v>
      </c>
      <c r="P235" s="1">
        <v>0</v>
      </c>
    </row>
    <row r="236" spans="1:16">
      <c r="A236" s="1">
        <v>0.428571429</v>
      </c>
      <c r="B236" s="1">
        <v>1.2857142859999999</v>
      </c>
      <c r="I236" s="1">
        <v>0</v>
      </c>
      <c r="J236" s="1">
        <v>0</v>
      </c>
      <c r="K236" s="1">
        <v>0</v>
      </c>
      <c r="L236" s="1">
        <v>0</v>
      </c>
      <c r="M236" s="1">
        <v>0</v>
      </c>
      <c r="N236" s="1">
        <v>0</v>
      </c>
      <c r="O236" s="1">
        <v>0</v>
      </c>
      <c r="P236" s="1">
        <v>0</v>
      </c>
    </row>
    <row r="237" spans="1:16">
      <c r="A237" s="1">
        <v>0</v>
      </c>
      <c r="B237" s="1">
        <v>0</v>
      </c>
      <c r="I237" s="1">
        <v>0</v>
      </c>
      <c r="J237" s="1">
        <v>0</v>
      </c>
      <c r="K237" s="1">
        <v>0</v>
      </c>
      <c r="L237" s="1">
        <v>0</v>
      </c>
      <c r="M237" s="1">
        <v>0</v>
      </c>
      <c r="N237" s="1">
        <v>0</v>
      </c>
      <c r="O237" s="1">
        <v>0</v>
      </c>
      <c r="P237" s="1">
        <v>0</v>
      </c>
    </row>
    <row r="238" spans="1:16">
      <c r="A238" s="1">
        <v>0</v>
      </c>
      <c r="B238" s="1">
        <v>0</v>
      </c>
      <c r="I238" s="1">
        <v>0</v>
      </c>
      <c r="J238" s="1">
        <v>0</v>
      </c>
      <c r="K238" s="1">
        <v>0</v>
      </c>
      <c r="L238" s="1">
        <v>0</v>
      </c>
      <c r="M238" s="1">
        <v>0</v>
      </c>
      <c r="N238" s="1">
        <v>0</v>
      </c>
      <c r="O238" s="1">
        <v>0</v>
      </c>
      <c r="P238" s="1">
        <v>0</v>
      </c>
    </row>
    <row r="239" spans="1:16">
      <c r="A239" s="1">
        <v>0</v>
      </c>
      <c r="B239" s="1">
        <v>0</v>
      </c>
      <c r="I239" s="1">
        <v>0</v>
      </c>
      <c r="J239" s="1">
        <v>0</v>
      </c>
      <c r="K239" s="1">
        <v>0</v>
      </c>
      <c r="L239" s="1">
        <v>0</v>
      </c>
      <c r="M239" s="1">
        <v>0</v>
      </c>
      <c r="N239" s="1">
        <v>0</v>
      </c>
      <c r="O239" s="1">
        <v>0</v>
      </c>
      <c r="P239" s="1">
        <v>0</v>
      </c>
    </row>
    <row r="240" spans="1:16">
      <c r="A240" s="1">
        <v>0</v>
      </c>
      <c r="B240" s="1">
        <v>0</v>
      </c>
      <c r="I240" s="1">
        <v>0</v>
      </c>
      <c r="J240" s="1">
        <v>0</v>
      </c>
      <c r="K240" s="1">
        <v>0</v>
      </c>
      <c r="L240" s="1">
        <v>0</v>
      </c>
      <c r="M240" s="1">
        <v>0</v>
      </c>
      <c r="N240" s="1">
        <v>0</v>
      </c>
      <c r="O240" s="1">
        <v>0</v>
      </c>
      <c r="P240" s="1">
        <v>0</v>
      </c>
    </row>
    <row r="241" spans="1:16">
      <c r="A241" s="1">
        <v>0</v>
      </c>
      <c r="B241" s="1">
        <v>0</v>
      </c>
      <c r="I241" s="1">
        <v>0</v>
      </c>
      <c r="J241" s="1">
        <v>0</v>
      </c>
      <c r="K241" s="1">
        <v>0</v>
      </c>
      <c r="L241" s="1">
        <v>0</v>
      </c>
      <c r="M241" s="1">
        <v>0</v>
      </c>
      <c r="N241" s="1">
        <v>0</v>
      </c>
      <c r="O241" s="1">
        <v>0</v>
      </c>
      <c r="P241" s="1">
        <v>0</v>
      </c>
    </row>
    <row r="242" spans="1:16">
      <c r="A242" s="1">
        <v>0</v>
      </c>
      <c r="B242" s="1">
        <v>0</v>
      </c>
      <c r="I242" s="1">
        <v>0</v>
      </c>
      <c r="J242" s="1">
        <v>0</v>
      </c>
      <c r="K242" s="1">
        <v>0</v>
      </c>
      <c r="L242" s="1">
        <v>0</v>
      </c>
      <c r="M242" s="1">
        <v>0</v>
      </c>
      <c r="N242" s="1">
        <v>0</v>
      </c>
      <c r="O242" s="1">
        <v>0</v>
      </c>
      <c r="P242" s="1">
        <v>0</v>
      </c>
    </row>
    <row r="243" spans="1:16">
      <c r="A243" s="1">
        <v>0</v>
      </c>
      <c r="B243" s="1">
        <v>0</v>
      </c>
      <c r="I243" s="1">
        <v>0</v>
      </c>
      <c r="J243" s="1">
        <v>0</v>
      </c>
      <c r="K243" s="1">
        <v>0</v>
      </c>
      <c r="L243" s="1">
        <v>0</v>
      </c>
      <c r="M243" s="1">
        <v>3</v>
      </c>
      <c r="N243" s="1">
        <v>0</v>
      </c>
      <c r="O243" s="1">
        <v>0</v>
      </c>
      <c r="P243" s="1">
        <v>0</v>
      </c>
    </row>
    <row r="244" spans="1:16">
      <c r="A244" s="1">
        <v>1</v>
      </c>
      <c r="B244" s="1">
        <v>3</v>
      </c>
      <c r="I244" s="1">
        <v>0</v>
      </c>
      <c r="J244" s="1">
        <v>0</v>
      </c>
      <c r="K244" s="1">
        <v>1</v>
      </c>
      <c r="L244" s="1">
        <v>0</v>
      </c>
      <c r="M244" s="1">
        <v>0</v>
      </c>
      <c r="N244" s="1">
        <v>0</v>
      </c>
      <c r="O244" s="1">
        <v>0</v>
      </c>
      <c r="P244" s="1">
        <v>0</v>
      </c>
    </row>
    <row r="245" spans="1:16">
      <c r="A245" s="1">
        <v>0.25</v>
      </c>
      <c r="B245" s="1">
        <v>0.75</v>
      </c>
      <c r="I245" s="1">
        <v>0</v>
      </c>
      <c r="J245" s="1">
        <v>0</v>
      </c>
      <c r="K245" s="1">
        <v>0</v>
      </c>
      <c r="L245" s="1">
        <v>0</v>
      </c>
      <c r="M245" s="1">
        <v>0</v>
      </c>
      <c r="N245" s="1">
        <v>0</v>
      </c>
      <c r="O245" s="1">
        <v>0</v>
      </c>
      <c r="P245" s="1">
        <v>0</v>
      </c>
    </row>
    <row r="246" spans="1:16">
      <c r="A246" s="1">
        <v>0</v>
      </c>
      <c r="B246" s="1">
        <v>0</v>
      </c>
      <c r="I246" s="1">
        <v>0</v>
      </c>
      <c r="J246" s="1">
        <v>0</v>
      </c>
      <c r="K246" s="1">
        <v>1</v>
      </c>
      <c r="L246" s="1">
        <v>0</v>
      </c>
      <c r="M246" s="1">
        <v>3</v>
      </c>
      <c r="N246" s="1">
        <v>0</v>
      </c>
      <c r="O246" s="1">
        <v>0</v>
      </c>
      <c r="P246" s="1">
        <v>0</v>
      </c>
    </row>
    <row r="247" spans="1:16">
      <c r="A247" s="1">
        <v>1.3333333329999999</v>
      </c>
      <c r="B247" s="1">
        <v>4</v>
      </c>
      <c r="I247" s="1">
        <v>0</v>
      </c>
      <c r="J247" s="1">
        <v>0</v>
      </c>
      <c r="K247" s="1">
        <v>1</v>
      </c>
      <c r="L247" s="1">
        <v>0</v>
      </c>
      <c r="M247" s="1">
        <v>0</v>
      </c>
      <c r="N247" s="1">
        <v>0</v>
      </c>
      <c r="O247" s="1">
        <v>0</v>
      </c>
      <c r="P247" s="1">
        <v>0</v>
      </c>
    </row>
    <row r="248" spans="1:16">
      <c r="A248" s="1">
        <v>1</v>
      </c>
      <c r="B248" s="1">
        <v>3</v>
      </c>
      <c r="I248" s="1">
        <v>0</v>
      </c>
      <c r="J248" s="1">
        <v>0</v>
      </c>
      <c r="K248" s="1">
        <v>0</v>
      </c>
      <c r="L248" s="1">
        <v>0</v>
      </c>
      <c r="M248" s="1">
        <v>0</v>
      </c>
      <c r="N248" s="1">
        <v>0</v>
      </c>
      <c r="O248" s="1">
        <v>2</v>
      </c>
      <c r="P248" s="1">
        <v>0</v>
      </c>
    </row>
    <row r="249" spans="1:16">
      <c r="A249" s="1">
        <v>1</v>
      </c>
      <c r="B249" s="1">
        <v>3</v>
      </c>
      <c r="I249" s="1">
        <v>0</v>
      </c>
      <c r="J249" s="1">
        <v>0</v>
      </c>
      <c r="K249" s="1">
        <v>0</v>
      </c>
      <c r="L249" s="1">
        <v>0</v>
      </c>
      <c r="M249" s="1">
        <v>0</v>
      </c>
      <c r="N249" s="1">
        <v>0</v>
      </c>
      <c r="O249" s="1">
        <v>0</v>
      </c>
      <c r="P249" s="1">
        <v>0</v>
      </c>
    </row>
    <row r="250" spans="1:16">
      <c r="A250" s="1">
        <v>0</v>
      </c>
      <c r="B250" s="1">
        <v>0</v>
      </c>
      <c r="I250" s="1">
        <v>0</v>
      </c>
      <c r="J250" s="1">
        <v>0</v>
      </c>
      <c r="K250" s="1">
        <v>0</v>
      </c>
      <c r="L250" s="1">
        <v>0</v>
      </c>
      <c r="M250" s="1">
        <v>0</v>
      </c>
      <c r="N250" s="1">
        <v>0</v>
      </c>
      <c r="O250" s="1">
        <v>0</v>
      </c>
      <c r="P250" s="1">
        <v>0</v>
      </c>
    </row>
    <row r="251" spans="1:16">
      <c r="A251" s="1">
        <v>0</v>
      </c>
      <c r="B251" s="1">
        <v>0</v>
      </c>
      <c r="I251" s="1">
        <v>0</v>
      </c>
      <c r="J251" s="1">
        <v>0</v>
      </c>
      <c r="K251" s="1">
        <v>1</v>
      </c>
      <c r="L251" s="1">
        <v>0</v>
      </c>
      <c r="M251" s="1">
        <v>0</v>
      </c>
      <c r="N251" s="1">
        <v>0</v>
      </c>
      <c r="O251" s="1">
        <v>0</v>
      </c>
      <c r="P251" s="1">
        <v>0</v>
      </c>
    </row>
    <row r="252" spans="1:16">
      <c r="A252" s="1">
        <v>0.5</v>
      </c>
      <c r="B252" s="1">
        <v>1.5</v>
      </c>
      <c r="I252" s="1">
        <v>0</v>
      </c>
      <c r="J252" s="1">
        <v>0</v>
      </c>
      <c r="K252" s="1">
        <v>1</v>
      </c>
      <c r="L252" s="1">
        <v>0</v>
      </c>
      <c r="M252" s="1">
        <v>0</v>
      </c>
      <c r="N252" s="1">
        <v>0</v>
      </c>
      <c r="O252" s="1">
        <v>0</v>
      </c>
      <c r="P252" s="1">
        <v>0</v>
      </c>
    </row>
    <row r="253" spans="1:16">
      <c r="A253" s="1">
        <v>0.5</v>
      </c>
      <c r="B253" s="1">
        <v>1.5</v>
      </c>
      <c r="I253" s="1">
        <v>0</v>
      </c>
      <c r="J253" s="1">
        <v>0</v>
      </c>
      <c r="K253" s="1">
        <v>0</v>
      </c>
      <c r="L253" s="1">
        <v>0</v>
      </c>
      <c r="M253" s="1">
        <v>0</v>
      </c>
      <c r="N253" s="1">
        <v>0</v>
      </c>
      <c r="O253" s="1">
        <v>0</v>
      </c>
      <c r="P253" s="1">
        <v>0</v>
      </c>
    </row>
    <row r="254" spans="1:16">
      <c r="A254" s="1">
        <v>0</v>
      </c>
      <c r="B254" s="1">
        <v>0</v>
      </c>
      <c r="I254" s="1">
        <v>0</v>
      </c>
      <c r="J254" s="1">
        <v>0</v>
      </c>
      <c r="K254" s="1">
        <v>0</v>
      </c>
      <c r="L254" s="1">
        <v>0</v>
      </c>
      <c r="M254" s="1">
        <v>0</v>
      </c>
      <c r="N254" s="1">
        <v>0</v>
      </c>
      <c r="O254" s="1">
        <v>0</v>
      </c>
      <c r="P254" s="1">
        <v>0</v>
      </c>
    </row>
    <row r="255" spans="1:16">
      <c r="A255" s="1">
        <v>0</v>
      </c>
      <c r="B255" s="1">
        <v>0</v>
      </c>
      <c r="I255" s="1">
        <v>0</v>
      </c>
      <c r="J255" s="1">
        <v>0</v>
      </c>
      <c r="K255" s="1">
        <v>0</v>
      </c>
      <c r="L255" s="1">
        <v>0</v>
      </c>
      <c r="M255" s="1">
        <v>0</v>
      </c>
      <c r="N255" s="1">
        <v>0</v>
      </c>
      <c r="O255" s="1">
        <v>0</v>
      </c>
      <c r="P255" s="1">
        <v>0</v>
      </c>
    </row>
    <row r="256" spans="1:16">
      <c r="A256" s="1">
        <v>0</v>
      </c>
      <c r="B256" s="1">
        <v>0</v>
      </c>
      <c r="I256" s="1">
        <v>0</v>
      </c>
      <c r="J256" s="1">
        <v>0</v>
      </c>
      <c r="K256" s="1">
        <v>0</v>
      </c>
      <c r="L256" s="1">
        <v>0</v>
      </c>
      <c r="M256" s="1">
        <v>0</v>
      </c>
      <c r="N256" s="1">
        <v>0</v>
      </c>
      <c r="O256" s="1">
        <v>0</v>
      </c>
      <c r="P256" s="1">
        <v>0</v>
      </c>
    </row>
    <row r="257" spans="1:16">
      <c r="A257" s="1">
        <v>0</v>
      </c>
      <c r="B257" s="1">
        <v>0</v>
      </c>
      <c r="I257" s="1">
        <v>0</v>
      </c>
      <c r="J257" s="1">
        <v>0</v>
      </c>
      <c r="K257" s="1">
        <v>0</v>
      </c>
      <c r="L257" s="1">
        <v>0</v>
      </c>
      <c r="M257" s="1">
        <v>0</v>
      </c>
      <c r="N257" s="1">
        <v>0</v>
      </c>
      <c r="O257" s="1">
        <v>0</v>
      </c>
      <c r="P257" s="1">
        <v>0</v>
      </c>
    </row>
    <row r="258" spans="1:16">
      <c r="A258" s="1">
        <v>0</v>
      </c>
      <c r="B258" s="1">
        <v>0</v>
      </c>
      <c r="I258" s="1">
        <v>0</v>
      </c>
      <c r="J258" s="1">
        <v>0</v>
      </c>
      <c r="K258" s="1">
        <v>0</v>
      </c>
      <c r="L258" s="1">
        <v>0</v>
      </c>
      <c r="M258" s="1">
        <v>0</v>
      </c>
      <c r="N258" s="1">
        <v>0</v>
      </c>
      <c r="O258" s="1">
        <v>0</v>
      </c>
      <c r="P258" s="1">
        <v>0</v>
      </c>
    </row>
    <row r="259" spans="1:16">
      <c r="A259" s="1">
        <v>0</v>
      </c>
      <c r="B259" s="1">
        <v>0</v>
      </c>
      <c r="I259" s="1">
        <v>0</v>
      </c>
      <c r="J259" s="1">
        <v>0</v>
      </c>
      <c r="K259" s="1">
        <v>0</v>
      </c>
      <c r="L259" s="1">
        <v>0</v>
      </c>
      <c r="M259" s="1">
        <v>0</v>
      </c>
      <c r="N259" s="1">
        <v>0</v>
      </c>
      <c r="O259" s="1">
        <v>0</v>
      </c>
      <c r="P259" s="1">
        <v>0</v>
      </c>
    </row>
    <row r="260" spans="1:16">
      <c r="A260" s="1">
        <v>0</v>
      </c>
      <c r="B260" s="1">
        <v>0</v>
      </c>
      <c r="I260" s="1">
        <v>0</v>
      </c>
      <c r="J260" s="1">
        <v>0</v>
      </c>
      <c r="K260" s="1">
        <v>0</v>
      </c>
      <c r="L260" s="1">
        <v>0</v>
      </c>
      <c r="M260" s="1">
        <v>3</v>
      </c>
      <c r="N260" s="1">
        <v>0</v>
      </c>
      <c r="O260" s="1">
        <v>0</v>
      </c>
      <c r="P260" s="1">
        <v>0</v>
      </c>
    </row>
    <row r="261" spans="1:16">
      <c r="A261" s="1">
        <v>3</v>
      </c>
      <c r="B261" s="1">
        <v>9</v>
      </c>
      <c r="I261" s="1">
        <v>0</v>
      </c>
      <c r="J261" s="1">
        <v>0</v>
      </c>
      <c r="K261" s="1">
        <v>0</v>
      </c>
      <c r="L261" s="1">
        <v>0</v>
      </c>
      <c r="M261" s="1">
        <v>0</v>
      </c>
      <c r="N261" s="1">
        <v>0</v>
      </c>
      <c r="O261" s="1">
        <v>0</v>
      </c>
      <c r="P261" s="1">
        <v>0</v>
      </c>
    </row>
    <row r="262" spans="1:16">
      <c r="A262" s="1">
        <v>0</v>
      </c>
      <c r="B262" s="1">
        <v>0</v>
      </c>
      <c r="I262" s="1">
        <v>0</v>
      </c>
      <c r="J262" s="1">
        <v>0</v>
      </c>
      <c r="K262" s="1">
        <v>0</v>
      </c>
      <c r="L262" s="1">
        <v>0</v>
      </c>
      <c r="M262" s="1">
        <v>0</v>
      </c>
      <c r="N262" s="1">
        <v>0</v>
      </c>
      <c r="O262" s="1">
        <v>0</v>
      </c>
      <c r="P262" s="1">
        <v>0</v>
      </c>
    </row>
    <row r="263" spans="1:16">
      <c r="A263" s="1">
        <v>0</v>
      </c>
      <c r="B263" s="1">
        <v>0</v>
      </c>
      <c r="I263" s="1">
        <v>0</v>
      </c>
      <c r="J263" s="1">
        <v>0</v>
      </c>
      <c r="K263" s="1">
        <v>0</v>
      </c>
      <c r="L263" s="1">
        <v>0</v>
      </c>
      <c r="M263" s="1">
        <v>0</v>
      </c>
      <c r="N263" s="1">
        <v>0</v>
      </c>
      <c r="O263" s="1">
        <v>0</v>
      </c>
      <c r="P263" s="1">
        <v>0</v>
      </c>
    </row>
    <row r="264" spans="1:16">
      <c r="A264" s="1">
        <v>0</v>
      </c>
      <c r="B264" s="1">
        <v>0</v>
      </c>
      <c r="I264" s="1">
        <v>0</v>
      </c>
      <c r="J264" s="1">
        <v>0</v>
      </c>
      <c r="K264" s="1">
        <v>0</v>
      </c>
      <c r="L264" s="1">
        <v>0</v>
      </c>
      <c r="M264" s="1">
        <v>0</v>
      </c>
      <c r="N264" s="1">
        <v>0</v>
      </c>
      <c r="O264" s="1">
        <v>0</v>
      </c>
      <c r="P264" s="1">
        <v>0</v>
      </c>
    </row>
    <row r="265" spans="1:16">
      <c r="A265" s="1">
        <v>0</v>
      </c>
      <c r="B265" s="1">
        <v>0</v>
      </c>
      <c r="I265" s="1">
        <v>0</v>
      </c>
      <c r="J265" s="1">
        <v>0</v>
      </c>
      <c r="K265" s="1">
        <v>0</v>
      </c>
      <c r="L265" s="1">
        <v>0</v>
      </c>
      <c r="M265" s="1">
        <v>0</v>
      </c>
      <c r="N265" s="1">
        <v>0</v>
      </c>
      <c r="O265" s="1">
        <v>0</v>
      </c>
      <c r="P265" s="1">
        <v>0</v>
      </c>
    </row>
    <row r="266" spans="1:16">
      <c r="A266" s="1">
        <v>0</v>
      </c>
      <c r="B266" s="1">
        <v>0</v>
      </c>
      <c r="I266" s="1">
        <v>0</v>
      </c>
      <c r="J266" s="1">
        <v>0</v>
      </c>
      <c r="K266" s="1">
        <v>0</v>
      </c>
      <c r="L266" s="1">
        <v>0</v>
      </c>
      <c r="M266" s="1">
        <v>0</v>
      </c>
      <c r="N266" s="1">
        <v>0</v>
      </c>
      <c r="O266" s="1">
        <v>0</v>
      </c>
      <c r="P266" s="1">
        <v>0</v>
      </c>
    </row>
    <row r="267" spans="1:16">
      <c r="A267" s="1">
        <v>0</v>
      </c>
      <c r="B267" s="1">
        <v>0</v>
      </c>
      <c r="I267" s="1">
        <v>0</v>
      </c>
      <c r="J267" s="1">
        <v>0</v>
      </c>
      <c r="K267" s="1">
        <v>0</v>
      </c>
      <c r="L267" s="1">
        <v>0</v>
      </c>
      <c r="M267" s="1">
        <v>0</v>
      </c>
      <c r="N267" s="1">
        <v>0</v>
      </c>
      <c r="O267" s="1">
        <v>0</v>
      </c>
      <c r="P267" s="1">
        <v>0</v>
      </c>
    </row>
    <row r="268" spans="1:16">
      <c r="A268" s="1">
        <v>0</v>
      </c>
      <c r="B268" s="1">
        <v>0</v>
      </c>
      <c r="I268" s="1">
        <v>0</v>
      </c>
      <c r="J268" s="1">
        <v>0</v>
      </c>
      <c r="K268" s="1">
        <v>0</v>
      </c>
      <c r="L268" s="1">
        <v>0</v>
      </c>
      <c r="M268" s="1">
        <v>3</v>
      </c>
      <c r="N268" s="1">
        <v>0</v>
      </c>
      <c r="O268" s="1">
        <v>0</v>
      </c>
      <c r="P268" s="1">
        <v>0</v>
      </c>
    </row>
    <row r="269" spans="1:16">
      <c r="A269" s="1">
        <v>1.5</v>
      </c>
      <c r="B269" s="1">
        <v>4.5</v>
      </c>
      <c r="I269" s="1">
        <v>0</v>
      </c>
      <c r="J269" s="1">
        <v>0</v>
      </c>
      <c r="K269" s="1">
        <v>3</v>
      </c>
      <c r="L269" s="1">
        <v>0</v>
      </c>
      <c r="M269" s="1">
        <v>0</v>
      </c>
      <c r="N269" s="1">
        <v>0</v>
      </c>
      <c r="O269" s="1">
        <v>0</v>
      </c>
      <c r="P269" s="1">
        <v>0</v>
      </c>
    </row>
    <row r="270" spans="1:16">
      <c r="A270" s="1">
        <v>1</v>
      </c>
      <c r="B270" s="1">
        <v>3</v>
      </c>
      <c r="I270" s="1">
        <v>0</v>
      </c>
      <c r="J270" s="1">
        <v>1</v>
      </c>
      <c r="K270" s="1">
        <v>0</v>
      </c>
      <c r="L270" s="1">
        <v>0</v>
      </c>
      <c r="M270" s="1">
        <v>0</v>
      </c>
      <c r="N270" s="1">
        <v>2</v>
      </c>
      <c r="O270" s="1">
        <v>0</v>
      </c>
      <c r="P270" s="1">
        <v>0</v>
      </c>
    </row>
    <row r="271" spans="1:16">
      <c r="A271" s="1">
        <v>0.33333333300000001</v>
      </c>
      <c r="B271" s="1">
        <v>0.222222222</v>
      </c>
      <c r="I271" s="1">
        <v>0</v>
      </c>
      <c r="J271" s="1">
        <v>0.25</v>
      </c>
      <c r="K271" s="1">
        <v>0</v>
      </c>
      <c r="L271" s="1">
        <v>0</v>
      </c>
      <c r="M271" s="1">
        <v>0</v>
      </c>
      <c r="N271" s="1">
        <v>0</v>
      </c>
      <c r="O271" s="1">
        <v>0</v>
      </c>
      <c r="P271" s="1">
        <v>0</v>
      </c>
    </row>
    <row r="272" spans="1:16">
      <c r="A272" s="1">
        <v>8.3333332999999996E-2</v>
      </c>
      <c r="B272" s="1">
        <v>0</v>
      </c>
      <c r="I272" s="1">
        <v>0</v>
      </c>
      <c r="J272" s="1">
        <v>0</v>
      </c>
      <c r="K272" s="1">
        <v>0</v>
      </c>
      <c r="L272" s="1">
        <v>0</v>
      </c>
      <c r="M272" s="1">
        <v>0</v>
      </c>
      <c r="N272" s="1">
        <v>0</v>
      </c>
      <c r="O272" s="1">
        <v>0</v>
      </c>
      <c r="P272" s="1">
        <v>0</v>
      </c>
    </row>
    <row r="273" spans="1:16">
      <c r="A273" s="1">
        <v>0</v>
      </c>
      <c r="B273" s="1">
        <v>0</v>
      </c>
      <c r="I273" s="1">
        <v>0</v>
      </c>
      <c r="J273" s="1">
        <v>0</v>
      </c>
      <c r="K273" s="1">
        <v>0</v>
      </c>
      <c r="L273" s="1">
        <v>0</v>
      </c>
      <c r="M273" s="1">
        <v>0</v>
      </c>
      <c r="N273" s="1">
        <v>0</v>
      </c>
      <c r="O273" s="1">
        <v>0</v>
      </c>
      <c r="P273" s="1">
        <v>0</v>
      </c>
    </row>
    <row r="274" spans="1:16">
      <c r="A274" s="1">
        <v>0</v>
      </c>
      <c r="B274" s="1">
        <v>0</v>
      </c>
      <c r="I274" s="1">
        <v>0</v>
      </c>
      <c r="J274" s="1">
        <v>0</v>
      </c>
      <c r="K274" s="1">
        <v>0</v>
      </c>
      <c r="L274" s="1">
        <v>0</v>
      </c>
      <c r="M274" s="1">
        <v>0</v>
      </c>
      <c r="N274" s="1">
        <v>0</v>
      </c>
      <c r="O274" s="1">
        <v>0</v>
      </c>
      <c r="P274" s="1">
        <v>0</v>
      </c>
    </row>
    <row r="275" spans="1:16">
      <c r="A275" s="1">
        <v>0</v>
      </c>
      <c r="B275" s="1">
        <v>0</v>
      </c>
      <c r="I275" s="1">
        <v>0</v>
      </c>
      <c r="J275" s="1">
        <v>0</v>
      </c>
      <c r="K275" s="1">
        <v>0</v>
      </c>
      <c r="L275" s="1">
        <v>0</v>
      </c>
      <c r="M275" s="1">
        <v>0</v>
      </c>
      <c r="N275" s="1">
        <v>0</v>
      </c>
      <c r="O275" s="1">
        <v>0</v>
      </c>
      <c r="P275" s="1">
        <v>0</v>
      </c>
    </row>
    <row r="276" spans="1:16">
      <c r="A276" s="1">
        <v>0</v>
      </c>
      <c r="B276" s="1">
        <v>0</v>
      </c>
      <c r="I276" s="1">
        <v>0</v>
      </c>
      <c r="J276" s="1">
        <v>0</v>
      </c>
      <c r="K276" s="1">
        <v>0</v>
      </c>
      <c r="L276" s="1">
        <v>0</v>
      </c>
      <c r="M276" s="1">
        <v>0</v>
      </c>
      <c r="N276" s="1">
        <v>0</v>
      </c>
      <c r="O276" s="1">
        <v>0</v>
      </c>
      <c r="P276" s="1">
        <v>0</v>
      </c>
    </row>
    <row r="277" spans="1:16">
      <c r="A277" s="1">
        <v>0</v>
      </c>
      <c r="B277" s="1">
        <v>0</v>
      </c>
      <c r="I277" s="1">
        <v>0</v>
      </c>
      <c r="J277" s="1">
        <v>0</v>
      </c>
      <c r="K277" s="1">
        <v>0</v>
      </c>
      <c r="L277" s="1">
        <v>0</v>
      </c>
      <c r="M277" s="1">
        <v>0</v>
      </c>
      <c r="N277" s="1">
        <v>0</v>
      </c>
      <c r="O277" s="1">
        <v>0</v>
      </c>
      <c r="P277" s="1">
        <v>0</v>
      </c>
    </row>
    <row r="278" spans="1:16">
      <c r="A278" s="1">
        <v>0</v>
      </c>
      <c r="B278" s="1">
        <v>0</v>
      </c>
      <c r="I278" s="1">
        <v>0</v>
      </c>
      <c r="J278" s="1">
        <v>0</v>
      </c>
      <c r="K278" s="1">
        <v>0</v>
      </c>
      <c r="L278" s="1">
        <v>0</v>
      </c>
      <c r="M278" s="1">
        <v>0</v>
      </c>
      <c r="N278" s="1">
        <v>0</v>
      </c>
      <c r="O278" s="1">
        <v>0</v>
      </c>
      <c r="P278" s="1">
        <v>0</v>
      </c>
    </row>
    <row r="279" spans="1:16">
      <c r="A279" s="1">
        <v>0</v>
      </c>
      <c r="B279" s="1">
        <v>0</v>
      </c>
      <c r="I279" s="1">
        <v>0</v>
      </c>
      <c r="J279" s="1">
        <v>0</v>
      </c>
      <c r="K279" s="1">
        <v>0</v>
      </c>
      <c r="L279" s="1">
        <v>0</v>
      </c>
      <c r="M279" s="1">
        <v>0</v>
      </c>
      <c r="N279" s="1">
        <v>0</v>
      </c>
      <c r="O279" s="1">
        <v>0</v>
      </c>
      <c r="P279" s="1">
        <v>0</v>
      </c>
    </row>
    <row r="280" spans="1:16">
      <c r="A280" s="1">
        <v>0</v>
      </c>
      <c r="B280" s="1">
        <v>0</v>
      </c>
      <c r="I280" s="1">
        <v>0</v>
      </c>
      <c r="J280" s="1">
        <v>0</v>
      </c>
      <c r="K280" s="1">
        <v>0</v>
      </c>
      <c r="L280" s="1">
        <v>0</v>
      </c>
      <c r="M280" s="1">
        <v>0</v>
      </c>
      <c r="N280" s="1">
        <v>0</v>
      </c>
      <c r="O280" s="1">
        <v>0</v>
      </c>
      <c r="P280" s="1">
        <v>0</v>
      </c>
    </row>
    <row r="281" spans="1:16">
      <c r="A281" s="1">
        <v>0</v>
      </c>
      <c r="B281" s="1">
        <v>0</v>
      </c>
      <c r="I281" s="1">
        <v>0</v>
      </c>
      <c r="J281" s="1">
        <v>0</v>
      </c>
      <c r="K281" s="1">
        <v>0</v>
      </c>
      <c r="L281" s="1">
        <v>0</v>
      </c>
      <c r="M281" s="1">
        <v>0</v>
      </c>
      <c r="N281" s="1">
        <v>0</v>
      </c>
      <c r="O281" s="1">
        <v>0</v>
      </c>
      <c r="P281" s="1">
        <v>0</v>
      </c>
    </row>
    <row r="282" spans="1:16">
      <c r="A282" s="1">
        <v>0</v>
      </c>
      <c r="B282" s="1">
        <v>0</v>
      </c>
      <c r="I282" s="1">
        <v>0</v>
      </c>
      <c r="J282" s="1">
        <v>0</v>
      </c>
      <c r="K282" s="1">
        <v>0</v>
      </c>
      <c r="L282" s="1">
        <v>0</v>
      </c>
      <c r="M282" s="1">
        <v>3</v>
      </c>
      <c r="N282" s="1">
        <v>0</v>
      </c>
      <c r="O282" s="1">
        <v>0</v>
      </c>
      <c r="P282" s="1">
        <v>0</v>
      </c>
    </row>
    <row r="283" spans="1:16">
      <c r="A283" s="1">
        <v>3</v>
      </c>
      <c r="B283" s="1">
        <v>9</v>
      </c>
      <c r="I283" s="1">
        <v>0</v>
      </c>
      <c r="J283" s="1">
        <v>0</v>
      </c>
      <c r="K283" s="1">
        <v>0</v>
      </c>
      <c r="L283" s="1">
        <v>0</v>
      </c>
      <c r="M283" s="1">
        <v>3</v>
      </c>
      <c r="N283" s="1">
        <v>0</v>
      </c>
      <c r="O283" s="1">
        <v>0</v>
      </c>
      <c r="P283" s="1">
        <v>0</v>
      </c>
    </row>
    <row r="284" spans="1:16">
      <c r="A284" s="1">
        <v>3</v>
      </c>
      <c r="B284" s="1">
        <v>9</v>
      </c>
      <c r="I284" s="1">
        <v>0</v>
      </c>
      <c r="J284" s="1">
        <v>0</v>
      </c>
      <c r="K284" s="1">
        <v>0</v>
      </c>
      <c r="L284" s="1">
        <v>0</v>
      </c>
      <c r="M284" s="1">
        <v>0</v>
      </c>
      <c r="N284" s="1">
        <v>0</v>
      </c>
      <c r="O284" s="1">
        <v>0</v>
      </c>
      <c r="P284" s="1">
        <v>0</v>
      </c>
    </row>
    <row r="285" spans="1:16">
      <c r="A285" s="1">
        <v>0</v>
      </c>
      <c r="B285" s="1">
        <v>0</v>
      </c>
      <c r="I285" s="1">
        <v>0</v>
      </c>
      <c r="J285" s="1">
        <v>0</v>
      </c>
      <c r="K285" s="1">
        <v>0</v>
      </c>
      <c r="L285" s="1">
        <v>0</v>
      </c>
      <c r="M285" s="1">
        <v>0</v>
      </c>
      <c r="N285" s="1">
        <v>0</v>
      </c>
      <c r="O285" s="1">
        <v>0</v>
      </c>
      <c r="P285" s="1">
        <v>0</v>
      </c>
    </row>
    <row r="286" spans="1:16">
      <c r="A286" s="1">
        <v>0</v>
      </c>
      <c r="B286" s="1">
        <v>0</v>
      </c>
      <c r="I286" s="1">
        <v>0</v>
      </c>
      <c r="J286" s="1">
        <v>0</v>
      </c>
      <c r="K286" s="1">
        <v>0</v>
      </c>
      <c r="L286" s="1">
        <v>0</v>
      </c>
      <c r="M286" s="1">
        <v>0</v>
      </c>
      <c r="N286" s="1">
        <v>0</v>
      </c>
      <c r="O286" s="1">
        <v>0</v>
      </c>
      <c r="P286" s="1">
        <v>0</v>
      </c>
    </row>
    <row r="287" spans="1:16">
      <c r="A287" s="1">
        <v>0</v>
      </c>
      <c r="B287" s="1">
        <v>0</v>
      </c>
      <c r="I287" s="1">
        <v>0</v>
      </c>
      <c r="J287" s="1">
        <v>0</v>
      </c>
      <c r="K287" s="1">
        <v>0</v>
      </c>
      <c r="L287" s="1">
        <v>0</v>
      </c>
      <c r="M287" s="1">
        <v>0</v>
      </c>
      <c r="N287" s="1">
        <v>0</v>
      </c>
      <c r="O287" s="1">
        <v>0</v>
      </c>
      <c r="P287" s="1">
        <v>0</v>
      </c>
    </row>
    <row r="288" spans="1:16">
      <c r="A288" s="1">
        <v>0</v>
      </c>
      <c r="B288" s="1">
        <v>0</v>
      </c>
      <c r="I288" s="1">
        <v>0</v>
      </c>
      <c r="J288" s="1">
        <v>0</v>
      </c>
      <c r="K288" s="1">
        <v>0</v>
      </c>
      <c r="L288" s="1">
        <v>0</v>
      </c>
      <c r="M288" s="1">
        <v>0</v>
      </c>
      <c r="N288" s="1">
        <v>0</v>
      </c>
      <c r="O288" s="1">
        <v>0</v>
      </c>
      <c r="P288" s="1">
        <v>0</v>
      </c>
    </row>
    <row r="289" spans="1:16">
      <c r="A289" s="1">
        <v>0</v>
      </c>
      <c r="B289" s="1">
        <v>0</v>
      </c>
      <c r="I289" s="1">
        <v>0</v>
      </c>
      <c r="J289" s="1">
        <v>0</v>
      </c>
      <c r="K289" s="1">
        <v>0</v>
      </c>
      <c r="L289" s="1">
        <v>0</v>
      </c>
      <c r="M289" s="1">
        <v>0</v>
      </c>
      <c r="N289" s="1">
        <v>0</v>
      </c>
      <c r="O289" s="1">
        <v>0</v>
      </c>
      <c r="P289" s="1">
        <v>0</v>
      </c>
    </row>
    <row r="290" spans="1:16">
      <c r="A290" s="1">
        <v>0</v>
      </c>
      <c r="B290" s="1">
        <v>0</v>
      </c>
      <c r="I290" s="1">
        <v>0</v>
      </c>
      <c r="J290" s="1">
        <v>0</v>
      </c>
      <c r="K290" s="1">
        <v>1</v>
      </c>
      <c r="L290" s="1">
        <v>0</v>
      </c>
      <c r="M290" s="1">
        <v>0</v>
      </c>
      <c r="N290" s="1">
        <v>0</v>
      </c>
      <c r="O290" s="1">
        <v>0</v>
      </c>
      <c r="P290" s="1">
        <v>0</v>
      </c>
    </row>
    <row r="291" spans="1:16">
      <c r="A291" s="1">
        <v>0.33333333300000001</v>
      </c>
      <c r="B291" s="1">
        <v>1</v>
      </c>
      <c r="I291" s="1">
        <v>0</v>
      </c>
      <c r="J291" s="1">
        <v>0</v>
      </c>
      <c r="K291" s="1">
        <v>0</v>
      </c>
      <c r="L291" s="1">
        <v>0</v>
      </c>
      <c r="M291" s="1">
        <v>0</v>
      </c>
      <c r="N291" s="1">
        <v>0</v>
      </c>
      <c r="O291" s="1">
        <v>0</v>
      </c>
      <c r="P291" s="1">
        <v>0</v>
      </c>
    </row>
    <row r="292" spans="1:16">
      <c r="A292" s="1">
        <v>0</v>
      </c>
      <c r="B292" s="1">
        <v>0</v>
      </c>
      <c r="I292" s="1">
        <v>0</v>
      </c>
      <c r="J292" s="1">
        <v>0</v>
      </c>
      <c r="K292" s="1">
        <v>0</v>
      </c>
      <c r="L292" s="1">
        <v>0</v>
      </c>
      <c r="M292" s="1">
        <v>0</v>
      </c>
      <c r="N292" s="1">
        <v>0</v>
      </c>
      <c r="O292" s="1">
        <v>0</v>
      </c>
      <c r="P292" s="1">
        <v>0</v>
      </c>
    </row>
    <row r="293" spans="1:16">
      <c r="A293" s="1">
        <v>0</v>
      </c>
      <c r="B293" s="1">
        <v>0</v>
      </c>
      <c r="I293" s="1">
        <v>0</v>
      </c>
      <c r="J293" s="1">
        <v>0</v>
      </c>
      <c r="K293" s="1">
        <v>0</v>
      </c>
      <c r="L293" s="1">
        <v>0</v>
      </c>
      <c r="M293" s="1">
        <v>4</v>
      </c>
      <c r="N293" s="1">
        <v>0</v>
      </c>
      <c r="O293" s="1">
        <v>0</v>
      </c>
      <c r="P293" s="1">
        <v>0</v>
      </c>
    </row>
    <row r="294" spans="1:16">
      <c r="A294" s="1">
        <v>2</v>
      </c>
      <c r="B294" s="1">
        <v>6</v>
      </c>
      <c r="I294" s="1">
        <v>0</v>
      </c>
      <c r="J294" s="1">
        <v>0</v>
      </c>
      <c r="K294" s="1">
        <v>0</v>
      </c>
      <c r="L294" s="1">
        <v>0</v>
      </c>
      <c r="M294" s="1">
        <v>0</v>
      </c>
      <c r="N294" s="1">
        <v>0</v>
      </c>
      <c r="O294" s="1">
        <v>3</v>
      </c>
      <c r="P294" s="1">
        <v>0</v>
      </c>
    </row>
    <row r="295" spans="1:16">
      <c r="A295" s="1">
        <v>0.5</v>
      </c>
      <c r="B295" s="1">
        <v>1.5</v>
      </c>
      <c r="I295" s="1">
        <v>0</v>
      </c>
      <c r="J295" s="1">
        <v>0</v>
      </c>
      <c r="K295" s="1">
        <v>1</v>
      </c>
      <c r="L295" s="1">
        <v>0</v>
      </c>
      <c r="M295" s="1">
        <v>0</v>
      </c>
      <c r="N295" s="1">
        <v>0</v>
      </c>
      <c r="O295" s="1">
        <v>3</v>
      </c>
      <c r="P295" s="1">
        <v>0</v>
      </c>
    </row>
    <row r="296" spans="1:16">
      <c r="A296" s="1">
        <v>1</v>
      </c>
      <c r="B296" s="1">
        <v>3</v>
      </c>
      <c r="I296" s="1">
        <v>0</v>
      </c>
      <c r="J296" s="1">
        <v>0</v>
      </c>
      <c r="K296" s="1">
        <v>0</v>
      </c>
      <c r="L296" s="1">
        <v>0</v>
      </c>
      <c r="M296" s="1">
        <v>0</v>
      </c>
      <c r="N296" s="1">
        <v>0</v>
      </c>
      <c r="O296" s="1">
        <v>0</v>
      </c>
      <c r="P296" s="1">
        <v>0</v>
      </c>
    </row>
    <row r="297" spans="1:16">
      <c r="A297" s="1">
        <v>0</v>
      </c>
      <c r="B297" s="1">
        <v>0</v>
      </c>
      <c r="I297" s="1">
        <v>0</v>
      </c>
      <c r="J297" s="1">
        <v>0</v>
      </c>
      <c r="K297" s="1">
        <v>0</v>
      </c>
      <c r="L297" s="1">
        <v>0</v>
      </c>
      <c r="M297" s="1">
        <v>0</v>
      </c>
      <c r="N297" s="1">
        <v>0</v>
      </c>
      <c r="O297" s="1">
        <v>0</v>
      </c>
      <c r="P297" s="1">
        <v>0</v>
      </c>
    </row>
    <row r="298" spans="1:16">
      <c r="A298" s="1">
        <v>0</v>
      </c>
      <c r="B298" s="1">
        <v>0</v>
      </c>
      <c r="I298" s="1">
        <v>0</v>
      </c>
      <c r="J298" s="1">
        <v>0</v>
      </c>
      <c r="K298" s="1">
        <v>1</v>
      </c>
      <c r="L298" s="1">
        <v>0</v>
      </c>
      <c r="M298" s="1">
        <v>0</v>
      </c>
      <c r="N298" s="1">
        <v>0</v>
      </c>
      <c r="O298" s="1">
        <v>0</v>
      </c>
      <c r="P298" s="1">
        <v>0</v>
      </c>
    </row>
    <row r="299" spans="1:16">
      <c r="A299" s="1">
        <v>1</v>
      </c>
      <c r="B299" s="1">
        <v>3</v>
      </c>
      <c r="I299" s="1">
        <v>0</v>
      </c>
      <c r="J299" s="1">
        <v>0</v>
      </c>
      <c r="K299" s="1">
        <v>0</v>
      </c>
      <c r="L299" s="1">
        <v>0</v>
      </c>
      <c r="M299" s="1">
        <v>0</v>
      </c>
      <c r="N299" s="1">
        <v>0</v>
      </c>
      <c r="O299" s="1">
        <v>0</v>
      </c>
      <c r="P299" s="1">
        <v>0</v>
      </c>
    </row>
    <row r="300" spans="1:16">
      <c r="A300" s="1">
        <v>0</v>
      </c>
      <c r="B300" s="1">
        <v>0</v>
      </c>
      <c r="I300" s="1">
        <v>0</v>
      </c>
      <c r="J300" s="1">
        <v>2</v>
      </c>
      <c r="K300" s="1">
        <v>1</v>
      </c>
      <c r="L300" s="1">
        <v>0</v>
      </c>
      <c r="M300" s="1">
        <v>0</v>
      </c>
      <c r="N300" s="1">
        <v>0</v>
      </c>
      <c r="O300" s="1">
        <v>0</v>
      </c>
      <c r="P300" s="1">
        <v>0</v>
      </c>
    </row>
    <row r="301" spans="1:16">
      <c r="A301" s="1">
        <v>1.5</v>
      </c>
      <c r="B301" s="1">
        <v>1.5</v>
      </c>
      <c r="I301" s="1">
        <v>0</v>
      </c>
      <c r="J301" s="1">
        <v>0</v>
      </c>
      <c r="K301" s="1">
        <v>0</v>
      </c>
      <c r="L301" s="1">
        <v>0</v>
      </c>
      <c r="M301" s="1">
        <v>0</v>
      </c>
      <c r="N301" s="1">
        <v>0</v>
      </c>
      <c r="O301" s="1">
        <v>0</v>
      </c>
      <c r="P301" s="1">
        <v>0</v>
      </c>
    </row>
    <row r="302" spans="1:16">
      <c r="A302" s="1">
        <v>0</v>
      </c>
      <c r="B302" s="1">
        <v>0</v>
      </c>
      <c r="I302" s="1">
        <v>0</v>
      </c>
      <c r="J302" s="1">
        <v>0</v>
      </c>
      <c r="K302" s="1">
        <v>0</v>
      </c>
      <c r="L302" s="1">
        <v>0</v>
      </c>
      <c r="M302" s="1">
        <v>0</v>
      </c>
      <c r="N302" s="1">
        <v>0</v>
      </c>
      <c r="O302" s="1">
        <v>0</v>
      </c>
      <c r="P302" s="1">
        <v>0</v>
      </c>
    </row>
    <row r="303" spans="1:16">
      <c r="A303" s="1">
        <v>0</v>
      </c>
      <c r="B303" s="1">
        <v>0</v>
      </c>
      <c r="I303" s="1">
        <v>0</v>
      </c>
      <c r="J303" s="1">
        <v>0</v>
      </c>
      <c r="K303" s="1">
        <v>0</v>
      </c>
      <c r="L303" s="1">
        <v>0</v>
      </c>
      <c r="M303" s="1">
        <v>0</v>
      </c>
      <c r="N303" s="1">
        <v>0</v>
      </c>
      <c r="O303" s="1">
        <v>0</v>
      </c>
      <c r="P303" s="1">
        <v>0</v>
      </c>
    </row>
    <row r="304" spans="1:16">
      <c r="A304" s="1">
        <v>0</v>
      </c>
      <c r="B304" s="1">
        <v>0</v>
      </c>
      <c r="I304" s="1">
        <v>0</v>
      </c>
      <c r="J304" s="1">
        <v>0</v>
      </c>
      <c r="K304" s="1">
        <v>0</v>
      </c>
      <c r="L304" s="1">
        <v>0</v>
      </c>
      <c r="M304" s="1">
        <v>0</v>
      </c>
      <c r="N304" s="1">
        <v>0</v>
      </c>
      <c r="O304" s="1">
        <v>0</v>
      </c>
      <c r="P304" s="1">
        <v>0</v>
      </c>
    </row>
    <row r="305" spans="1:16">
      <c r="A305" s="1">
        <v>0</v>
      </c>
      <c r="B305" s="1">
        <v>0</v>
      </c>
      <c r="I305" s="1">
        <v>0</v>
      </c>
      <c r="J305" s="1">
        <v>0</v>
      </c>
      <c r="K305" s="1">
        <v>0</v>
      </c>
      <c r="L305" s="1">
        <v>0</v>
      </c>
      <c r="M305" s="1">
        <v>0</v>
      </c>
      <c r="N305" s="1">
        <v>0</v>
      </c>
      <c r="O305" s="1">
        <v>0</v>
      </c>
      <c r="P305" s="1">
        <v>0</v>
      </c>
    </row>
    <row r="306" spans="1:16">
      <c r="A306" s="1">
        <v>0</v>
      </c>
      <c r="B306" s="1">
        <v>0</v>
      </c>
      <c r="I306" s="1">
        <v>0</v>
      </c>
      <c r="J306" s="1">
        <v>0</v>
      </c>
      <c r="K306" s="1">
        <v>0</v>
      </c>
      <c r="L306" s="1">
        <v>0</v>
      </c>
      <c r="M306" s="1">
        <v>0</v>
      </c>
      <c r="N306" s="1">
        <v>0</v>
      </c>
      <c r="O306" s="1">
        <v>0</v>
      </c>
      <c r="P306" s="1">
        <v>0</v>
      </c>
    </row>
    <row r="307" spans="1:16">
      <c r="A307" s="1">
        <v>0</v>
      </c>
      <c r="B307" s="1">
        <v>0</v>
      </c>
      <c r="I307" s="1">
        <v>0</v>
      </c>
      <c r="J307" s="1">
        <v>1</v>
      </c>
      <c r="K307" s="1">
        <v>0</v>
      </c>
      <c r="L307" s="1">
        <v>0</v>
      </c>
      <c r="M307" s="1">
        <v>0</v>
      </c>
      <c r="N307" s="1">
        <v>0</v>
      </c>
      <c r="O307" s="1">
        <v>0</v>
      </c>
      <c r="P307" s="1">
        <v>0</v>
      </c>
    </row>
    <row r="308" spans="1:16">
      <c r="A308" s="1">
        <v>0.5</v>
      </c>
      <c r="B308" s="1">
        <v>0</v>
      </c>
      <c r="I308" s="1">
        <v>0</v>
      </c>
      <c r="J308" s="1">
        <v>0</v>
      </c>
      <c r="K308" s="1">
        <v>0</v>
      </c>
      <c r="L308" s="1">
        <v>0</v>
      </c>
      <c r="M308" s="1">
        <v>4</v>
      </c>
      <c r="N308" s="1">
        <v>0</v>
      </c>
      <c r="O308" s="1">
        <v>0</v>
      </c>
      <c r="P308" s="1">
        <v>0</v>
      </c>
    </row>
    <row r="309" spans="1:16">
      <c r="A309" s="1">
        <v>1</v>
      </c>
      <c r="B309" s="1">
        <v>3</v>
      </c>
      <c r="I309" s="1">
        <v>0</v>
      </c>
      <c r="J309" s="1">
        <v>0</v>
      </c>
      <c r="K309" s="1">
        <v>0</v>
      </c>
      <c r="L309" s="1">
        <v>0</v>
      </c>
      <c r="M309" s="1">
        <v>0</v>
      </c>
      <c r="N309" s="1">
        <v>0</v>
      </c>
      <c r="O309" s="1">
        <v>0</v>
      </c>
      <c r="P309" s="1">
        <v>0</v>
      </c>
    </row>
    <row r="310" spans="1:16">
      <c r="A310" s="1">
        <v>0</v>
      </c>
      <c r="B310" s="1">
        <v>0</v>
      </c>
      <c r="I310" s="1">
        <v>0</v>
      </c>
      <c r="J310" s="1">
        <v>0</v>
      </c>
      <c r="K310" s="1">
        <v>0</v>
      </c>
      <c r="L310" s="1">
        <v>0</v>
      </c>
      <c r="M310" s="1">
        <v>3</v>
      </c>
      <c r="N310" s="1">
        <v>0</v>
      </c>
      <c r="O310" s="1">
        <v>0</v>
      </c>
      <c r="P310" s="1">
        <v>0</v>
      </c>
    </row>
    <row r="311" spans="1:16">
      <c r="A311" s="1">
        <v>0.75</v>
      </c>
      <c r="B311" s="1">
        <v>2.25</v>
      </c>
      <c r="I311" s="1">
        <v>0</v>
      </c>
      <c r="J311" s="1">
        <v>0.5</v>
      </c>
      <c r="K311" s="1">
        <v>1</v>
      </c>
      <c r="L311" s="1">
        <v>0</v>
      </c>
      <c r="M311" s="1">
        <v>0</v>
      </c>
      <c r="N311" s="1">
        <v>0</v>
      </c>
      <c r="O311" s="1">
        <v>0</v>
      </c>
      <c r="P311" s="1">
        <v>0</v>
      </c>
    </row>
    <row r="312" spans="1:16">
      <c r="A312" s="1">
        <v>0.5</v>
      </c>
      <c r="B312" s="1">
        <v>0.75</v>
      </c>
      <c r="I312" s="1">
        <v>0</v>
      </c>
      <c r="J312" s="1">
        <v>0</v>
      </c>
      <c r="K312" s="1">
        <v>0</v>
      </c>
      <c r="L312" s="1">
        <v>0</v>
      </c>
      <c r="M312" s="1">
        <v>3</v>
      </c>
      <c r="N312" s="1">
        <v>0</v>
      </c>
      <c r="O312" s="1">
        <v>0</v>
      </c>
      <c r="P312" s="1">
        <v>0</v>
      </c>
    </row>
    <row r="313" spans="1:16">
      <c r="A313" s="1">
        <v>3</v>
      </c>
      <c r="B313" s="1">
        <v>9</v>
      </c>
      <c r="I313" s="1">
        <v>0</v>
      </c>
      <c r="J313" s="1">
        <v>0</v>
      </c>
      <c r="K313" s="1">
        <v>0</v>
      </c>
      <c r="L313" s="1">
        <v>0</v>
      </c>
      <c r="M313" s="1">
        <v>0</v>
      </c>
      <c r="N313" s="1">
        <v>0</v>
      </c>
      <c r="O313" s="1">
        <v>0</v>
      </c>
      <c r="P313" s="1">
        <v>0</v>
      </c>
    </row>
    <row r="314" spans="1:16">
      <c r="A314" s="1">
        <v>0</v>
      </c>
      <c r="B314" s="1">
        <v>0</v>
      </c>
      <c r="I314" s="1">
        <v>0</v>
      </c>
      <c r="J314" s="1">
        <v>0</v>
      </c>
      <c r="K314" s="1">
        <v>0</v>
      </c>
      <c r="L314" s="1">
        <v>0</v>
      </c>
      <c r="M314" s="1">
        <v>0</v>
      </c>
      <c r="N314" s="1">
        <v>0</v>
      </c>
      <c r="O314" s="1">
        <v>0</v>
      </c>
      <c r="P314" s="1">
        <v>0</v>
      </c>
    </row>
    <row r="315" spans="1:16">
      <c r="A315" s="1">
        <v>0</v>
      </c>
      <c r="B315" s="1">
        <v>0</v>
      </c>
      <c r="I315" s="1">
        <v>0</v>
      </c>
      <c r="J315" s="1">
        <v>0</v>
      </c>
      <c r="K315" s="1">
        <v>0</v>
      </c>
      <c r="L315" s="1">
        <v>0</v>
      </c>
      <c r="M315" s="1">
        <v>0</v>
      </c>
      <c r="N315" s="1">
        <v>0</v>
      </c>
      <c r="O315" s="1">
        <v>0</v>
      </c>
      <c r="P315" s="1">
        <v>0</v>
      </c>
    </row>
    <row r="316" spans="1:16">
      <c r="A316" s="1">
        <v>0</v>
      </c>
      <c r="B316" s="1">
        <v>0</v>
      </c>
      <c r="I316" s="1">
        <v>0</v>
      </c>
      <c r="J316" s="1">
        <v>0</v>
      </c>
      <c r="K316" s="1">
        <v>0</v>
      </c>
      <c r="L316" s="1">
        <v>0</v>
      </c>
      <c r="M316" s="1">
        <v>0</v>
      </c>
      <c r="N316" s="1">
        <v>0</v>
      </c>
      <c r="O316" s="1">
        <v>0</v>
      </c>
      <c r="P316" s="1">
        <v>0</v>
      </c>
    </row>
    <row r="317" spans="1:16">
      <c r="A317" s="1">
        <v>0</v>
      </c>
      <c r="B317" s="1">
        <v>0</v>
      </c>
      <c r="I317" s="1">
        <v>0</v>
      </c>
      <c r="J317" s="1">
        <v>0</v>
      </c>
      <c r="K317" s="1">
        <v>0</v>
      </c>
      <c r="L317" s="1">
        <v>0</v>
      </c>
      <c r="M317" s="1">
        <v>0</v>
      </c>
      <c r="N317" s="1">
        <v>0</v>
      </c>
      <c r="O317" s="1">
        <v>0</v>
      </c>
      <c r="P317" s="1">
        <v>0</v>
      </c>
    </row>
    <row r="318" spans="1:16">
      <c r="A318" s="1">
        <v>0</v>
      </c>
      <c r="B318" s="1">
        <v>0</v>
      </c>
      <c r="I318" s="1">
        <v>0</v>
      </c>
      <c r="J318" s="1">
        <v>0</v>
      </c>
      <c r="K318" s="1">
        <v>0</v>
      </c>
      <c r="L318" s="1">
        <v>0</v>
      </c>
      <c r="M318" s="1">
        <v>0</v>
      </c>
      <c r="N318" s="1">
        <v>0</v>
      </c>
      <c r="O318" s="1">
        <v>0</v>
      </c>
      <c r="P318" s="1">
        <v>0</v>
      </c>
    </row>
    <row r="319" spans="1:16">
      <c r="A319" s="1">
        <v>0</v>
      </c>
      <c r="B319" s="1">
        <v>0</v>
      </c>
      <c r="I319" s="1">
        <v>0</v>
      </c>
      <c r="J319" s="1">
        <v>0</v>
      </c>
      <c r="K319" s="1">
        <v>0</v>
      </c>
      <c r="L319" s="1">
        <v>0</v>
      </c>
      <c r="M319" s="1">
        <v>0</v>
      </c>
      <c r="N319" s="1">
        <v>0</v>
      </c>
      <c r="O319" s="1">
        <v>0</v>
      </c>
      <c r="P319" s="1">
        <v>0</v>
      </c>
    </row>
    <row r="320" spans="1:16">
      <c r="A320" s="1">
        <v>0</v>
      </c>
      <c r="B320" s="1">
        <v>0</v>
      </c>
      <c r="I320" s="1">
        <v>0</v>
      </c>
      <c r="J320" s="1">
        <v>0</v>
      </c>
      <c r="K320" s="1">
        <v>0</v>
      </c>
      <c r="L320" s="1">
        <v>0</v>
      </c>
      <c r="M320" s="1">
        <v>0</v>
      </c>
      <c r="N320" s="1">
        <v>0</v>
      </c>
      <c r="O320" s="1">
        <v>0</v>
      </c>
      <c r="P320" s="1">
        <v>0</v>
      </c>
    </row>
    <row r="321" spans="1:16">
      <c r="A321" s="1">
        <v>0</v>
      </c>
      <c r="B321" s="1">
        <v>0</v>
      </c>
      <c r="I321" s="1">
        <v>0</v>
      </c>
      <c r="J321" s="1">
        <v>0</v>
      </c>
      <c r="K321" s="1">
        <v>0</v>
      </c>
      <c r="L321" s="1">
        <v>0</v>
      </c>
      <c r="M321" s="1">
        <v>0</v>
      </c>
      <c r="N321" s="1">
        <v>0</v>
      </c>
      <c r="O321" s="1">
        <v>0</v>
      </c>
      <c r="P321" s="1">
        <v>0</v>
      </c>
    </row>
    <row r="322" spans="1:16">
      <c r="A322" s="1">
        <v>0</v>
      </c>
      <c r="B322" s="1">
        <v>0</v>
      </c>
      <c r="I322" s="1">
        <v>0</v>
      </c>
      <c r="J322" s="1">
        <v>0</v>
      </c>
      <c r="K322" s="1">
        <v>0</v>
      </c>
      <c r="L322" s="1">
        <v>0</v>
      </c>
      <c r="M322" s="1">
        <v>0</v>
      </c>
      <c r="N322" s="1">
        <v>0</v>
      </c>
      <c r="O322" s="1">
        <v>0</v>
      </c>
      <c r="P322" s="1">
        <v>0</v>
      </c>
    </row>
    <row r="323" spans="1:16">
      <c r="A323" s="1">
        <v>0</v>
      </c>
      <c r="B323" s="1">
        <v>0</v>
      </c>
      <c r="I323" s="1">
        <v>0</v>
      </c>
      <c r="J323" s="1">
        <v>0</v>
      </c>
      <c r="K323" s="1">
        <v>0</v>
      </c>
      <c r="L323" s="1">
        <v>0</v>
      </c>
      <c r="M323" s="1">
        <v>0</v>
      </c>
      <c r="N323" s="1">
        <v>0</v>
      </c>
      <c r="O323" s="1">
        <v>0</v>
      </c>
      <c r="P323" s="1">
        <v>0</v>
      </c>
    </row>
    <row r="324" spans="1:16">
      <c r="A324" s="1">
        <v>0</v>
      </c>
      <c r="B324" s="1">
        <v>0</v>
      </c>
      <c r="I324" s="1">
        <v>0</v>
      </c>
      <c r="J324" s="1">
        <v>0</v>
      </c>
      <c r="K324" s="1">
        <v>0</v>
      </c>
      <c r="L324" s="1">
        <v>0</v>
      </c>
      <c r="M324" s="1">
        <v>0</v>
      </c>
      <c r="N324" s="1">
        <v>0</v>
      </c>
      <c r="O324" s="1">
        <v>0</v>
      </c>
      <c r="P324" s="1">
        <v>0</v>
      </c>
    </row>
    <row r="325" spans="1:16">
      <c r="A325" s="1">
        <v>0</v>
      </c>
      <c r="B325" s="1">
        <v>0</v>
      </c>
      <c r="I325" s="1">
        <v>0</v>
      </c>
      <c r="J325" s="1">
        <v>0</v>
      </c>
      <c r="K325" s="1">
        <v>0</v>
      </c>
      <c r="L325" s="1">
        <v>0</v>
      </c>
      <c r="M325" s="1">
        <v>0</v>
      </c>
      <c r="N325" s="1">
        <v>0</v>
      </c>
      <c r="O325" s="1">
        <v>0</v>
      </c>
      <c r="P325" s="1">
        <v>0</v>
      </c>
    </row>
    <row r="326" spans="1:16">
      <c r="A326" s="1">
        <v>0</v>
      </c>
      <c r="B326" s="1">
        <v>0</v>
      </c>
      <c r="I326" s="1">
        <v>0</v>
      </c>
      <c r="J326" s="1">
        <v>0</v>
      </c>
      <c r="K326" s="1">
        <v>0</v>
      </c>
      <c r="L326" s="1">
        <v>0</v>
      </c>
      <c r="M326" s="1">
        <v>3</v>
      </c>
      <c r="N326" s="1">
        <v>0</v>
      </c>
      <c r="O326" s="1">
        <v>0</v>
      </c>
      <c r="P326" s="1">
        <v>0</v>
      </c>
    </row>
    <row r="327" spans="1:16">
      <c r="A327" s="1">
        <v>3</v>
      </c>
      <c r="B327" s="1">
        <v>9</v>
      </c>
      <c r="I327" s="1">
        <v>0</v>
      </c>
      <c r="J327" s="1">
        <v>0</v>
      </c>
      <c r="K327" s="1">
        <v>0</v>
      </c>
      <c r="L327" s="1">
        <v>0</v>
      </c>
      <c r="M327" s="1">
        <v>0</v>
      </c>
      <c r="N327" s="1">
        <v>0</v>
      </c>
      <c r="O327" s="1">
        <v>0</v>
      </c>
      <c r="P327" s="1">
        <v>0</v>
      </c>
    </row>
    <row r="328" spans="1:16">
      <c r="A328" s="1">
        <v>0</v>
      </c>
      <c r="B328" s="1">
        <v>0</v>
      </c>
      <c r="I328" s="1">
        <v>0</v>
      </c>
      <c r="J328" s="1">
        <v>0</v>
      </c>
      <c r="K328" s="1">
        <v>0</v>
      </c>
      <c r="L328" s="1">
        <v>0</v>
      </c>
      <c r="M328" s="1">
        <v>3</v>
      </c>
      <c r="N328" s="1">
        <v>0</v>
      </c>
      <c r="O328" s="1">
        <v>0</v>
      </c>
      <c r="P328" s="1">
        <v>0</v>
      </c>
    </row>
    <row r="329" spans="1:16">
      <c r="A329" s="1">
        <v>3</v>
      </c>
      <c r="B329" s="1">
        <v>9</v>
      </c>
      <c r="I329" s="1">
        <v>0</v>
      </c>
      <c r="J329" s="1">
        <v>0</v>
      </c>
      <c r="K329" s="1">
        <v>0</v>
      </c>
      <c r="L329" s="1">
        <v>0</v>
      </c>
      <c r="M329" s="1">
        <v>0</v>
      </c>
      <c r="N329" s="1">
        <v>0</v>
      </c>
      <c r="O329" s="1">
        <v>0</v>
      </c>
      <c r="P329" s="1">
        <v>0</v>
      </c>
    </row>
    <row r="330" spans="1:16">
      <c r="A330" s="1">
        <v>0</v>
      </c>
      <c r="B330" s="1">
        <v>0</v>
      </c>
      <c r="I330" s="1">
        <v>0</v>
      </c>
      <c r="J330" s="1">
        <v>0</v>
      </c>
      <c r="K330" s="1">
        <v>0</v>
      </c>
      <c r="L330" s="1">
        <v>0</v>
      </c>
      <c r="M330" s="1">
        <v>0</v>
      </c>
      <c r="N330" s="1">
        <v>0</v>
      </c>
      <c r="O330" s="1">
        <v>0</v>
      </c>
      <c r="P330" s="1">
        <v>0</v>
      </c>
    </row>
    <row r="331" spans="1:16">
      <c r="A331" s="1">
        <v>0</v>
      </c>
      <c r="B331" s="1">
        <v>0</v>
      </c>
      <c r="I331" s="1">
        <v>0</v>
      </c>
      <c r="J331" s="1">
        <v>0</v>
      </c>
      <c r="K331" s="1">
        <v>0</v>
      </c>
      <c r="L331" s="1">
        <v>0</v>
      </c>
      <c r="M331" s="1">
        <v>0</v>
      </c>
      <c r="N331" s="1">
        <v>0</v>
      </c>
      <c r="O331" s="1">
        <v>0</v>
      </c>
      <c r="P331" s="1">
        <v>0</v>
      </c>
    </row>
    <row r="332" spans="1:16">
      <c r="A332" s="1">
        <v>0</v>
      </c>
      <c r="B332" s="1">
        <v>0</v>
      </c>
      <c r="I332" s="1">
        <v>0</v>
      </c>
      <c r="J332" s="1">
        <v>0</v>
      </c>
      <c r="K332" s="1">
        <v>1</v>
      </c>
      <c r="L332" s="1">
        <v>0</v>
      </c>
      <c r="M332" s="1">
        <v>0</v>
      </c>
      <c r="N332" s="1">
        <v>2</v>
      </c>
      <c r="O332" s="1">
        <v>0</v>
      </c>
      <c r="P332" s="1">
        <v>0</v>
      </c>
    </row>
    <row r="333" spans="1:16">
      <c r="A333" s="1">
        <v>1.5</v>
      </c>
      <c r="B333" s="1">
        <v>2.5</v>
      </c>
      <c r="I333" s="1">
        <v>0</v>
      </c>
      <c r="J333" s="1">
        <v>0</v>
      </c>
      <c r="K333" s="1">
        <v>0</v>
      </c>
      <c r="L333" s="1">
        <v>0</v>
      </c>
      <c r="M333" s="1">
        <v>0</v>
      </c>
      <c r="N333" s="1">
        <v>0</v>
      </c>
      <c r="O333" s="1">
        <v>0</v>
      </c>
      <c r="P333" s="1">
        <v>0</v>
      </c>
    </row>
    <row r="334" spans="1:16">
      <c r="A334" s="1">
        <v>0</v>
      </c>
      <c r="B334" s="1">
        <v>0</v>
      </c>
      <c r="I334" s="1">
        <v>0</v>
      </c>
      <c r="J334" s="1">
        <v>0</v>
      </c>
      <c r="K334" s="1">
        <v>0</v>
      </c>
      <c r="L334" s="1">
        <v>0</v>
      </c>
      <c r="M334" s="1">
        <v>0</v>
      </c>
      <c r="N334" s="1">
        <v>0</v>
      </c>
      <c r="O334" s="1">
        <v>0</v>
      </c>
      <c r="P334" s="1">
        <v>0</v>
      </c>
    </row>
    <row r="335" spans="1:16">
      <c r="A335" s="1">
        <v>0</v>
      </c>
      <c r="B335" s="1">
        <v>0</v>
      </c>
      <c r="I335" s="1">
        <v>0</v>
      </c>
      <c r="J335" s="1">
        <v>0</v>
      </c>
      <c r="K335" s="1">
        <v>3</v>
      </c>
      <c r="L335" s="1">
        <v>0</v>
      </c>
      <c r="M335" s="1">
        <v>0</v>
      </c>
      <c r="N335" s="1">
        <v>0</v>
      </c>
      <c r="O335" s="1">
        <v>0</v>
      </c>
      <c r="P335" s="1">
        <v>0</v>
      </c>
    </row>
    <row r="336" spans="1:16">
      <c r="A336" s="1">
        <v>0.75</v>
      </c>
      <c r="B336" s="1">
        <v>2.25</v>
      </c>
      <c r="I336" s="1">
        <v>0</v>
      </c>
      <c r="J336" s="1">
        <v>0</v>
      </c>
      <c r="K336" s="1">
        <v>3</v>
      </c>
      <c r="L336" s="1">
        <v>0</v>
      </c>
      <c r="M336" s="1">
        <v>0</v>
      </c>
      <c r="N336" s="1">
        <v>0</v>
      </c>
      <c r="O336" s="1">
        <v>0</v>
      </c>
      <c r="P336" s="1">
        <v>0</v>
      </c>
    </row>
    <row r="337" spans="1:16">
      <c r="A337" s="1">
        <v>1</v>
      </c>
      <c r="B337" s="1">
        <v>3</v>
      </c>
      <c r="I337" s="1">
        <v>0</v>
      </c>
      <c r="J337" s="1">
        <v>0</v>
      </c>
      <c r="K337" s="1">
        <v>3</v>
      </c>
      <c r="L337" s="1">
        <v>0</v>
      </c>
      <c r="M337" s="1">
        <v>0</v>
      </c>
      <c r="N337" s="1">
        <v>0</v>
      </c>
      <c r="O337" s="1">
        <v>0</v>
      </c>
      <c r="P337" s="1">
        <v>0</v>
      </c>
    </row>
    <row r="338" spans="1:16">
      <c r="A338" s="1">
        <v>3</v>
      </c>
      <c r="B338" s="1">
        <v>9</v>
      </c>
      <c r="I338" s="1">
        <v>0</v>
      </c>
      <c r="J338" s="1">
        <v>0</v>
      </c>
      <c r="K338" s="1">
        <v>0</v>
      </c>
      <c r="L338" s="1">
        <v>0</v>
      </c>
      <c r="M338" s="1">
        <v>0</v>
      </c>
      <c r="N338" s="1">
        <v>0</v>
      </c>
      <c r="O338" s="1">
        <v>0</v>
      </c>
      <c r="P338" s="1">
        <v>0</v>
      </c>
    </row>
    <row r="339" spans="1:16">
      <c r="A339" s="1">
        <v>0</v>
      </c>
      <c r="B339" s="1">
        <v>0</v>
      </c>
      <c r="I339" s="1">
        <v>0</v>
      </c>
      <c r="J339" s="1">
        <v>1</v>
      </c>
      <c r="K339" s="1">
        <v>0</v>
      </c>
      <c r="L339" s="1">
        <v>0</v>
      </c>
      <c r="M339" s="1">
        <v>0</v>
      </c>
      <c r="N339" s="1">
        <v>0</v>
      </c>
      <c r="O339" s="1">
        <v>0</v>
      </c>
      <c r="P339" s="1">
        <v>0</v>
      </c>
    </row>
    <row r="340" spans="1:16">
      <c r="A340" s="1">
        <v>1</v>
      </c>
      <c r="B340" s="1">
        <v>0</v>
      </c>
      <c r="I340" s="1">
        <v>0</v>
      </c>
      <c r="J340" s="1">
        <v>0</v>
      </c>
      <c r="K340" s="1">
        <v>0</v>
      </c>
      <c r="L340" s="1">
        <v>0</v>
      </c>
      <c r="M340" s="1">
        <v>0</v>
      </c>
      <c r="N340" s="1">
        <v>0</v>
      </c>
      <c r="O340" s="1">
        <v>0</v>
      </c>
      <c r="P340" s="1">
        <v>0</v>
      </c>
    </row>
    <row r="341" spans="1:16">
      <c r="A341" s="1">
        <v>0</v>
      </c>
      <c r="B341" s="1">
        <v>0</v>
      </c>
      <c r="I341" s="1">
        <v>0</v>
      </c>
      <c r="J341" s="1">
        <v>2</v>
      </c>
      <c r="K341" s="1">
        <v>1</v>
      </c>
      <c r="L341" s="1">
        <v>0</v>
      </c>
      <c r="M341" s="1">
        <v>0</v>
      </c>
      <c r="N341" s="1">
        <v>0</v>
      </c>
      <c r="O341" s="1">
        <v>0</v>
      </c>
      <c r="P341" s="1">
        <v>0</v>
      </c>
    </row>
    <row r="342" spans="1:16">
      <c r="A342" s="1">
        <v>1</v>
      </c>
      <c r="B342" s="1">
        <v>1</v>
      </c>
      <c r="I342" s="1">
        <v>0</v>
      </c>
      <c r="J342" s="1">
        <v>0</v>
      </c>
      <c r="K342" s="1">
        <v>1</v>
      </c>
      <c r="L342" s="1">
        <v>0</v>
      </c>
      <c r="M342" s="1">
        <v>0</v>
      </c>
      <c r="N342" s="1">
        <v>0</v>
      </c>
      <c r="O342" s="1">
        <v>0</v>
      </c>
      <c r="P342" s="1">
        <v>0</v>
      </c>
    </row>
    <row r="343" spans="1:16">
      <c r="A343" s="1">
        <v>0.33333333300000001</v>
      </c>
      <c r="B343" s="1">
        <v>1</v>
      </c>
      <c r="I343" s="1">
        <v>0</v>
      </c>
      <c r="J343" s="1">
        <v>0</v>
      </c>
      <c r="K343" s="1">
        <v>1</v>
      </c>
      <c r="L343" s="1">
        <v>0</v>
      </c>
      <c r="M343" s="1">
        <v>0</v>
      </c>
      <c r="N343" s="1">
        <v>0</v>
      </c>
      <c r="O343" s="1">
        <v>0</v>
      </c>
      <c r="P343" s="1">
        <v>0</v>
      </c>
    </row>
    <row r="344" spans="1:16">
      <c r="A344" s="1">
        <v>0.2</v>
      </c>
      <c r="B344" s="1">
        <v>0.6</v>
      </c>
      <c r="I344" s="1">
        <v>0</v>
      </c>
      <c r="J344" s="1">
        <v>1</v>
      </c>
      <c r="K344" s="1">
        <v>0</v>
      </c>
      <c r="L344" s="1">
        <v>0</v>
      </c>
      <c r="M344" s="1">
        <v>0</v>
      </c>
      <c r="N344" s="1">
        <v>0</v>
      </c>
      <c r="O344" s="1">
        <v>0</v>
      </c>
      <c r="P344" s="1">
        <v>0</v>
      </c>
    </row>
    <row r="345" spans="1:16">
      <c r="A345" s="1">
        <v>0.2</v>
      </c>
      <c r="B345" s="1">
        <v>0</v>
      </c>
      <c r="I345" s="1">
        <v>0</v>
      </c>
      <c r="J345" s="1">
        <v>0</v>
      </c>
      <c r="K345" s="1">
        <v>3</v>
      </c>
      <c r="L345" s="1">
        <v>0</v>
      </c>
      <c r="M345" s="1">
        <v>0</v>
      </c>
      <c r="N345" s="1">
        <v>0</v>
      </c>
      <c r="O345" s="1">
        <v>0</v>
      </c>
      <c r="P345" s="1">
        <v>0</v>
      </c>
    </row>
    <row r="346" spans="1:16">
      <c r="A346" s="1">
        <v>3</v>
      </c>
      <c r="B346" s="1">
        <v>9</v>
      </c>
      <c r="I346" s="1">
        <v>0</v>
      </c>
      <c r="J346" s="1">
        <v>0</v>
      </c>
      <c r="K346" s="1">
        <v>3</v>
      </c>
      <c r="L346" s="1">
        <v>0</v>
      </c>
      <c r="M346" s="1">
        <v>0</v>
      </c>
      <c r="N346" s="1">
        <v>0</v>
      </c>
      <c r="O346" s="1">
        <v>0</v>
      </c>
      <c r="P346" s="1">
        <v>0</v>
      </c>
    </row>
    <row r="347" spans="1:16">
      <c r="A347" s="1">
        <v>3</v>
      </c>
      <c r="B347" s="1">
        <v>9</v>
      </c>
      <c r="I347" s="1">
        <v>0</v>
      </c>
      <c r="J347" s="1">
        <v>0</v>
      </c>
      <c r="K347" s="1">
        <v>0</v>
      </c>
      <c r="L347" s="1">
        <v>0</v>
      </c>
      <c r="M347" s="1">
        <v>0</v>
      </c>
      <c r="N347" s="1">
        <v>0</v>
      </c>
      <c r="O347" s="1">
        <v>0</v>
      </c>
      <c r="P347" s="1">
        <v>0</v>
      </c>
    </row>
    <row r="348" spans="1:16">
      <c r="A348" s="1">
        <v>0</v>
      </c>
      <c r="B348" s="1">
        <v>0</v>
      </c>
      <c r="I348" s="1">
        <v>0</v>
      </c>
      <c r="J348" s="1">
        <v>0</v>
      </c>
      <c r="K348" s="1">
        <v>1</v>
      </c>
      <c r="L348" s="1">
        <v>0</v>
      </c>
      <c r="M348" s="1">
        <v>0</v>
      </c>
      <c r="N348" s="1">
        <v>0</v>
      </c>
      <c r="O348" s="1">
        <v>0</v>
      </c>
      <c r="P348" s="1">
        <v>0</v>
      </c>
    </row>
    <row r="349" spans="1:16">
      <c r="A349" s="1">
        <v>0.5</v>
      </c>
      <c r="B349" s="1">
        <v>1.5</v>
      </c>
      <c r="I349" s="1">
        <v>0</v>
      </c>
      <c r="J349" s="1">
        <v>0</v>
      </c>
      <c r="K349" s="1">
        <v>1</v>
      </c>
      <c r="L349" s="1">
        <v>0</v>
      </c>
      <c r="M349" s="1">
        <v>0</v>
      </c>
      <c r="N349" s="1">
        <v>0</v>
      </c>
      <c r="O349" s="1">
        <v>0</v>
      </c>
      <c r="P349" s="1">
        <v>0</v>
      </c>
    </row>
    <row r="350" spans="1:16">
      <c r="A350" s="1">
        <v>0.5</v>
      </c>
      <c r="B350" s="1">
        <v>1.5</v>
      </c>
      <c r="I350" s="1">
        <v>0</v>
      </c>
      <c r="J350" s="1">
        <v>0</v>
      </c>
      <c r="K350" s="1">
        <v>0</v>
      </c>
      <c r="L350" s="1">
        <v>0</v>
      </c>
      <c r="M350" s="1">
        <v>0</v>
      </c>
      <c r="N350" s="1">
        <v>0</v>
      </c>
      <c r="O350" s="1">
        <v>0</v>
      </c>
      <c r="P350" s="1">
        <v>0</v>
      </c>
    </row>
    <row r="351" spans="1:16">
      <c r="A351" s="1">
        <v>0</v>
      </c>
      <c r="B351" s="1">
        <v>0</v>
      </c>
      <c r="I351" s="1">
        <v>0</v>
      </c>
      <c r="J351" s="1">
        <v>0</v>
      </c>
      <c r="K351" s="1">
        <v>1</v>
      </c>
      <c r="L351" s="1">
        <v>0</v>
      </c>
      <c r="M351" s="1">
        <v>0</v>
      </c>
      <c r="N351" s="1">
        <v>0</v>
      </c>
      <c r="O351" s="1">
        <v>0</v>
      </c>
      <c r="P351" s="1">
        <v>0</v>
      </c>
    </row>
    <row r="352" spans="1:16">
      <c r="A352" s="1">
        <v>1</v>
      </c>
      <c r="B352" s="1">
        <v>3</v>
      </c>
      <c r="I352" s="1">
        <v>0</v>
      </c>
      <c r="J352" s="1">
        <v>0</v>
      </c>
      <c r="K352" s="1">
        <v>0</v>
      </c>
      <c r="L352" s="1">
        <v>0</v>
      </c>
      <c r="M352" s="1">
        <v>0</v>
      </c>
      <c r="N352" s="1">
        <v>0</v>
      </c>
      <c r="O352" s="1">
        <v>0</v>
      </c>
      <c r="P352" s="1">
        <v>0</v>
      </c>
    </row>
    <row r="353" spans="1:16">
      <c r="A353" s="1">
        <v>0</v>
      </c>
      <c r="B353" s="1">
        <v>0</v>
      </c>
      <c r="I353" s="1">
        <v>0</v>
      </c>
      <c r="J353" s="1">
        <v>0</v>
      </c>
      <c r="K353" s="1">
        <v>0</v>
      </c>
      <c r="L353" s="1">
        <v>0</v>
      </c>
      <c r="M353" s="1">
        <v>0</v>
      </c>
      <c r="N353" s="1">
        <v>0</v>
      </c>
      <c r="O353" s="1">
        <v>0</v>
      </c>
      <c r="P353" s="1">
        <v>0</v>
      </c>
    </row>
    <row r="354" spans="1:16">
      <c r="A354" s="1">
        <v>0</v>
      </c>
      <c r="B354" s="1">
        <v>0</v>
      </c>
      <c r="I354" s="1">
        <v>0</v>
      </c>
      <c r="J354" s="1">
        <v>0</v>
      </c>
      <c r="K354" s="1">
        <v>0</v>
      </c>
      <c r="L354" s="1">
        <v>0</v>
      </c>
      <c r="M354" s="1">
        <v>0</v>
      </c>
      <c r="N354" s="1">
        <v>0</v>
      </c>
      <c r="O354" s="1">
        <v>0</v>
      </c>
      <c r="P354" s="1">
        <v>0</v>
      </c>
    </row>
    <row r="355" spans="1:16">
      <c r="A355" s="1">
        <v>0</v>
      </c>
      <c r="B355" s="1">
        <v>0</v>
      </c>
      <c r="I355" s="1">
        <v>0</v>
      </c>
      <c r="J355" s="1">
        <v>0</v>
      </c>
      <c r="K355" s="1">
        <v>0</v>
      </c>
      <c r="L355" s="1">
        <v>0</v>
      </c>
      <c r="M355" s="1">
        <v>0</v>
      </c>
      <c r="N355" s="1">
        <v>0</v>
      </c>
      <c r="O355" s="1">
        <v>0</v>
      </c>
      <c r="P355" s="1">
        <v>0</v>
      </c>
    </row>
    <row r="356" spans="1:16">
      <c r="A356" s="1">
        <v>0</v>
      </c>
      <c r="B356" s="1">
        <v>0</v>
      </c>
      <c r="I356" s="1">
        <v>0</v>
      </c>
      <c r="J356" s="1">
        <v>0</v>
      </c>
      <c r="K356" s="1">
        <v>0</v>
      </c>
      <c r="L356" s="1">
        <v>0</v>
      </c>
      <c r="M356" s="1">
        <v>0</v>
      </c>
      <c r="N356" s="1">
        <v>0</v>
      </c>
      <c r="O356" s="1">
        <v>0</v>
      </c>
      <c r="P356" s="1">
        <v>0</v>
      </c>
    </row>
    <row r="357" spans="1:16">
      <c r="A357" s="1">
        <v>0</v>
      </c>
      <c r="B357" s="1">
        <v>0</v>
      </c>
      <c r="I357" s="1">
        <v>0</v>
      </c>
      <c r="J357" s="1">
        <v>0</v>
      </c>
      <c r="K357" s="1">
        <v>0</v>
      </c>
      <c r="L357" s="1">
        <v>0</v>
      </c>
      <c r="M357" s="1">
        <v>0</v>
      </c>
      <c r="N357" s="1">
        <v>0</v>
      </c>
      <c r="O357" s="1">
        <v>0</v>
      </c>
      <c r="P357" s="1">
        <v>0</v>
      </c>
    </row>
    <row r="358" spans="1:16">
      <c r="A358" s="1">
        <v>0</v>
      </c>
      <c r="B358" s="1">
        <v>0</v>
      </c>
      <c r="I358" s="1">
        <v>0.5</v>
      </c>
      <c r="J358" s="1">
        <v>0</v>
      </c>
      <c r="K358" s="1">
        <v>0</v>
      </c>
      <c r="L358" s="1">
        <v>0</v>
      </c>
      <c r="M358" s="1">
        <v>0</v>
      </c>
      <c r="N358" s="1">
        <v>0</v>
      </c>
      <c r="O358" s="1">
        <v>0</v>
      </c>
      <c r="P358" s="1">
        <v>0</v>
      </c>
    </row>
    <row r="359" spans="1:16">
      <c r="A359" s="1">
        <v>0.5</v>
      </c>
      <c r="B359" s="1">
        <v>0</v>
      </c>
      <c r="I359" s="1">
        <v>0</v>
      </c>
      <c r="J359" s="1">
        <v>0</v>
      </c>
      <c r="K359" s="1">
        <v>0</v>
      </c>
      <c r="L359" s="1">
        <v>0</v>
      </c>
      <c r="M359" s="1">
        <v>0</v>
      </c>
      <c r="N359" s="1">
        <v>0</v>
      </c>
      <c r="O359" s="1">
        <v>0</v>
      </c>
      <c r="P359" s="1">
        <v>0</v>
      </c>
    </row>
    <row r="360" spans="1:16">
      <c r="A360" s="1">
        <v>0</v>
      </c>
      <c r="B360" s="1">
        <v>0</v>
      </c>
      <c r="I360" s="1">
        <v>0</v>
      </c>
      <c r="J360" s="1">
        <v>0</v>
      </c>
      <c r="K360" s="1">
        <v>0</v>
      </c>
      <c r="L360" s="1">
        <v>0</v>
      </c>
      <c r="M360" s="1">
        <v>0</v>
      </c>
      <c r="N360" s="1">
        <v>0</v>
      </c>
      <c r="O360" s="1">
        <v>0</v>
      </c>
      <c r="P360" s="1">
        <v>0</v>
      </c>
    </row>
    <row r="361" spans="1:16">
      <c r="A361" s="1">
        <v>0</v>
      </c>
      <c r="B361" s="1">
        <v>0</v>
      </c>
      <c r="I361" s="1">
        <v>0</v>
      </c>
      <c r="J361" s="1">
        <v>1</v>
      </c>
      <c r="K361" s="1">
        <v>0</v>
      </c>
      <c r="L361" s="1">
        <v>0</v>
      </c>
      <c r="M361" s="1">
        <v>0</v>
      </c>
      <c r="N361" s="1">
        <v>0</v>
      </c>
      <c r="O361" s="1">
        <v>0</v>
      </c>
      <c r="P361" s="1">
        <v>0</v>
      </c>
    </row>
    <row r="362" spans="1:16">
      <c r="A362" s="1">
        <v>0.5</v>
      </c>
      <c r="B362" s="1">
        <v>0</v>
      </c>
      <c r="I362" s="1">
        <v>0</v>
      </c>
      <c r="J362" s="1">
        <v>1</v>
      </c>
      <c r="K362" s="1">
        <v>0</v>
      </c>
      <c r="L362" s="1">
        <v>0</v>
      </c>
      <c r="M362" s="1">
        <v>0</v>
      </c>
      <c r="N362" s="1">
        <v>0</v>
      </c>
      <c r="O362" s="1">
        <v>0</v>
      </c>
      <c r="P362" s="1">
        <v>0</v>
      </c>
    </row>
    <row r="363" spans="1:16">
      <c r="A363" s="1">
        <v>1</v>
      </c>
      <c r="B363" s="1">
        <v>0</v>
      </c>
      <c r="I363" s="1">
        <v>0</v>
      </c>
      <c r="J363" s="1">
        <v>0</v>
      </c>
      <c r="K363" s="1">
        <v>0</v>
      </c>
      <c r="L363" s="1">
        <v>0</v>
      </c>
      <c r="M363" s="1">
        <v>0</v>
      </c>
      <c r="N363" s="1">
        <v>0</v>
      </c>
      <c r="O363" s="1">
        <v>0</v>
      </c>
      <c r="P363" s="1">
        <v>0</v>
      </c>
    </row>
    <row r="364" spans="1:16">
      <c r="A364" s="1">
        <v>0</v>
      </c>
      <c r="B364" s="1">
        <v>0</v>
      </c>
      <c r="I364" s="1">
        <v>0</v>
      </c>
      <c r="J364" s="1">
        <v>0</v>
      </c>
      <c r="K364" s="1">
        <v>0</v>
      </c>
      <c r="L364" s="1">
        <v>0</v>
      </c>
      <c r="M364" s="1">
        <v>0</v>
      </c>
      <c r="N364" s="1">
        <v>0</v>
      </c>
      <c r="O364" s="1">
        <v>0</v>
      </c>
      <c r="P364" s="1">
        <v>0</v>
      </c>
    </row>
    <row r="365" spans="1:16">
      <c r="A365" s="1">
        <v>0</v>
      </c>
      <c r="B365" s="1">
        <v>0</v>
      </c>
      <c r="I365" s="1">
        <v>0</v>
      </c>
      <c r="J365" s="1">
        <v>0</v>
      </c>
      <c r="K365" s="1">
        <v>0</v>
      </c>
      <c r="L365" s="1">
        <v>0</v>
      </c>
      <c r="M365" s="1">
        <v>0</v>
      </c>
      <c r="N365" s="1">
        <v>0</v>
      </c>
      <c r="O365" s="1">
        <v>0</v>
      </c>
      <c r="P365" s="1">
        <v>0</v>
      </c>
    </row>
    <row r="366" spans="1:16">
      <c r="A366" s="1">
        <v>0</v>
      </c>
      <c r="B366" s="1">
        <v>0</v>
      </c>
      <c r="I366" s="1">
        <v>0</v>
      </c>
      <c r="J366" s="1">
        <v>0</v>
      </c>
      <c r="K366" s="1">
        <v>0</v>
      </c>
      <c r="L366" s="1">
        <v>0</v>
      </c>
      <c r="M366" s="1">
        <v>0</v>
      </c>
      <c r="N366" s="1">
        <v>0</v>
      </c>
      <c r="O366" s="1">
        <v>0</v>
      </c>
      <c r="P366" s="1">
        <v>0</v>
      </c>
    </row>
    <row r="367" spans="1:16">
      <c r="A367" s="1">
        <v>0</v>
      </c>
      <c r="B367" s="1">
        <v>0</v>
      </c>
      <c r="I367" s="1">
        <v>0</v>
      </c>
      <c r="J367" s="1">
        <v>0</v>
      </c>
      <c r="K367" s="1">
        <v>0</v>
      </c>
      <c r="L367" s="1">
        <v>0</v>
      </c>
      <c r="M367" s="1">
        <v>0</v>
      </c>
      <c r="N367" s="1">
        <v>0</v>
      </c>
      <c r="O367" s="1">
        <v>0</v>
      </c>
      <c r="P367" s="1">
        <v>0</v>
      </c>
    </row>
    <row r="368" spans="1:16">
      <c r="A368" s="1">
        <v>0</v>
      </c>
      <c r="B368" s="1">
        <v>0</v>
      </c>
      <c r="I368" s="1">
        <v>0</v>
      </c>
      <c r="J368" s="1">
        <v>0</v>
      </c>
      <c r="K368" s="1">
        <v>0</v>
      </c>
      <c r="L368" s="1">
        <v>0</v>
      </c>
      <c r="M368" s="1">
        <v>0</v>
      </c>
      <c r="N368" s="1">
        <v>0</v>
      </c>
      <c r="O368" s="1">
        <v>0</v>
      </c>
      <c r="P368" s="1">
        <v>0</v>
      </c>
    </row>
    <row r="369" spans="1:16">
      <c r="A369" s="1">
        <v>0</v>
      </c>
      <c r="B369" s="1">
        <v>0</v>
      </c>
      <c r="I369" s="1">
        <v>0</v>
      </c>
      <c r="J369" s="1">
        <v>0</v>
      </c>
      <c r="K369" s="1">
        <v>0</v>
      </c>
      <c r="L369" s="1">
        <v>0</v>
      </c>
      <c r="M369" s="1">
        <v>0</v>
      </c>
      <c r="N369" s="1">
        <v>0</v>
      </c>
      <c r="O369" s="1">
        <v>0</v>
      </c>
      <c r="P369" s="1">
        <v>0</v>
      </c>
    </row>
    <row r="370" spans="1:16">
      <c r="A370" s="1">
        <v>0</v>
      </c>
      <c r="B370" s="1">
        <v>0</v>
      </c>
      <c r="I370" s="1">
        <v>0</v>
      </c>
      <c r="J370" s="1">
        <v>0</v>
      </c>
      <c r="K370" s="1">
        <v>0</v>
      </c>
      <c r="L370" s="1">
        <v>0</v>
      </c>
      <c r="M370" s="1">
        <v>0</v>
      </c>
      <c r="N370" s="1">
        <v>0</v>
      </c>
      <c r="O370" s="1">
        <v>0</v>
      </c>
      <c r="P370" s="1">
        <v>0</v>
      </c>
    </row>
    <row r="371" spans="1:16">
      <c r="A371" s="1">
        <v>0</v>
      </c>
      <c r="B371" s="1">
        <v>0</v>
      </c>
      <c r="I371" s="1">
        <v>0</v>
      </c>
      <c r="J371" s="1">
        <v>0</v>
      </c>
      <c r="K371" s="1">
        <v>0</v>
      </c>
      <c r="L371" s="1">
        <v>0</v>
      </c>
      <c r="M371" s="1">
        <v>0</v>
      </c>
      <c r="N371" s="1">
        <v>0</v>
      </c>
      <c r="O371" s="1">
        <v>0</v>
      </c>
      <c r="P371" s="1">
        <v>0</v>
      </c>
    </row>
    <row r="372" spans="1:16">
      <c r="A372" s="1">
        <v>0</v>
      </c>
      <c r="B372" s="1">
        <v>0</v>
      </c>
      <c r="I372" s="1">
        <v>0</v>
      </c>
      <c r="J372" s="1">
        <v>0</v>
      </c>
      <c r="K372" s="1">
        <v>0</v>
      </c>
      <c r="L372" s="1">
        <v>0</v>
      </c>
      <c r="M372" s="1">
        <v>0</v>
      </c>
      <c r="N372" s="1">
        <v>0</v>
      </c>
      <c r="O372" s="1">
        <v>0</v>
      </c>
      <c r="P372" s="1">
        <v>0</v>
      </c>
    </row>
    <row r="373" spans="1:16">
      <c r="A373" s="1">
        <v>0</v>
      </c>
      <c r="B373" s="1">
        <v>0</v>
      </c>
      <c r="I373" s="1">
        <v>0</v>
      </c>
      <c r="J373" s="1">
        <v>0</v>
      </c>
      <c r="K373" s="1">
        <v>3</v>
      </c>
      <c r="L373" s="1">
        <v>0</v>
      </c>
      <c r="M373" s="1">
        <v>0</v>
      </c>
      <c r="N373" s="1">
        <v>0</v>
      </c>
      <c r="O373" s="1">
        <v>0</v>
      </c>
      <c r="P373" s="1">
        <v>0</v>
      </c>
    </row>
    <row r="374" spans="1:16">
      <c r="A374" s="1">
        <v>0.75</v>
      </c>
      <c r="B374" s="1">
        <v>2.25</v>
      </c>
      <c r="I374" s="1">
        <v>0</v>
      </c>
      <c r="J374" s="1">
        <v>0</v>
      </c>
      <c r="K374" s="1">
        <v>0</v>
      </c>
      <c r="L374" s="1">
        <v>0</v>
      </c>
      <c r="M374" s="1">
        <v>0</v>
      </c>
      <c r="N374" s="1">
        <v>0</v>
      </c>
      <c r="O374" s="1">
        <v>0</v>
      </c>
      <c r="P374" s="1">
        <v>0</v>
      </c>
    </row>
    <row r="375" spans="1:16">
      <c r="A375" s="1">
        <v>0</v>
      </c>
      <c r="B375" s="1">
        <v>0</v>
      </c>
      <c r="I375" s="1">
        <v>0</v>
      </c>
      <c r="J375" s="1">
        <v>0</v>
      </c>
      <c r="K375" s="1">
        <v>0</v>
      </c>
      <c r="L375" s="1">
        <v>0</v>
      </c>
      <c r="M375" s="1">
        <v>0</v>
      </c>
      <c r="N375" s="1">
        <v>0</v>
      </c>
      <c r="O375" s="1">
        <v>0</v>
      </c>
      <c r="P375" s="1">
        <v>0</v>
      </c>
    </row>
    <row r="376" spans="1:16">
      <c r="A376" s="1">
        <v>0</v>
      </c>
      <c r="B376" s="1">
        <v>0</v>
      </c>
      <c r="I376" s="1">
        <v>0</v>
      </c>
      <c r="J376" s="1">
        <v>0</v>
      </c>
      <c r="K376" s="1">
        <v>3</v>
      </c>
      <c r="L376" s="1">
        <v>0</v>
      </c>
      <c r="M376" s="1">
        <v>0</v>
      </c>
      <c r="N376" s="1">
        <v>0</v>
      </c>
      <c r="O376" s="1">
        <v>0</v>
      </c>
      <c r="P376" s="1">
        <v>0</v>
      </c>
    </row>
    <row r="377" spans="1:16">
      <c r="A377" s="1">
        <v>3</v>
      </c>
      <c r="B377" s="1">
        <v>9</v>
      </c>
      <c r="I377" s="1">
        <v>0</v>
      </c>
      <c r="J377" s="1">
        <v>0</v>
      </c>
      <c r="K377" s="1">
        <v>3</v>
      </c>
      <c r="L377" s="1">
        <v>0</v>
      </c>
      <c r="M377" s="1">
        <v>0</v>
      </c>
      <c r="N377" s="1">
        <v>0</v>
      </c>
      <c r="O377" s="1">
        <v>0</v>
      </c>
      <c r="P377" s="1">
        <v>0</v>
      </c>
    </row>
    <row r="378" spans="1:16">
      <c r="A378" s="1">
        <v>3</v>
      </c>
      <c r="B378" s="1">
        <v>9</v>
      </c>
      <c r="I378" s="1">
        <v>0</v>
      </c>
      <c r="J378" s="1">
        <v>0</v>
      </c>
      <c r="K378" s="1">
        <v>0</v>
      </c>
      <c r="L378" s="1">
        <v>0</v>
      </c>
      <c r="M378" s="1">
        <v>0</v>
      </c>
      <c r="N378" s="1">
        <v>0</v>
      </c>
      <c r="O378" s="1">
        <v>0</v>
      </c>
      <c r="P378" s="1">
        <v>0</v>
      </c>
    </row>
    <row r="379" spans="1:16">
      <c r="A379" s="1">
        <v>0</v>
      </c>
      <c r="B379" s="1">
        <v>0</v>
      </c>
      <c r="I379" s="1">
        <v>0</v>
      </c>
      <c r="J379" s="1">
        <v>0</v>
      </c>
      <c r="K379" s="1">
        <v>0</v>
      </c>
      <c r="L379" s="1">
        <v>0</v>
      </c>
      <c r="M379" s="1">
        <v>0</v>
      </c>
      <c r="N379" s="1">
        <v>0</v>
      </c>
      <c r="O379" s="1">
        <v>0</v>
      </c>
      <c r="P379" s="1">
        <v>0</v>
      </c>
    </row>
    <row r="380" spans="1:16">
      <c r="A380" s="1">
        <v>0</v>
      </c>
      <c r="B380" s="1">
        <v>0</v>
      </c>
      <c r="I380" s="1">
        <v>0</v>
      </c>
      <c r="J380" s="1">
        <v>0</v>
      </c>
      <c r="K380" s="1">
        <v>0</v>
      </c>
      <c r="L380" s="1">
        <v>0</v>
      </c>
      <c r="M380" s="1">
        <v>0</v>
      </c>
      <c r="N380" s="1">
        <v>0</v>
      </c>
      <c r="O380" s="1">
        <v>0</v>
      </c>
      <c r="P380" s="1">
        <v>0</v>
      </c>
    </row>
    <row r="381" spans="1:16">
      <c r="A381" s="1">
        <v>0</v>
      </c>
      <c r="B381" s="1">
        <v>0</v>
      </c>
      <c r="I381" s="1">
        <v>0</v>
      </c>
      <c r="J381" s="1">
        <v>0</v>
      </c>
      <c r="K381" s="1">
        <v>3</v>
      </c>
      <c r="L381" s="1">
        <v>0</v>
      </c>
      <c r="M381" s="1">
        <v>0</v>
      </c>
      <c r="N381" s="1">
        <v>0</v>
      </c>
      <c r="O381" s="1">
        <v>0</v>
      </c>
      <c r="P381" s="1">
        <v>0</v>
      </c>
    </row>
    <row r="382" spans="1:16">
      <c r="A382" s="1">
        <v>1.5</v>
      </c>
      <c r="B382" s="1">
        <v>4.5</v>
      </c>
      <c r="I382" s="1">
        <v>0</v>
      </c>
      <c r="J382" s="1">
        <v>0</v>
      </c>
      <c r="K382" s="1">
        <v>0</v>
      </c>
      <c r="L382" s="1">
        <v>0</v>
      </c>
      <c r="M382" s="1">
        <v>0</v>
      </c>
      <c r="N382" s="1">
        <v>0</v>
      </c>
      <c r="O382" s="1">
        <v>0</v>
      </c>
      <c r="P382" s="1">
        <v>0</v>
      </c>
    </row>
    <row r="383" spans="1:16">
      <c r="A383" s="1">
        <v>0</v>
      </c>
      <c r="B383" s="1">
        <v>0</v>
      </c>
      <c r="I383" s="1">
        <v>0</v>
      </c>
      <c r="J383" s="1">
        <v>0</v>
      </c>
      <c r="K383" s="1">
        <v>0</v>
      </c>
      <c r="L383" s="1">
        <v>0</v>
      </c>
      <c r="M383" s="1">
        <v>0</v>
      </c>
      <c r="N383" s="1">
        <v>0</v>
      </c>
      <c r="O383" s="1">
        <v>0</v>
      </c>
      <c r="P383" s="1">
        <v>0</v>
      </c>
    </row>
    <row r="384" spans="1:16">
      <c r="A384" s="1">
        <v>0</v>
      </c>
      <c r="B384" s="1">
        <v>0</v>
      </c>
      <c r="I384" s="1">
        <v>0</v>
      </c>
      <c r="J384" s="1">
        <v>0</v>
      </c>
      <c r="K384" s="1">
        <v>0</v>
      </c>
      <c r="L384" s="1">
        <v>0</v>
      </c>
      <c r="M384" s="1">
        <v>0</v>
      </c>
      <c r="N384" s="1">
        <v>0</v>
      </c>
      <c r="O384" s="1">
        <v>0</v>
      </c>
      <c r="P384" s="1">
        <v>0</v>
      </c>
    </row>
    <row r="385" spans="1:16">
      <c r="A385" s="1">
        <v>0</v>
      </c>
      <c r="B385" s="1">
        <v>0</v>
      </c>
      <c r="I385" s="1">
        <v>0</v>
      </c>
      <c r="J385" s="1">
        <v>0</v>
      </c>
      <c r="K385" s="1">
        <v>0</v>
      </c>
      <c r="L385" s="1">
        <v>0</v>
      </c>
      <c r="M385" s="1">
        <v>0</v>
      </c>
      <c r="N385" s="1">
        <v>0</v>
      </c>
      <c r="O385" s="1">
        <v>0</v>
      </c>
      <c r="P385" s="1">
        <v>0</v>
      </c>
    </row>
    <row r="386" spans="1:16">
      <c r="A386" s="1">
        <v>0</v>
      </c>
      <c r="B386" s="1">
        <v>0</v>
      </c>
      <c r="I386" s="1">
        <v>0</v>
      </c>
      <c r="J386" s="1">
        <v>0</v>
      </c>
      <c r="K386" s="1">
        <v>0</v>
      </c>
      <c r="L386" s="1">
        <v>0</v>
      </c>
      <c r="M386" s="1">
        <v>0</v>
      </c>
      <c r="N386" s="1">
        <v>0</v>
      </c>
      <c r="O386" s="1">
        <v>0</v>
      </c>
      <c r="P386" s="1">
        <v>0</v>
      </c>
    </row>
    <row r="387" spans="1:16">
      <c r="A387" s="1">
        <v>0</v>
      </c>
      <c r="B387" s="1">
        <v>0</v>
      </c>
      <c r="I387" s="1">
        <v>0</v>
      </c>
      <c r="J387" s="1">
        <v>0</v>
      </c>
      <c r="K387" s="1">
        <v>3</v>
      </c>
      <c r="L387" s="1">
        <v>0</v>
      </c>
      <c r="M387" s="1">
        <v>0</v>
      </c>
      <c r="N387" s="1">
        <v>0</v>
      </c>
      <c r="O387" s="1">
        <v>0</v>
      </c>
      <c r="P387" s="1">
        <v>0</v>
      </c>
    </row>
    <row r="388" spans="1:16">
      <c r="A388" s="1">
        <v>3</v>
      </c>
      <c r="B388" s="1">
        <v>9</v>
      </c>
      <c r="I388" s="1">
        <v>0</v>
      </c>
      <c r="J388" s="1">
        <v>0</v>
      </c>
      <c r="K388" s="1">
        <v>0</v>
      </c>
      <c r="L388" s="1">
        <v>0</v>
      </c>
      <c r="M388" s="1">
        <v>0</v>
      </c>
      <c r="N388" s="1">
        <v>0</v>
      </c>
      <c r="O388" s="1">
        <v>0</v>
      </c>
      <c r="P388" s="1">
        <v>0</v>
      </c>
    </row>
    <row r="389" spans="1:16">
      <c r="A389" s="1">
        <v>0</v>
      </c>
      <c r="B389" s="1">
        <v>0</v>
      </c>
      <c r="I389" s="1">
        <v>0</v>
      </c>
      <c r="J389" s="1">
        <v>0</v>
      </c>
      <c r="K389" s="1">
        <v>0</v>
      </c>
      <c r="L389" s="1">
        <v>0</v>
      </c>
      <c r="M389" s="1">
        <v>0</v>
      </c>
      <c r="N389" s="1">
        <v>0</v>
      </c>
      <c r="O389" s="1">
        <v>0</v>
      </c>
      <c r="P389" s="1">
        <v>0</v>
      </c>
    </row>
    <row r="390" spans="1:16">
      <c r="A390" s="1">
        <v>0</v>
      </c>
      <c r="B390" s="1">
        <v>0</v>
      </c>
      <c r="I390" s="1">
        <v>0</v>
      </c>
      <c r="J390" s="1">
        <v>0</v>
      </c>
      <c r="K390" s="1">
        <v>0</v>
      </c>
      <c r="L390" s="1">
        <v>0</v>
      </c>
      <c r="M390" s="1">
        <v>0</v>
      </c>
      <c r="N390" s="1">
        <v>0</v>
      </c>
      <c r="O390" s="1">
        <v>0</v>
      </c>
      <c r="P390" s="1">
        <v>0</v>
      </c>
    </row>
    <row r="391" spans="1:16">
      <c r="A391" s="1">
        <v>0</v>
      </c>
      <c r="B391" s="1">
        <v>0</v>
      </c>
      <c r="I391" s="1">
        <v>0</v>
      </c>
      <c r="J391" s="1">
        <v>0</v>
      </c>
      <c r="K391" s="1">
        <v>0</v>
      </c>
      <c r="L391" s="1">
        <v>0</v>
      </c>
      <c r="M391" s="1">
        <v>0</v>
      </c>
      <c r="N391" s="1">
        <v>0</v>
      </c>
      <c r="O391" s="1">
        <v>0</v>
      </c>
      <c r="P391" s="1">
        <v>0</v>
      </c>
    </row>
    <row r="392" spans="1:16">
      <c r="A392" s="1">
        <v>0</v>
      </c>
      <c r="B392" s="1">
        <v>0</v>
      </c>
      <c r="I392" s="1">
        <v>0</v>
      </c>
      <c r="J392" s="1">
        <v>0</v>
      </c>
      <c r="K392" s="1">
        <v>0</v>
      </c>
      <c r="L392" s="1">
        <v>0</v>
      </c>
      <c r="M392" s="1">
        <v>0</v>
      </c>
      <c r="N392" s="1">
        <v>0</v>
      </c>
      <c r="O392" s="1">
        <v>0</v>
      </c>
      <c r="P392" s="1">
        <v>0</v>
      </c>
    </row>
    <row r="393" spans="1:16">
      <c r="A393" s="1">
        <v>0</v>
      </c>
      <c r="B393" s="1">
        <v>0</v>
      </c>
      <c r="I393" s="1">
        <v>0</v>
      </c>
      <c r="J393" s="1">
        <v>0</v>
      </c>
      <c r="K393" s="1">
        <v>0</v>
      </c>
      <c r="L393" s="1">
        <v>0</v>
      </c>
      <c r="M393" s="1">
        <v>0</v>
      </c>
      <c r="N393" s="1">
        <v>0</v>
      </c>
      <c r="O393" s="1">
        <v>0</v>
      </c>
      <c r="P393" s="1">
        <v>0</v>
      </c>
    </row>
    <row r="394" spans="1:16">
      <c r="A394" s="1">
        <v>0</v>
      </c>
      <c r="B394" s="1">
        <v>0</v>
      </c>
      <c r="I394" s="1">
        <v>0</v>
      </c>
      <c r="J394" s="1">
        <v>0</v>
      </c>
      <c r="K394" s="1">
        <v>0</v>
      </c>
      <c r="L394" s="1">
        <v>0</v>
      </c>
      <c r="M394" s="1">
        <v>0</v>
      </c>
      <c r="N394" s="1">
        <v>0</v>
      </c>
      <c r="O394" s="1">
        <v>0</v>
      </c>
      <c r="P394" s="1">
        <v>0</v>
      </c>
    </row>
    <row r="395" spans="1:16">
      <c r="A395" s="1">
        <v>0</v>
      </c>
      <c r="B395" s="1">
        <v>0</v>
      </c>
      <c r="I395" s="1">
        <v>0</v>
      </c>
      <c r="J395" s="1">
        <v>0</v>
      </c>
      <c r="K395" s="1">
        <v>0</v>
      </c>
      <c r="L395" s="1">
        <v>0</v>
      </c>
      <c r="M395" s="1">
        <v>3</v>
      </c>
      <c r="N395" s="1">
        <v>0</v>
      </c>
      <c r="O395" s="1">
        <v>0</v>
      </c>
      <c r="P395" s="1">
        <v>0</v>
      </c>
    </row>
    <row r="396" spans="1:16">
      <c r="A396" s="1">
        <v>1</v>
      </c>
      <c r="B396" s="1">
        <v>3</v>
      </c>
      <c r="I396" s="1">
        <v>0</v>
      </c>
      <c r="J396" s="1">
        <v>0</v>
      </c>
      <c r="K396" s="1">
        <v>1</v>
      </c>
      <c r="L396" s="1">
        <v>0</v>
      </c>
      <c r="M396" s="1">
        <v>3.5</v>
      </c>
      <c r="N396" s="1">
        <v>0</v>
      </c>
      <c r="O396" s="1">
        <v>0</v>
      </c>
      <c r="P396" s="1">
        <v>0</v>
      </c>
    </row>
    <row r="397" spans="1:16">
      <c r="A397" s="1">
        <v>3</v>
      </c>
      <c r="B397" s="1">
        <v>9</v>
      </c>
      <c r="I397" s="1">
        <v>0</v>
      </c>
      <c r="J397" s="1">
        <v>0</v>
      </c>
      <c r="K397" s="1">
        <v>1</v>
      </c>
      <c r="L397" s="1">
        <v>0</v>
      </c>
      <c r="M397" s="1">
        <v>0</v>
      </c>
      <c r="N397" s="1">
        <v>0</v>
      </c>
      <c r="O397" s="1">
        <v>0</v>
      </c>
      <c r="P397" s="1">
        <v>0</v>
      </c>
    </row>
    <row r="398" spans="1:16">
      <c r="A398" s="1">
        <v>1</v>
      </c>
      <c r="B398" s="1">
        <v>3</v>
      </c>
      <c r="I398" s="1">
        <v>0</v>
      </c>
      <c r="J398" s="1">
        <v>0</v>
      </c>
      <c r="K398" s="1">
        <v>1</v>
      </c>
      <c r="L398" s="1">
        <v>0</v>
      </c>
      <c r="M398" s="1">
        <v>0</v>
      </c>
      <c r="N398" s="1">
        <v>0</v>
      </c>
      <c r="O398" s="1">
        <v>0</v>
      </c>
      <c r="P398" s="1">
        <v>0</v>
      </c>
    </row>
    <row r="399" spans="1:16">
      <c r="A399" s="1">
        <v>1</v>
      </c>
      <c r="B399" s="1">
        <v>3</v>
      </c>
      <c r="I399" s="1">
        <v>0</v>
      </c>
      <c r="J399" s="1">
        <v>0</v>
      </c>
      <c r="K399" s="1">
        <v>0</v>
      </c>
      <c r="L399" s="1">
        <v>0</v>
      </c>
      <c r="M399" s="1">
        <v>3</v>
      </c>
      <c r="N399" s="1">
        <v>0</v>
      </c>
      <c r="O399" s="1">
        <v>0</v>
      </c>
      <c r="P399" s="1">
        <v>0</v>
      </c>
    </row>
    <row r="400" spans="1:16">
      <c r="A400" s="1">
        <v>1</v>
      </c>
      <c r="B400" s="1">
        <v>3</v>
      </c>
      <c r="I400" s="1">
        <v>0</v>
      </c>
      <c r="J400" s="1">
        <v>0</v>
      </c>
      <c r="K400" s="1">
        <v>1</v>
      </c>
      <c r="L400" s="1">
        <v>0</v>
      </c>
      <c r="M400" s="1">
        <v>0</v>
      </c>
      <c r="N400" s="1">
        <v>0</v>
      </c>
      <c r="O400" s="1">
        <v>0</v>
      </c>
      <c r="P400" s="1">
        <v>0</v>
      </c>
    </row>
    <row r="401" spans="1:16">
      <c r="A401" s="1">
        <v>0.33333333300000001</v>
      </c>
      <c r="B401" s="1">
        <v>1</v>
      </c>
      <c r="I401" s="1">
        <v>0</v>
      </c>
      <c r="J401" s="1">
        <v>0</v>
      </c>
      <c r="K401" s="1">
        <v>1</v>
      </c>
      <c r="L401" s="1">
        <v>0</v>
      </c>
      <c r="M401" s="1">
        <v>0</v>
      </c>
      <c r="N401" s="1">
        <v>0</v>
      </c>
      <c r="O401" s="1">
        <v>0</v>
      </c>
      <c r="P401" s="1">
        <v>0</v>
      </c>
    </row>
    <row r="402" spans="1:16">
      <c r="A402" s="1">
        <v>1</v>
      </c>
      <c r="B402" s="1">
        <v>3</v>
      </c>
      <c r="I402" s="1">
        <v>0</v>
      </c>
      <c r="J402" s="1">
        <v>0</v>
      </c>
      <c r="K402" s="1">
        <v>0</v>
      </c>
      <c r="L402" s="1">
        <v>0</v>
      </c>
      <c r="M402" s="1">
        <v>0</v>
      </c>
      <c r="N402" s="1">
        <v>0</v>
      </c>
      <c r="O402" s="1">
        <v>0</v>
      </c>
      <c r="P402" s="1">
        <v>0</v>
      </c>
    </row>
    <row r="403" spans="1:16">
      <c r="A403" s="1">
        <v>0</v>
      </c>
      <c r="B403" s="1">
        <v>0</v>
      </c>
      <c r="I403" s="1">
        <v>0</v>
      </c>
      <c r="J403" s="1">
        <v>0</v>
      </c>
      <c r="K403" s="1">
        <v>0</v>
      </c>
      <c r="L403" s="1">
        <v>0</v>
      </c>
      <c r="M403" s="1">
        <v>0</v>
      </c>
      <c r="N403" s="1">
        <v>0</v>
      </c>
      <c r="O403" s="1">
        <v>0</v>
      </c>
      <c r="P403" s="1">
        <v>0</v>
      </c>
    </row>
    <row r="404" spans="1:16">
      <c r="A404" s="1">
        <v>0</v>
      </c>
      <c r="B404" s="1">
        <v>0</v>
      </c>
      <c r="I404" s="1">
        <v>0</v>
      </c>
      <c r="J404" s="1">
        <v>0</v>
      </c>
      <c r="K404" s="1">
        <v>0</v>
      </c>
      <c r="L404" s="1">
        <v>0</v>
      </c>
      <c r="M404" s="1">
        <v>0</v>
      </c>
      <c r="N404" s="1">
        <v>0</v>
      </c>
      <c r="O404" s="1">
        <v>0</v>
      </c>
      <c r="P404" s="1">
        <v>0</v>
      </c>
    </row>
    <row r="405" spans="1:16">
      <c r="A405" s="1">
        <v>0</v>
      </c>
      <c r="B405" s="1">
        <v>0</v>
      </c>
      <c r="I405" s="1">
        <v>0</v>
      </c>
      <c r="J405" s="1">
        <v>0</v>
      </c>
      <c r="K405" s="1">
        <v>0</v>
      </c>
      <c r="L405" s="1">
        <v>0</v>
      </c>
      <c r="M405" s="1">
        <v>0</v>
      </c>
      <c r="N405" s="1">
        <v>0</v>
      </c>
      <c r="O405" s="1">
        <v>0</v>
      </c>
      <c r="P405" s="1">
        <v>0</v>
      </c>
    </row>
    <row r="406" spans="1:16">
      <c r="A406" s="1">
        <v>0</v>
      </c>
      <c r="B406" s="1">
        <v>0</v>
      </c>
      <c r="I406" s="1">
        <v>0</v>
      </c>
      <c r="J406" s="1">
        <v>0</v>
      </c>
      <c r="K406" s="1">
        <v>0</v>
      </c>
      <c r="L406" s="1">
        <v>0</v>
      </c>
      <c r="M406" s="1">
        <v>0</v>
      </c>
      <c r="N406" s="1">
        <v>0</v>
      </c>
      <c r="O406" s="1">
        <v>0</v>
      </c>
      <c r="P406" s="1">
        <v>0</v>
      </c>
    </row>
    <row r="407" spans="1:16">
      <c r="A407" s="1">
        <v>0</v>
      </c>
      <c r="B407" s="1">
        <v>0</v>
      </c>
      <c r="I407" s="1">
        <v>0</v>
      </c>
      <c r="J407" s="1">
        <v>0</v>
      </c>
      <c r="K407" s="1">
        <v>0</v>
      </c>
      <c r="L407" s="1">
        <v>0</v>
      </c>
      <c r="M407" s="1">
        <v>0</v>
      </c>
      <c r="N407" s="1">
        <v>0</v>
      </c>
      <c r="O407" s="1">
        <v>0</v>
      </c>
      <c r="P407" s="1">
        <v>0</v>
      </c>
    </row>
    <row r="408" spans="1:16">
      <c r="A408" s="1">
        <v>0</v>
      </c>
      <c r="B408" s="1">
        <v>0</v>
      </c>
      <c r="I408" s="1">
        <v>0</v>
      </c>
      <c r="J408" s="1">
        <v>0</v>
      </c>
      <c r="K408" s="1">
        <v>0</v>
      </c>
      <c r="L408" s="1">
        <v>0</v>
      </c>
      <c r="M408" s="1">
        <v>0</v>
      </c>
      <c r="N408" s="1">
        <v>0</v>
      </c>
      <c r="O408" s="1">
        <v>0</v>
      </c>
      <c r="P408" s="1">
        <v>0</v>
      </c>
    </row>
    <row r="409" spans="1:16">
      <c r="A409" s="1">
        <v>0</v>
      </c>
      <c r="B409" s="1">
        <v>0</v>
      </c>
      <c r="I409" s="1">
        <v>0</v>
      </c>
      <c r="J409" s="1">
        <v>0</v>
      </c>
      <c r="K409" s="1">
        <v>0</v>
      </c>
      <c r="L409" s="1">
        <v>0</v>
      </c>
      <c r="M409" s="1">
        <v>0</v>
      </c>
      <c r="N409" s="1">
        <v>0</v>
      </c>
      <c r="O409" s="1">
        <v>0</v>
      </c>
      <c r="P409" s="1">
        <v>0</v>
      </c>
    </row>
    <row r="410" spans="1:16">
      <c r="A410" s="1">
        <v>0</v>
      </c>
      <c r="B410" s="1">
        <v>0</v>
      </c>
      <c r="I410" s="1">
        <v>0</v>
      </c>
      <c r="J410" s="1">
        <v>0</v>
      </c>
      <c r="K410" s="1">
        <v>0</v>
      </c>
      <c r="L410" s="1">
        <v>0</v>
      </c>
      <c r="M410" s="1">
        <v>0</v>
      </c>
      <c r="N410" s="1">
        <v>0</v>
      </c>
      <c r="O410" s="1">
        <v>0</v>
      </c>
      <c r="P410" s="1">
        <v>0</v>
      </c>
    </row>
    <row r="411" spans="1:16">
      <c r="A411" s="1">
        <v>0</v>
      </c>
      <c r="B411" s="1">
        <v>0</v>
      </c>
      <c r="I411" s="1">
        <v>0</v>
      </c>
      <c r="J411" s="1">
        <v>0</v>
      </c>
      <c r="K411" s="1">
        <v>0</v>
      </c>
      <c r="L411" s="1">
        <v>0</v>
      </c>
      <c r="M411" s="1">
        <v>0</v>
      </c>
      <c r="N411" s="1">
        <v>0</v>
      </c>
      <c r="O411" s="1">
        <v>0</v>
      </c>
      <c r="P411" s="1">
        <v>0</v>
      </c>
    </row>
    <row r="412" spans="1:16">
      <c r="A412" s="1">
        <v>0</v>
      </c>
      <c r="B412" s="1">
        <v>0</v>
      </c>
      <c r="I412" s="1">
        <v>0</v>
      </c>
      <c r="J412" s="1">
        <v>0</v>
      </c>
      <c r="K412" s="1">
        <v>0</v>
      </c>
      <c r="L412" s="1">
        <v>0</v>
      </c>
      <c r="M412" s="1">
        <v>0</v>
      </c>
      <c r="N412" s="1">
        <v>0</v>
      </c>
      <c r="O412" s="1">
        <v>0</v>
      </c>
      <c r="P412" s="1">
        <v>0</v>
      </c>
    </row>
    <row r="413" spans="1:16">
      <c r="A413" s="1">
        <v>0</v>
      </c>
      <c r="B413" s="1">
        <v>0</v>
      </c>
      <c r="I413" s="1">
        <v>0</v>
      </c>
      <c r="J413" s="1">
        <v>0</v>
      </c>
      <c r="K413" s="1">
        <v>0</v>
      </c>
      <c r="L413" s="1">
        <v>0</v>
      </c>
      <c r="M413" s="1">
        <v>0</v>
      </c>
      <c r="N413" s="1">
        <v>0</v>
      </c>
      <c r="O413" s="1">
        <v>0</v>
      </c>
      <c r="P413" s="1">
        <v>0</v>
      </c>
    </row>
    <row r="414" spans="1:16">
      <c r="A414" s="1">
        <v>0</v>
      </c>
      <c r="B414" s="1">
        <v>0</v>
      </c>
      <c r="I414" s="1">
        <v>0</v>
      </c>
      <c r="J414" s="1">
        <v>0</v>
      </c>
      <c r="K414" s="1">
        <v>0</v>
      </c>
      <c r="L414" s="1">
        <v>0</v>
      </c>
      <c r="M414" s="1">
        <v>3</v>
      </c>
      <c r="N414" s="1">
        <v>0</v>
      </c>
      <c r="O414" s="1">
        <v>0</v>
      </c>
      <c r="P414" s="1">
        <v>0</v>
      </c>
    </row>
    <row r="415" spans="1:16">
      <c r="A415" s="1">
        <v>3</v>
      </c>
      <c r="B415" s="1">
        <v>9</v>
      </c>
      <c r="I415" s="1">
        <v>0</v>
      </c>
      <c r="J415" s="1">
        <v>0</v>
      </c>
      <c r="K415" s="1">
        <v>0</v>
      </c>
      <c r="L415" s="1">
        <v>0</v>
      </c>
      <c r="M415" s="1">
        <v>3</v>
      </c>
      <c r="N415" s="1">
        <v>0</v>
      </c>
      <c r="O415" s="1">
        <v>0</v>
      </c>
      <c r="P415" s="1">
        <v>0</v>
      </c>
    </row>
    <row r="416" spans="1:16">
      <c r="A416" s="1">
        <v>2</v>
      </c>
      <c r="B416" s="1">
        <v>6</v>
      </c>
      <c r="I416" s="1">
        <v>0</v>
      </c>
      <c r="J416" s="1">
        <v>0</v>
      </c>
      <c r="K416" s="1">
        <v>0</v>
      </c>
      <c r="L416" s="1">
        <v>0</v>
      </c>
      <c r="M416" s="1">
        <v>0</v>
      </c>
      <c r="N416" s="1">
        <v>0</v>
      </c>
      <c r="O416" s="1">
        <v>0</v>
      </c>
      <c r="P416" s="1">
        <v>0</v>
      </c>
    </row>
    <row r="417" spans="1:16">
      <c r="A417" s="1">
        <v>0</v>
      </c>
      <c r="B417" s="1">
        <v>0</v>
      </c>
      <c r="I417" s="1">
        <v>0</v>
      </c>
      <c r="J417" s="1">
        <v>0</v>
      </c>
      <c r="K417" s="1">
        <v>0</v>
      </c>
      <c r="L417" s="1">
        <v>0</v>
      </c>
      <c r="M417" s="1">
        <v>0</v>
      </c>
      <c r="N417" s="1">
        <v>0</v>
      </c>
      <c r="O417" s="1">
        <v>0</v>
      </c>
      <c r="P417" s="1">
        <v>0</v>
      </c>
    </row>
    <row r="418" spans="1:16">
      <c r="A418" s="1">
        <v>0</v>
      </c>
      <c r="B418" s="1">
        <v>0</v>
      </c>
      <c r="I418" s="1">
        <v>0</v>
      </c>
      <c r="J418" s="1">
        <v>0</v>
      </c>
      <c r="K418" s="1">
        <v>0</v>
      </c>
      <c r="L418" s="1">
        <v>0</v>
      </c>
      <c r="M418" s="1">
        <v>0</v>
      </c>
      <c r="N418" s="1">
        <v>0</v>
      </c>
      <c r="O418" s="1">
        <v>0</v>
      </c>
      <c r="P418" s="1">
        <v>0</v>
      </c>
    </row>
    <row r="419" spans="1:16">
      <c r="A419" s="1">
        <v>0</v>
      </c>
      <c r="B419" s="1">
        <v>0</v>
      </c>
      <c r="I419" s="1">
        <v>0</v>
      </c>
      <c r="J419" s="1">
        <v>0</v>
      </c>
      <c r="K419" s="1">
        <v>0</v>
      </c>
      <c r="L419" s="1">
        <v>0</v>
      </c>
      <c r="M419" s="1">
        <v>0</v>
      </c>
      <c r="N419" s="1">
        <v>0</v>
      </c>
      <c r="O419" s="1">
        <v>0</v>
      </c>
      <c r="P419" s="1">
        <v>0</v>
      </c>
    </row>
    <row r="420" spans="1:16">
      <c r="A420" s="1">
        <v>0</v>
      </c>
      <c r="B420" s="1">
        <v>0</v>
      </c>
      <c r="I420" s="1">
        <v>0</v>
      </c>
      <c r="J420" s="1">
        <v>0</v>
      </c>
      <c r="K420" s="1">
        <v>1</v>
      </c>
      <c r="L420" s="1">
        <v>0</v>
      </c>
      <c r="M420" s="1">
        <v>0</v>
      </c>
      <c r="N420" s="1">
        <v>0</v>
      </c>
      <c r="O420" s="1">
        <v>0</v>
      </c>
      <c r="P420" s="1">
        <v>0</v>
      </c>
    </row>
    <row r="421" spans="1:16">
      <c r="A421" s="1">
        <v>0.5</v>
      </c>
      <c r="B421" s="1">
        <v>1.5</v>
      </c>
      <c r="I421" s="1">
        <v>0</v>
      </c>
      <c r="J421" s="1">
        <v>0</v>
      </c>
      <c r="K421" s="1">
        <v>0</v>
      </c>
      <c r="L421" s="1">
        <v>0</v>
      </c>
      <c r="M421" s="1">
        <v>0</v>
      </c>
      <c r="N421" s="1">
        <v>0</v>
      </c>
      <c r="O421" s="1">
        <v>0</v>
      </c>
      <c r="P421" s="1">
        <v>0</v>
      </c>
    </row>
    <row r="422" spans="1:16">
      <c r="A422" s="1">
        <v>0</v>
      </c>
      <c r="B422" s="1">
        <v>0</v>
      </c>
      <c r="I422" s="1">
        <v>0</v>
      </c>
      <c r="J422" s="1">
        <v>0</v>
      </c>
      <c r="K422" s="1">
        <v>0</v>
      </c>
      <c r="L422" s="1">
        <v>0</v>
      </c>
      <c r="M422" s="1">
        <v>0</v>
      </c>
      <c r="N422" s="1">
        <v>0</v>
      </c>
      <c r="O422" s="1">
        <v>0</v>
      </c>
      <c r="P422" s="1">
        <v>0</v>
      </c>
    </row>
    <row r="423" spans="1:16">
      <c r="A423" s="1">
        <v>0</v>
      </c>
      <c r="B423" s="1">
        <v>0</v>
      </c>
      <c r="I423" s="1">
        <v>0</v>
      </c>
      <c r="J423" s="1">
        <v>0</v>
      </c>
      <c r="K423" s="1">
        <v>1</v>
      </c>
      <c r="L423" s="1">
        <v>0</v>
      </c>
      <c r="M423" s="1">
        <v>0</v>
      </c>
      <c r="N423" s="1">
        <v>0</v>
      </c>
      <c r="O423" s="1">
        <v>0</v>
      </c>
      <c r="P423" s="1">
        <v>0</v>
      </c>
    </row>
    <row r="424" spans="1:16">
      <c r="A424" s="1">
        <v>0.125</v>
      </c>
      <c r="B424" s="1">
        <v>0.375</v>
      </c>
      <c r="I424" s="1">
        <v>0</v>
      </c>
      <c r="J424" s="1">
        <v>0</v>
      </c>
      <c r="K424" s="1">
        <v>0</v>
      </c>
      <c r="L424" s="1">
        <v>0</v>
      </c>
      <c r="M424" s="1">
        <v>0</v>
      </c>
      <c r="N424" s="1">
        <v>0</v>
      </c>
      <c r="O424" s="1">
        <v>0</v>
      </c>
      <c r="P424" s="1">
        <v>0</v>
      </c>
    </row>
    <row r="425" spans="1:16">
      <c r="A425" s="1">
        <v>0</v>
      </c>
      <c r="B425" s="1">
        <v>0</v>
      </c>
      <c r="I425" s="1">
        <v>0</v>
      </c>
      <c r="J425" s="1">
        <v>0</v>
      </c>
      <c r="K425" s="1">
        <v>0</v>
      </c>
      <c r="L425" s="1">
        <v>0</v>
      </c>
      <c r="M425" s="1">
        <v>0</v>
      </c>
      <c r="N425" s="1">
        <v>0</v>
      </c>
      <c r="O425" s="1">
        <v>0</v>
      </c>
      <c r="P425" s="1">
        <v>0</v>
      </c>
    </row>
    <row r="426" spans="1:16">
      <c r="A426" s="1">
        <v>0</v>
      </c>
      <c r="B426" s="1">
        <v>0</v>
      </c>
      <c r="I426" s="1">
        <v>0</v>
      </c>
      <c r="J426" s="1">
        <v>0</v>
      </c>
      <c r="K426" s="1">
        <v>0</v>
      </c>
      <c r="L426" s="1">
        <v>0</v>
      </c>
      <c r="M426" s="1">
        <v>0</v>
      </c>
      <c r="N426" s="1">
        <v>0</v>
      </c>
      <c r="O426" s="1">
        <v>0</v>
      </c>
      <c r="P426" s="1">
        <v>0</v>
      </c>
    </row>
    <row r="427" spans="1:16">
      <c r="A427" s="1">
        <v>0</v>
      </c>
      <c r="B427" s="1">
        <v>0</v>
      </c>
      <c r="I427" s="1">
        <v>0</v>
      </c>
      <c r="J427" s="1">
        <v>0</v>
      </c>
      <c r="K427" s="1">
        <v>0</v>
      </c>
      <c r="L427" s="1">
        <v>0</v>
      </c>
      <c r="M427" s="1">
        <v>0</v>
      </c>
      <c r="N427" s="1">
        <v>0</v>
      </c>
      <c r="O427" s="1">
        <v>0</v>
      </c>
      <c r="P427" s="1">
        <v>0</v>
      </c>
    </row>
    <row r="428" spans="1:16">
      <c r="A428" s="1">
        <v>0</v>
      </c>
      <c r="B428" s="1">
        <v>0</v>
      </c>
      <c r="I428" s="1">
        <v>0</v>
      </c>
      <c r="J428" s="1">
        <v>0</v>
      </c>
      <c r="K428" s="1">
        <v>0</v>
      </c>
      <c r="L428" s="1">
        <v>0</v>
      </c>
      <c r="M428" s="1">
        <v>0</v>
      </c>
      <c r="N428" s="1">
        <v>0</v>
      </c>
      <c r="O428" s="1">
        <v>0</v>
      </c>
      <c r="P428" s="1">
        <v>0</v>
      </c>
    </row>
    <row r="429" spans="1:16">
      <c r="A429" s="1">
        <v>0</v>
      </c>
      <c r="B429" s="1">
        <v>0</v>
      </c>
      <c r="I429" s="1">
        <v>0</v>
      </c>
      <c r="J429" s="1">
        <v>0</v>
      </c>
      <c r="K429" s="1">
        <v>0</v>
      </c>
      <c r="L429" s="1">
        <v>0</v>
      </c>
      <c r="M429" s="1">
        <v>0</v>
      </c>
      <c r="N429" s="1">
        <v>0</v>
      </c>
      <c r="O429" s="1">
        <v>0</v>
      </c>
      <c r="P429" s="1">
        <v>0</v>
      </c>
    </row>
    <row r="430" spans="1:16">
      <c r="A430" s="1">
        <v>0</v>
      </c>
      <c r="B430" s="1">
        <v>0</v>
      </c>
      <c r="I430" s="1">
        <v>0</v>
      </c>
      <c r="J430" s="1">
        <v>0</v>
      </c>
      <c r="K430" s="1">
        <v>0</v>
      </c>
      <c r="L430" s="1">
        <v>0</v>
      </c>
      <c r="M430" s="1">
        <v>0</v>
      </c>
      <c r="N430" s="1">
        <v>0</v>
      </c>
      <c r="O430" s="1">
        <v>0</v>
      </c>
      <c r="P430" s="1">
        <v>0</v>
      </c>
    </row>
    <row r="431" spans="1:16">
      <c r="A431" s="1">
        <v>0</v>
      </c>
      <c r="B431" s="1">
        <v>0</v>
      </c>
      <c r="I431" s="1">
        <v>0</v>
      </c>
      <c r="J431" s="1">
        <v>0</v>
      </c>
      <c r="K431" s="1">
        <v>0</v>
      </c>
      <c r="L431" s="1">
        <v>0</v>
      </c>
      <c r="M431" s="1">
        <v>0</v>
      </c>
      <c r="N431" s="1">
        <v>0</v>
      </c>
      <c r="O431" s="1">
        <v>0</v>
      </c>
      <c r="P431" s="1">
        <v>0</v>
      </c>
    </row>
    <row r="432" spans="1:16">
      <c r="A432" s="1">
        <v>0</v>
      </c>
      <c r="B432" s="1">
        <v>0</v>
      </c>
      <c r="I432" s="1">
        <v>0</v>
      </c>
      <c r="J432" s="1">
        <v>0</v>
      </c>
      <c r="K432" s="1">
        <v>0</v>
      </c>
      <c r="L432" s="1">
        <v>0</v>
      </c>
      <c r="M432" s="1">
        <v>3</v>
      </c>
      <c r="N432" s="1">
        <v>0</v>
      </c>
      <c r="O432" s="1">
        <v>0</v>
      </c>
      <c r="P432" s="1">
        <v>0</v>
      </c>
    </row>
    <row r="433" spans="1:16">
      <c r="A433" s="1">
        <v>3</v>
      </c>
      <c r="B433" s="1">
        <v>9</v>
      </c>
      <c r="I433" s="1">
        <v>0</v>
      </c>
      <c r="J433" s="1">
        <v>0</v>
      </c>
      <c r="K433" s="1">
        <v>0</v>
      </c>
      <c r="L433" s="1">
        <v>0</v>
      </c>
      <c r="M433" s="1">
        <v>0</v>
      </c>
      <c r="N433" s="1">
        <v>0</v>
      </c>
      <c r="O433" s="1">
        <v>0</v>
      </c>
      <c r="P433" s="1">
        <v>0</v>
      </c>
    </row>
    <row r="434" spans="1:16">
      <c r="A434" s="1">
        <v>0</v>
      </c>
      <c r="B434" s="1">
        <v>0</v>
      </c>
      <c r="I434" s="1">
        <v>0</v>
      </c>
      <c r="J434" s="1">
        <v>0</v>
      </c>
      <c r="K434" s="1">
        <v>0</v>
      </c>
      <c r="L434" s="1">
        <v>0</v>
      </c>
      <c r="M434" s="1">
        <v>0</v>
      </c>
      <c r="N434" s="1">
        <v>0</v>
      </c>
      <c r="O434" s="1">
        <v>0</v>
      </c>
      <c r="P434" s="1">
        <v>0</v>
      </c>
    </row>
    <row r="435" spans="1:16">
      <c r="A435" s="1">
        <v>0</v>
      </c>
      <c r="B435" s="1">
        <v>0</v>
      </c>
      <c r="I435" s="1">
        <v>0</v>
      </c>
      <c r="J435" s="1">
        <v>0</v>
      </c>
      <c r="K435" s="1">
        <v>3</v>
      </c>
      <c r="L435" s="1">
        <v>0</v>
      </c>
      <c r="M435" s="1">
        <v>3</v>
      </c>
      <c r="N435" s="1">
        <v>0</v>
      </c>
      <c r="O435" s="1">
        <v>0</v>
      </c>
      <c r="P435" s="1">
        <v>0</v>
      </c>
    </row>
    <row r="436" spans="1:16">
      <c r="A436" s="1">
        <v>2</v>
      </c>
      <c r="B436" s="1">
        <v>6</v>
      </c>
      <c r="I436" s="1">
        <v>0</v>
      </c>
      <c r="J436" s="1">
        <v>0</v>
      </c>
      <c r="K436" s="1">
        <v>0</v>
      </c>
      <c r="L436" s="1">
        <v>0</v>
      </c>
      <c r="M436" s="1">
        <v>0</v>
      </c>
      <c r="N436" s="1">
        <v>0</v>
      </c>
      <c r="O436" s="1">
        <v>0</v>
      </c>
      <c r="P436" s="1">
        <v>0</v>
      </c>
    </row>
    <row r="437" spans="1:16">
      <c r="A437" s="1">
        <v>0</v>
      </c>
      <c r="B437" s="1">
        <v>0</v>
      </c>
      <c r="I437" s="1">
        <v>0</v>
      </c>
      <c r="J437" s="1">
        <v>0</v>
      </c>
      <c r="K437" s="1">
        <v>0</v>
      </c>
      <c r="L437" s="1">
        <v>0</v>
      </c>
      <c r="M437" s="1">
        <v>0</v>
      </c>
      <c r="N437" s="1">
        <v>0</v>
      </c>
      <c r="O437" s="1">
        <v>0</v>
      </c>
      <c r="P437" s="1">
        <v>0</v>
      </c>
    </row>
    <row r="438" spans="1:16">
      <c r="A438" s="1">
        <v>0</v>
      </c>
      <c r="B438" s="1">
        <v>0</v>
      </c>
      <c r="I438" s="1">
        <v>0</v>
      </c>
      <c r="J438" s="1">
        <v>0</v>
      </c>
      <c r="K438" s="1">
        <v>1</v>
      </c>
      <c r="L438" s="1">
        <v>0</v>
      </c>
      <c r="M438" s="1">
        <v>0</v>
      </c>
      <c r="N438" s="1">
        <v>0</v>
      </c>
      <c r="O438" s="1">
        <v>0</v>
      </c>
      <c r="P438" s="1">
        <v>0</v>
      </c>
    </row>
    <row r="439" spans="1:16">
      <c r="A439" s="1">
        <v>0.16666666699999999</v>
      </c>
      <c r="B439" s="1">
        <v>0.5</v>
      </c>
      <c r="I439" s="1">
        <v>0</v>
      </c>
      <c r="J439" s="1">
        <v>0</v>
      </c>
      <c r="K439" s="1">
        <v>0</v>
      </c>
      <c r="L439" s="1">
        <v>0</v>
      </c>
      <c r="M439" s="1">
        <v>0</v>
      </c>
      <c r="N439" s="1">
        <v>0</v>
      </c>
      <c r="O439" s="1">
        <v>0</v>
      </c>
      <c r="P439" s="1">
        <v>0</v>
      </c>
    </row>
    <row r="440" spans="1:16">
      <c r="A440" s="1">
        <v>0</v>
      </c>
      <c r="B440" s="1">
        <v>0</v>
      </c>
      <c r="I440" s="1">
        <v>0</v>
      </c>
      <c r="J440" s="1">
        <v>0</v>
      </c>
      <c r="K440" s="1">
        <v>0</v>
      </c>
      <c r="L440" s="1">
        <v>0</v>
      </c>
      <c r="M440" s="1">
        <v>0</v>
      </c>
      <c r="N440" s="1">
        <v>0</v>
      </c>
      <c r="O440" s="1">
        <v>0</v>
      </c>
      <c r="P440" s="1">
        <v>0</v>
      </c>
    </row>
    <row r="441" spans="1:16">
      <c r="A441" s="1">
        <v>0</v>
      </c>
      <c r="B441" s="1">
        <v>0</v>
      </c>
      <c r="I441" s="1">
        <v>0</v>
      </c>
      <c r="J441" s="1">
        <v>0</v>
      </c>
      <c r="K441" s="1">
        <v>0</v>
      </c>
      <c r="L441" s="1">
        <v>0</v>
      </c>
      <c r="M441" s="1">
        <v>0</v>
      </c>
      <c r="N441" s="1">
        <v>0</v>
      </c>
      <c r="O441" s="1">
        <v>0</v>
      </c>
      <c r="P441" s="1">
        <v>0</v>
      </c>
    </row>
    <row r="442" spans="1:16">
      <c r="A442" s="1">
        <v>0</v>
      </c>
      <c r="B442" s="1">
        <v>0</v>
      </c>
      <c r="I442" s="1">
        <v>0</v>
      </c>
      <c r="J442" s="1">
        <v>0</v>
      </c>
      <c r="K442" s="1">
        <v>0</v>
      </c>
      <c r="L442" s="1">
        <v>0</v>
      </c>
      <c r="M442" s="1">
        <v>0</v>
      </c>
      <c r="N442" s="1">
        <v>0</v>
      </c>
      <c r="O442" s="1">
        <v>0</v>
      </c>
      <c r="P442" s="1">
        <v>0</v>
      </c>
    </row>
    <row r="443" spans="1:16">
      <c r="A443" s="1">
        <v>0</v>
      </c>
      <c r="B443" s="1">
        <v>0</v>
      </c>
      <c r="I443" s="1">
        <v>0</v>
      </c>
      <c r="J443" s="1">
        <v>0</v>
      </c>
      <c r="K443" s="1">
        <v>1</v>
      </c>
      <c r="L443" s="1">
        <v>0</v>
      </c>
      <c r="M443" s="1">
        <v>0</v>
      </c>
      <c r="N443" s="1">
        <v>0</v>
      </c>
      <c r="O443" s="1">
        <v>0</v>
      </c>
      <c r="P443" s="1">
        <v>0</v>
      </c>
    </row>
    <row r="444" spans="1:16">
      <c r="A444" s="1">
        <v>1</v>
      </c>
      <c r="B444" s="1">
        <v>3</v>
      </c>
      <c r="I444" s="1">
        <v>0</v>
      </c>
      <c r="J444" s="1">
        <v>0</v>
      </c>
      <c r="K444" s="1">
        <v>0</v>
      </c>
      <c r="L444" s="1">
        <v>0</v>
      </c>
      <c r="M444" s="1">
        <v>0</v>
      </c>
      <c r="N444" s="1">
        <v>0</v>
      </c>
      <c r="O444" s="1">
        <v>0</v>
      </c>
      <c r="P444" s="1">
        <v>0</v>
      </c>
    </row>
    <row r="445" spans="1:16">
      <c r="A445" s="1">
        <v>0</v>
      </c>
      <c r="B445" s="1">
        <v>0</v>
      </c>
      <c r="I445" s="1">
        <v>0</v>
      </c>
      <c r="J445" s="1">
        <v>0</v>
      </c>
      <c r="K445" s="1">
        <v>0</v>
      </c>
      <c r="L445" s="1">
        <v>0</v>
      </c>
      <c r="M445" s="1">
        <v>0</v>
      </c>
      <c r="N445" s="1">
        <v>0</v>
      </c>
      <c r="O445" s="1">
        <v>0</v>
      </c>
      <c r="P445" s="1">
        <v>0</v>
      </c>
    </row>
    <row r="446" spans="1:16">
      <c r="A446" s="1">
        <v>0</v>
      </c>
      <c r="B446" s="1">
        <v>0</v>
      </c>
      <c r="I446" s="1">
        <v>0</v>
      </c>
      <c r="J446" s="1">
        <v>0</v>
      </c>
      <c r="K446" s="1">
        <v>0</v>
      </c>
      <c r="L446" s="1">
        <v>0</v>
      </c>
      <c r="M446" s="1">
        <v>0</v>
      </c>
      <c r="N446" s="1">
        <v>0</v>
      </c>
      <c r="O446" s="1">
        <v>0</v>
      </c>
      <c r="P446" s="1">
        <v>0</v>
      </c>
    </row>
    <row r="447" spans="1:16">
      <c r="A447" s="1">
        <v>0</v>
      </c>
      <c r="B447" s="1">
        <v>0</v>
      </c>
      <c r="I447" s="1">
        <v>0</v>
      </c>
      <c r="J447" s="1">
        <v>0</v>
      </c>
      <c r="K447" s="1">
        <v>3</v>
      </c>
      <c r="L447" s="1">
        <v>0</v>
      </c>
      <c r="M447" s="1">
        <v>0</v>
      </c>
      <c r="N447" s="1">
        <v>0</v>
      </c>
      <c r="O447" s="1">
        <v>0</v>
      </c>
      <c r="P447" s="1">
        <v>0</v>
      </c>
    </row>
    <row r="448" spans="1:16">
      <c r="A448" s="1">
        <v>3</v>
      </c>
      <c r="B448" s="1">
        <v>9</v>
      </c>
      <c r="I448" s="1">
        <v>0</v>
      </c>
      <c r="J448" s="1">
        <v>0</v>
      </c>
      <c r="K448" s="1">
        <v>1</v>
      </c>
      <c r="L448" s="1">
        <v>0</v>
      </c>
      <c r="M448" s="1">
        <v>0</v>
      </c>
      <c r="N448" s="1">
        <v>0</v>
      </c>
      <c r="O448" s="1">
        <v>0</v>
      </c>
      <c r="P448" s="1">
        <v>0</v>
      </c>
    </row>
    <row r="449" spans="1:16">
      <c r="A449" s="1">
        <v>0.33333333300000001</v>
      </c>
      <c r="B449" s="1">
        <v>1</v>
      </c>
      <c r="I449" s="1">
        <v>0</v>
      </c>
      <c r="J449" s="1">
        <v>0.5</v>
      </c>
      <c r="K449" s="1">
        <v>2.3333333330000001</v>
      </c>
      <c r="L449" s="1">
        <v>0</v>
      </c>
      <c r="M449" s="1">
        <v>0</v>
      </c>
      <c r="N449" s="1">
        <v>0</v>
      </c>
      <c r="O449" s="1">
        <v>0</v>
      </c>
      <c r="P449" s="1">
        <v>0</v>
      </c>
    </row>
    <row r="450" spans="1:16">
      <c r="A450" s="1">
        <v>0.72727272700000001</v>
      </c>
      <c r="B450" s="1">
        <v>1.9090909089999999</v>
      </c>
      <c r="I450" s="1">
        <v>0</v>
      </c>
      <c r="J450" s="1">
        <v>0</v>
      </c>
      <c r="K450" s="1">
        <v>0</v>
      </c>
      <c r="L450" s="1">
        <v>0</v>
      </c>
      <c r="M450" s="1">
        <v>0</v>
      </c>
      <c r="N450" s="1">
        <v>0</v>
      </c>
      <c r="O450" s="1">
        <v>0</v>
      </c>
      <c r="P450" s="1">
        <v>0</v>
      </c>
    </row>
    <row r="451" spans="1:16">
      <c r="A451" s="1">
        <v>0</v>
      </c>
      <c r="B451" s="1">
        <v>0</v>
      </c>
      <c r="I451" s="1">
        <v>0</v>
      </c>
      <c r="J451" s="1">
        <v>0</v>
      </c>
      <c r="K451" s="1">
        <v>0</v>
      </c>
      <c r="L451" s="1">
        <v>0</v>
      </c>
      <c r="M451" s="1">
        <v>0</v>
      </c>
      <c r="N451" s="1">
        <v>0</v>
      </c>
      <c r="O451" s="1">
        <v>0</v>
      </c>
      <c r="P451" s="1">
        <v>0</v>
      </c>
    </row>
    <row r="452" spans="1:16">
      <c r="A452" s="1">
        <v>0</v>
      </c>
      <c r="B452" s="1">
        <v>0</v>
      </c>
      <c r="I452" s="1">
        <v>0</v>
      </c>
      <c r="J452" s="1">
        <v>0</v>
      </c>
      <c r="K452" s="1">
        <v>0</v>
      </c>
      <c r="L452" s="1">
        <v>0</v>
      </c>
      <c r="M452" s="1">
        <v>0</v>
      </c>
      <c r="N452" s="1">
        <v>0</v>
      </c>
      <c r="O452" s="1">
        <v>0</v>
      </c>
      <c r="P452" s="1">
        <v>0</v>
      </c>
    </row>
    <row r="453" spans="1:16">
      <c r="A453" s="1">
        <v>0</v>
      </c>
      <c r="B453" s="1">
        <v>0</v>
      </c>
      <c r="I453" s="1">
        <v>0</v>
      </c>
      <c r="J453" s="1">
        <v>0</v>
      </c>
      <c r="K453" s="1">
        <v>0</v>
      </c>
      <c r="L453" s="1">
        <v>0</v>
      </c>
      <c r="M453" s="1">
        <v>0</v>
      </c>
      <c r="N453" s="1">
        <v>0</v>
      </c>
      <c r="O453" s="1">
        <v>0</v>
      </c>
      <c r="P453" s="1">
        <v>0</v>
      </c>
    </row>
    <row r="454" spans="1:16">
      <c r="A454" s="1">
        <v>0</v>
      </c>
      <c r="B454" s="1">
        <v>0</v>
      </c>
      <c r="I454" s="1">
        <v>0</v>
      </c>
      <c r="J454" s="1">
        <v>0</v>
      </c>
      <c r="K454" s="1">
        <v>0</v>
      </c>
      <c r="L454" s="1">
        <v>0</v>
      </c>
      <c r="M454" s="1">
        <v>0</v>
      </c>
      <c r="N454" s="1">
        <v>0</v>
      </c>
      <c r="O454" s="1">
        <v>0</v>
      </c>
      <c r="P454" s="1">
        <v>0</v>
      </c>
    </row>
    <row r="455" spans="1:16">
      <c r="A455" s="1">
        <v>0</v>
      </c>
      <c r="B455" s="1">
        <v>0</v>
      </c>
      <c r="I455" s="1">
        <v>0</v>
      </c>
      <c r="J455" s="1">
        <v>0</v>
      </c>
      <c r="K455" s="1">
        <v>0</v>
      </c>
      <c r="L455" s="1">
        <v>0</v>
      </c>
      <c r="M455" s="1">
        <v>0</v>
      </c>
      <c r="N455" s="1">
        <v>0</v>
      </c>
      <c r="O455" s="1">
        <v>0</v>
      </c>
      <c r="P455" s="1">
        <v>0</v>
      </c>
    </row>
    <row r="456" spans="1:16">
      <c r="A456" s="1">
        <v>0</v>
      </c>
      <c r="B456" s="1">
        <v>0</v>
      </c>
      <c r="I456" s="1">
        <v>0</v>
      </c>
      <c r="J456" s="1">
        <v>0</v>
      </c>
      <c r="K456" s="1">
        <v>1</v>
      </c>
      <c r="L456" s="1">
        <v>0</v>
      </c>
      <c r="M456" s="1">
        <v>0</v>
      </c>
      <c r="N456" s="1">
        <v>0</v>
      </c>
      <c r="O456" s="1">
        <v>0</v>
      </c>
      <c r="P456" s="1">
        <v>0</v>
      </c>
    </row>
    <row r="457" spans="1:16">
      <c r="A457" s="1">
        <v>0.1</v>
      </c>
      <c r="B457" s="1">
        <v>0.3</v>
      </c>
      <c r="I457" s="1">
        <v>0</v>
      </c>
      <c r="J457" s="1">
        <v>0</v>
      </c>
      <c r="K457" s="1">
        <v>0</v>
      </c>
      <c r="L457" s="1">
        <v>0</v>
      </c>
      <c r="M457" s="1">
        <v>0</v>
      </c>
      <c r="N457" s="1">
        <v>0</v>
      </c>
      <c r="O457" s="1">
        <v>0</v>
      </c>
      <c r="P457" s="1">
        <v>0</v>
      </c>
    </row>
    <row r="458" spans="1:16">
      <c r="A458" s="1">
        <v>0</v>
      </c>
      <c r="B458" s="1">
        <v>0</v>
      </c>
      <c r="I458" s="1">
        <v>0</v>
      </c>
      <c r="J458" s="1">
        <v>0</v>
      </c>
      <c r="K458" s="1">
        <v>0</v>
      </c>
      <c r="L458" s="1">
        <v>0</v>
      </c>
      <c r="M458" s="1">
        <v>0</v>
      </c>
      <c r="N458" s="1">
        <v>0</v>
      </c>
      <c r="O458" s="1">
        <v>0</v>
      </c>
      <c r="P458" s="1">
        <v>0</v>
      </c>
    </row>
    <row r="459" spans="1:16">
      <c r="A459" s="1">
        <v>0</v>
      </c>
      <c r="B459" s="1">
        <v>0</v>
      </c>
      <c r="I459" s="1">
        <v>0</v>
      </c>
      <c r="J459" s="1">
        <v>0</v>
      </c>
      <c r="K459" s="1">
        <v>0</v>
      </c>
      <c r="L459" s="1">
        <v>0</v>
      </c>
      <c r="M459" s="1">
        <v>0</v>
      </c>
      <c r="N459" s="1">
        <v>0</v>
      </c>
      <c r="O459" s="1">
        <v>0</v>
      </c>
      <c r="P459" s="1">
        <v>0</v>
      </c>
    </row>
    <row r="460" spans="1:16">
      <c r="A460" s="1">
        <v>0</v>
      </c>
      <c r="B460" s="1">
        <v>0</v>
      </c>
      <c r="I460" s="1">
        <v>0</v>
      </c>
      <c r="J460" s="1">
        <v>0</v>
      </c>
      <c r="K460" s="1">
        <v>0</v>
      </c>
      <c r="L460" s="1">
        <v>0</v>
      </c>
      <c r="M460" s="1">
        <v>0</v>
      </c>
      <c r="N460" s="1">
        <v>0</v>
      </c>
      <c r="O460" s="1">
        <v>0</v>
      </c>
      <c r="P460" s="1">
        <v>0</v>
      </c>
    </row>
    <row r="461" spans="1:16">
      <c r="A461" s="1">
        <v>0</v>
      </c>
      <c r="B461" s="1">
        <v>0</v>
      </c>
      <c r="I461" s="1">
        <v>0</v>
      </c>
      <c r="J461" s="1">
        <v>0</v>
      </c>
      <c r="K461" s="1">
        <v>0</v>
      </c>
      <c r="L461" s="1">
        <v>0</v>
      </c>
      <c r="M461" s="1">
        <v>0</v>
      </c>
      <c r="N461" s="1">
        <v>0</v>
      </c>
      <c r="O461" s="1">
        <v>0</v>
      </c>
      <c r="P461" s="1">
        <v>0</v>
      </c>
    </row>
    <row r="462" spans="1:16">
      <c r="A462" s="1">
        <v>0</v>
      </c>
      <c r="B462" s="1">
        <v>0</v>
      </c>
      <c r="I462" s="1">
        <v>0</v>
      </c>
      <c r="J462" s="1">
        <v>0</v>
      </c>
      <c r="K462" s="1">
        <v>0</v>
      </c>
      <c r="L462" s="1">
        <v>0</v>
      </c>
      <c r="M462" s="1">
        <v>0</v>
      </c>
      <c r="N462" s="1">
        <v>0</v>
      </c>
      <c r="O462" s="1">
        <v>0</v>
      </c>
      <c r="P462" s="1">
        <v>0</v>
      </c>
    </row>
    <row r="463" spans="1:16">
      <c r="A463" s="1">
        <v>0</v>
      </c>
      <c r="B463" s="1">
        <v>0</v>
      </c>
      <c r="I463" s="1">
        <v>0</v>
      </c>
      <c r="J463" s="1">
        <v>0</v>
      </c>
      <c r="K463" s="1">
        <v>0</v>
      </c>
      <c r="L463" s="1">
        <v>0</v>
      </c>
      <c r="M463" s="1">
        <v>0</v>
      </c>
      <c r="N463" s="1">
        <v>0</v>
      </c>
      <c r="O463" s="1">
        <v>0</v>
      </c>
      <c r="P463" s="1">
        <v>0</v>
      </c>
    </row>
    <row r="464" spans="1:16">
      <c r="A464" s="1">
        <v>0</v>
      </c>
      <c r="B464" s="1">
        <v>0</v>
      </c>
      <c r="I464" s="1">
        <v>0</v>
      </c>
      <c r="J464" s="1">
        <v>0</v>
      </c>
      <c r="K464" s="1">
        <v>0</v>
      </c>
      <c r="L464" s="1">
        <v>0</v>
      </c>
      <c r="M464" s="1">
        <v>0</v>
      </c>
      <c r="N464" s="1">
        <v>0</v>
      </c>
      <c r="O464" s="1">
        <v>0</v>
      </c>
      <c r="P464" s="1">
        <v>0</v>
      </c>
    </row>
    <row r="465" spans="1:16">
      <c r="A465" s="1">
        <v>0</v>
      </c>
      <c r="B465" s="1">
        <v>0</v>
      </c>
      <c r="I465" s="1">
        <v>0</v>
      </c>
      <c r="J465" s="1">
        <v>0</v>
      </c>
      <c r="K465" s="1">
        <v>0</v>
      </c>
      <c r="L465" s="1">
        <v>0</v>
      </c>
      <c r="M465" s="1">
        <v>0</v>
      </c>
      <c r="N465" s="1">
        <v>0</v>
      </c>
      <c r="O465" s="1">
        <v>0</v>
      </c>
      <c r="P465" s="1">
        <v>0</v>
      </c>
    </row>
    <row r="466" spans="1:16">
      <c r="A466" s="1">
        <v>0</v>
      </c>
      <c r="B466" s="1">
        <v>0</v>
      </c>
      <c r="I466" s="1">
        <v>0</v>
      </c>
      <c r="J466" s="1">
        <v>0</v>
      </c>
      <c r="K466" s="1">
        <v>0</v>
      </c>
      <c r="L466" s="1">
        <v>0</v>
      </c>
      <c r="M466" s="1">
        <v>0</v>
      </c>
      <c r="N466" s="1">
        <v>0</v>
      </c>
      <c r="O466" s="1">
        <v>0</v>
      </c>
      <c r="P466" s="1">
        <v>0</v>
      </c>
    </row>
    <row r="467" spans="1:16">
      <c r="A467" s="1">
        <v>0</v>
      </c>
      <c r="B467" s="1">
        <v>0</v>
      </c>
      <c r="I467" s="1">
        <v>0</v>
      </c>
      <c r="J467" s="1">
        <v>0</v>
      </c>
      <c r="K467" s="1">
        <v>0</v>
      </c>
      <c r="L467" s="1">
        <v>0</v>
      </c>
      <c r="M467" s="1">
        <v>0</v>
      </c>
      <c r="N467" s="1">
        <v>0</v>
      </c>
      <c r="O467" s="1">
        <v>0</v>
      </c>
      <c r="P467" s="1">
        <v>0</v>
      </c>
    </row>
    <row r="468" spans="1:16">
      <c r="A468" s="1">
        <v>0</v>
      </c>
      <c r="B468" s="1">
        <v>0</v>
      </c>
      <c r="I468" s="1">
        <v>0</v>
      </c>
      <c r="J468" s="1">
        <v>0</v>
      </c>
      <c r="K468" s="1">
        <v>0</v>
      </c>
      <c r="L468" s="1">
        <v>0</v>
      </c>
      <c r="M468" s="1">
        <v>0</v>
      </c>
      <c r="N468" s="1">
        <v>0</v>
      </c>
      <c r="O468" s="1">
        <v>0</v>
      </c>
      <c r="P468" s="1">
        <v>0</v>
      </c>
    </row>
    <row r="469" spans="1:16">
      <c r="A469" s="1">
        <v>0</v>
      </c>
      <c r="B469" s="1">
        <v>0</v>
      </c>
      <c r="I469" s="1">
        <v>0</v>
      </c>
      <c r="J469" s="1">
        <v>0</v>
      </c>
      <c r="K469" s="1">
        <v>1</v>
      </c>
      <c r="L469" s="1">
        <v>0</v>
      </c>
      <c r="M469" s="1">
        <v>0</v>
      </c>
      <c r="N469" s="1">
        <v>0</v>
      </c>
      <c r="O469" s="1">
        <v>0</v>
      </c>
      <c r="P469" s="1">
        <v>0</v>
      </c>
    </row>
    <row r="470" spans="1:16">
      <c r="A470" s="1">
        <v>1</v>
      </c>
      <c r="B470" s="1">
        <v>3</v>
      </c>
      <c r="I470" s="1">
        <v>0</v>
      </c>
      <c r="J470" s="1">
        <v>0</v>
      </c>
      <c r="K470" s="1">
        <v>0</v>
      </c>
      <c r="L470" s="1">
        <v>0</v>
      </c>
      <c r="M470" s="1">
        <v>0</v>
      </c>
      <c r="N470" s="1">
        <v>0</v>
      </c>
      <c r="O470" s="1">
        <v>0</v>
      </c>
      <c r="P470" s="1">
        <v>0</v>
      </c>
    </row>
    <row r="471" spans="1:16">
      <c r="A471" s="1">
        <v>0</v>
      </c>
      <c r="B471" s="1">
        <v>0</v>
      </c>
      <c r="I471" s="1">
        <v>0</v>
      </c>
      <c r="J471" s="1">
        <v>0</v>
      </c>
      <c r="K471" s="1">
        <v>0</v>
      </c>
      <c r="L471" s="1">
        <v>0</v>
      </c>
      <c r="M471" s="1">
        <v>0</v>
      </c>
      <c r="N471" s="1">
        <v>0</v>
      </c>
      <c r="O471" s="1">
        <v>0</v>
      </c>
      <c r="P471" s="1">
        <v>0</v>
      </c>
    </row>
    <row r="472" spans="1:16">
      <c r="A472" s="1">
        <v>0</v>
      </c>
      <c r="B472" s="1">
        <v>0</v>
      </c>
      <c r="I472" s="1">
        <v>0</v>
      </c>
      <c r="J472" s="1">
        <v>0</v>
      </c>
      <c r="K472" s="1">
        <v>0</v>
      </c>
      <c r="L472" s="1">
        <v>0</v>
      </c>
      <c r="M472" s="1">
        <v>0</v>
      </c>
      <c r="N472" s="1">
        <v>0</v>
      </c>
      <c r="O472" s="1">
        <v>0</v>
      </c>
      <c r="P472" s="1">
        <v>0</v>
      </c>
    </row>
    <row r="473" spans="1:16">
      <c r="A473" s="1">
        <v>0</v>
      </c>
      <c r="B473" s="1">
        <v>0</v>
      </c>
      <c r="I473" s="1">
        <v>0</v>
      </c>
      <c r="J473" s="1">
        <v>0</v>
      </c>
      <c r="K473" s="1">
        <v>0</v>
      </c>
      <c r="L473" s="1">
        <v>0</v>
      </c>
      <c r="M473" s="1">
        <v>0</v>
      </c>
      <c r="N473" s="1">
        <v>0</v>
      </c>
      <c r="O473" s="1">
        <v>0</v>
      </c>
      <c r="P473" s="1">
        <v>0</v>
      </c>
    </row>
    <row r="474" spans="1:16">
      <c r="A474" s="1">
        <v>0</v>
      </c>
      <c r="B474" s="1">
        <v>0</v>
      </c>
      <c r="I474" s="1">
        <v>0</v>
      </c>
      <c r="J474" s="1">
        <v>0</v>
      </c>
      <c r="K474" s="1">
        <v>0</v>
      </c>
      <c r="L474" s="1">
        <v>0</v>
      </c>
      <c r="M474" s="1">
        <v>0</v>
      </c>
      <c r="N474" s="1">
        <v>0</v>
      </c>
      <c r="O474" s="1">
        <v>0</v>
      </c>
      <c r="P474" s="1">
        <v>0</v>
      </c>
    </row>
    <row r="475" spans="1:16">
      <c r="A475" s="1">
        <v>0</v>
      </c>
      <c r="B475" s="1">
        <v>0</v>
      </c>
      <c r="I475" s="1">
        <v>0</v>
      </c>
      <c r="J475" s="1">
        <v>0</v>
      </c>
      <c r="K475" s="1">
        <v>0</v>
      </c>
      <c r="L475" s="1">
        <v>0</v>
      </c>
      <c r="M475" s="1">
        <v>0</v>
      </c>
      <c r="N475" s="1">
        <v>0</v>
      </c>
      <c r="O475" s="1">
        <v>0</v>
      </c>
      <c r="P475" s="1">
        <v>0</v>
      </c>
    </row>
    <row r="476" spans="1:16">
      <c r="A476" s="1">
        <v>0</v>
      </c>
      <c r="B476" s="1">
        <v>0</v>
      </c>
      <c r="I476" s="1">
        <v>0</v>
      </c>
      <c r="J476" s="1">
        <v>0</v>
      </c>
      <c r="K476" s="1">
        <v>0</v>
      </c>
      <c r="L476" s="1">
        <v>0</v>
      </c>
      <c r="M476" s="1">
        <v>0</v>
      </c>
      <c r="N476" s="1">
        <v>0</v>
      </c>
      <c r="O476" s="1">
        <v>0</v>
      </c>
      <c r="P476" s="1">
        <v>0</v>
      </c>
    </row>
    <row r="477" spans="1:16">
      <c r="A477" s="1">
        <v>0</v>
      </c>
      <c r="B477" s="1">
        <v>0</v>
      </c>
      <c r="I477" s="1">
        <v>0</v>
      </c>
      <c r="J477" s="1">
        <v>0</v>
      </c>
      <c r="K477" s="1">
        <v>0</v>
      </c>
      <c r="L477" s="1">
        <v>0</v>
      </c>
      <c r="M477" s="1">
        <v>0</v>
      </c>
      <c r="N477" s="1">
        <v>0</v>
      </c>
      <c r="O477" s="1">
        <v>0</v>
      </c>
      <c r="P477" s="1">
        <v>0</v>
      </c>
    </row>
    <row r="478" spans="1:16">
      <c r="A478" s="1">
        <v>0</v>
      </c>
      <c r="B478" s="1">
        <v>0</v>
      </c>
      <c r="I478" s="1">
        <v>0</v>
      </c>
      <c r="J478" s="1">
        <v>0</v>
      </c>
      <c r="K478" s="1">
        <v>0</v>
      </c>
      <c r="L478" s="1">
        <v>0</v>
      </c>
      <c r="M478" s="1">
        <v>0</v>
      </c>
      <c r="N478" s="1">
        <v>0</v>
      </c>
      <c r="O478" s="1">
        <v>0</v>
      </c>
      <c r="P478" s="1">
        <v>0</v>
      </c>
    </row>
    <row r="479" spans="1:16">
      <c r="A479" s="1">
        <v>0</v>
      </c>
      <c r="B479" s="1">
        <v>0</v>
      </c>
      <c r="I479" s="1">
        <v>0</v>
      </c>
      <c r="J479" s="1">
        <v>0</v>
      </c>
      <c r="K479" s="1">
        <v>3</v>
      </c>
      <c r="L479" s="1">
        <v>0</v>
      </c>
      <c r="M479" s="1">
        <v>0</v>
      </c>
      <c r="N479" s="1">
        <v>0</v>
      </c>
      <c r="O479" s="1">
        <v>0</v>
      </c>
      <c r="P479" s="1">
        <v>0</v>
      </c>
    </row>
    <row r="480" spans="1:16">
      <c r="A480" s="1">
        <v>3</v>
      </c>
      <c r="B480" s="1">
        <v>9</v>
      </c>
      <c r="I480" s="1">
        <v>0</v>
      </c>
      <c r="J480" s="1">
        <v>0</v>
      </c>
      <c r="K480" s="1">
        <v>1</v>
      </c>
      <c r="L480" s="1">
        <v>0</v>
      </c>
      <c r="M480" s="1">
        <v>0</v>
      </c>
      <c r="N480" s="1">
        <v>0</v>
      </c>
      <c r="O480" s="1">
        <v>0</v>
      </c>
      <c r="P480" s="1">
        <v>0</v>
      </c>
    </row>
    <row r="481" spans="1:16">
      <c r="A481" s="1">
        <v>1</v>
      </c>
      <c r="B481" s="1">
        <v>3</v>
      </c>
      <c r="I481" s="1">
        <v>0</v>
      </c>
      <c r="J481" s="1">
        <v>0</v>
      </c>
      <c r="K481" s="1">
        <v>0</v>
      </c>
      <c r="L481" s="1">
        <v>0</v>
      </c>
      <c r="M481" s="1">
        <v>0</v>
      </c>
      <c r="N481" s="1">
        <v>0</v>
      </c>
      <c r="O481" s="1">
        <v>0</v>
      </c>
      <c r="P481" s="1">
        <v>0</v>
      </c>
    </row>
    <row r="482" spans="1:16">
      <c r="A482" s="1">
        <v>0</v>
      </c>
      <c r="B482" s="1">
        <v>0</v>
      </c>
      <c r="I482" s="1">
        <v>0</v>
      </c>
      <c r="J482" s="1">
        <v>0</v>
      </c>
      <c r="K482" s="1">
        <v>0</v>
      </c>
      <c r="L482" s="1">
        <v>0</v>
      </c>
      <c r="M482" s="1">
        <v>0</v>
      </c>
      <c r="N482" s="1">
        <v>0</v>
      </c>
      <c r="O482" s="1">
        <v>0</v>
      </c>
      <c r="P482" s="1">
        <v>0</v>
      </c>
    </row>
    <row r="483" spans="1:16">
      <c r="A483" s="1">
        <v>0</v>
      </c>
      <c r="B483" s="1">
        <v>0</v>
      </c>
      <c r="I483" s="1">
        <v>0</v>
      </c>
      <c r="J483" s="1">
        <v>0</v>
      </c>
      <c r="K483" s="1">
        <v>0</v>
      </c>
      <c r="L483" s="1">
        <v>0</v>
      </c>
      <c r="M483" s="1">
        <v>0</v>
      </c>
      <c r="N483" s="1">
        <v>0</v>
      </c>
      <c r="O483" s="1">
        <v>0</v>
      </c>
      <c r="P483" s="1">
        <v>0</v>
      </c>
    </row>
    <row r="484" spans="1:16">
      <c r="A484" s="1">
        <v>0</v>
      </c>
      <c r="B484" s="1">
        <v>0</v>
      </c>
      <c r="I484" s="1">
        <v>0</v>
      </c>
      <c r="J484" s="1">
        <v>0</v>
      </c>
      <c r="K484" s="1">
        <v>0</v>
      </c>
      <c r="L484" s="1">
        <v>0</v>
      </c>
      <c r="M484" s="1">
        <v>0</v>
      </c>
      <c r="N484" s="1">
        <v>0</v>
      </c>
      <c r="O484" s="1">
        <v>0</v>
      </c>
      <c r="P484" s="1">
        <v>0</v>
      </c>
    </row>
    <row r="485" spans="1:16">
      <c r="A485" s="1">
        <v>0</v>
      </c>
      <c r="B485" s="1">
        <v>0</v>
      </c>
      <c r="I485" s="1">
        <v>0</v>
      </c>
      <c r="J485" s="1">
        <v>0</v>
      </c>
      <c r="K485" s="1">
        <v>1</v>
      </c>
      <c r="L485" s="1">
        <v>0</v>
      </c>
      <c r="M485" s="1">
        <v>0</v>
      </c>
      <c r="N485" s="1">
        <v>0</v>
      </c>
      <c r="O485" s="1">
        <v>0</v>
      </c>
      <c r="P485" s="1">
        <v>0</v>
      </c>
    </row>
    <row r="486" spans="1:16">
      <c r="A486" s="1">
        <v>0.16666666699999999</v>
      </c>
      <c r="B486" s="1">
        <v>0.5</v>
      </c>
      <c r="I486" s="1">
        <v>0</v>
      </c>
      <c r="J486" s="1">
        <v>0.66666666699999999</v>
      </c>
      <c r="K486" s="1">
        <v>1</v>
      </c>
      <c r="L486" s="1">
        <v>0</v>
      </c>
      <c r="M486" s="1">
        <v>0</v>
      </c>
      <c r="N486" s="1">
        <v>0</v>
      </c>
      <c r="O486" s="1">
        <v>0</v>
      </c>
      <c r="P486" s="1">
        <v>0</v>
      </c>
    </row>
    <row r="487" spans="1:16">
      <c r="A487" s="1">
        <v>0.25</v>
      </c>
      <c r="B487" s="1">
        <v>0.25</v>
      </c>
      <c r="I487" s="1">
        <v>0</v>
      </c>
      <c r="J487" s="1">
        <v>0</v>
      </c>
      <c r="K487" s="1">
        <v>1</v>
      </c>
      <c r="L487" s="1">
        <v>0</v>
      </c>
      <c r="M487" s="1">
        <v>0</v>
      </c>
      <c r="N487" s="1">
        <v>0</v>
      </c>
      <c r="O487" s="1">
        <v>0</v>
      </c>
      <c r="P487" s="1">
        <v>0</v>
      </c>
    </row>
    <row r="488" spans="1:16">
      <c r="A488" s="1">
        <v>0.14285714299999999</v>
      </c>
      <c r="B488" s="1">
        <v>0.428571429</v>
      </c>
      <c r="I488" s="1">
        <v>0</v>
      </c>
      <c r="J488" s="1">
        <v>0</v>
      </c>
      <c r="K488" s="1">
        <v>0</v>
      </c>
      <c r="L488" s="1">
        <v>0</v>
      </c>
      <c r="M488" s="1">
        <v>0</v>
      </c>
      <c r="N488" s="1">
        <v>0</v>
      </c>
      <c r="O488" s="1">
        <v>0</v>
      </c>
      <c r="P488" s="1">
        <v>0</v>
      </c>
    </row>
    <row r="489" spans="1:16">
      <c r="A489" s="1">
        <v>0</v>
      </c>
      <c r="B489" s="1">
        <v>0</v>
      </c>
      <c r="I489" s="1">
        <v>0</v>
      </c>
      <c r="J489" s="1">
        <v>0</v>
      </c>
      <c r="K489" s="1">
        <v>1</v>
      </c>
      <c r="L489" s="1">
        <v>0</v>
      </c>
      <c r="M489" s="1">
        <v>0</v>
      </c>
      <c r="N489" s="1">
        <v>0</v>
      </c>
      <c r="O489" s="1">
        <v>0</v>
      </c>
      <c r="P489" s="1">
        <v>0</v>
      </c>
    </row>
    <row r="490" spans="1:16">
      <c r="A490" s="1">
        <v>0.125</v>
      </c>
      <c r="B490" s="1">
        <v>0.375</v>
      </c>
      <c r="I490" s="1">
        <v>0</v>
      </c>
      <c r="J490" s="1">
        <v>0</v>
      </c>
      <c r="K490" s="1">
        <v>0</v>
      </c>
      <c r="L490" s="1">
        <v>0</v>
      </c>
      <c r="M490" s="1">
        <v>0</v>
      </c>
      <c r="N490" s="1">
        <v>0</v>
      </c>
      <c r="O490" s="1">
        <v>0</v>
      </c>
      <c r="P490" s="1">
        <v>0</v>
      </c>
    </row>
    <row r="491" spans="1:16">
      <c r="A491" s="1">
        <v>0</v>
      </c>
      <c r="B491" s="1">
        <v>0</v>
      </c>
      <c r="I491" s="1">
        <v>0</v>
      </c>
      <c r="J491" s="1">
        <v>0</v>
      </c>
      <c r="K491" s="1">
        <v>0</v>
      </c>
      <c r="L491" s="1">
        <v>0</v>
      </c>
      <c r="M491" s="1">
        <v>0</v>
      </c>
      <c r="N491" s="1">
        <v>0</v>
      </c>
      <c r="O491" s="1">
        <v>0</v>
      </c>
      <c r="P491" s="1">
        <v>0</v>
      </c>
    </row>
    <row r="492" spans="1:16">
      <c r="A492" s="1">
        <v>0</v>
      </c>
      <c r="B492" s="1">
        <v>0</v>
      </c>
      <c r="I492" s="1">
        <v>0</v>
      </c>
      <c r="J492" s="1">
        <v>0</v>
      </c>
      <c r="K492" s="1">
        <v>1</v>
      </c>
      <c r="L492" s="1">
        <v>0</v>
      </c>
      <c r="M492" s="1">
        <v>0</v>
      </c>
      <c r="N492" s="1">
        <v>0</v>
      </c>
      <c r="O492" s="1">
        <v>0</v>
      </c>
      <c r="P492" s="1">
        <v>0</v>
      </c>
    </row>
    <row r="493" spans="1:16">
      <c r="A493" s="1">
        <v>0.25</v>
      </c>
      <c r="B493" s="1">
        <v>0.75</v>
      </c>
      <c r="I493" s="1">
        <v>0</v>
      </c>
      <c r="J493" s="1">
        <v>0.33333333300000001</v>
      </c>
      <c r="K493" s="1">
        <v>0</v>
      </c>
      <c r="L493" s="1">
        <v>0</v>
      </c>
      <c r="M493" s="1">
        <v>0</v>
      </c>
      <c r="N493" s="1">
        <v>0</v>
      </c>
      <c r="O493" s="1">
        <v>0</v>
      </c>
      <c r="P493" s="1">
        <v>0</v>
      </c>
    </row>
    <row r="494" spans="1:16">
      <c r="A494" s="1">
        <v>9.0909090999999997E-2</v>
      </c>
      <c r="B494" s="1">
        <v>0</v>
      </c>
      <c r="I494" s="1">
        <v>0</v>
      </c>
      <c r="J494" s="1">
        <v>0</v>
      </c>
      <c r="K494" s="1">
        <v>1</v>
      </c>
      <c r="L494" s="1">
        <v>0</v>
      </c>
      <c r="M494" s="1">
        <v>0</v>
      </c>
      <c r="N494" s="1">
        <v>0</v>
      </c>
      <c r="O494" s="1">
        <v>0</v>
      </c>
      <c r="P494" s="1">
        <v>0</v>
      </c>
    </row>
    <row r="495" spans="1:16">
      <c r="A495" s="1">
        <v>0.125</v>
      </c>
      <c r="B495" s="1">
        <v>0.375</v>
      </c>
      <c r="I495" s="1">
        <v>0</v>
      </c>
      <c r="J495" s="1">
        <v>0.5</v>
      </c>
      <c r="K495" s="1">
        <v>0</v>
      </c>
      <c r="L495" s="1">
        <v>0</v>
      </c>
      <c r="M495" s="1">
        <v>0</v>
      </c>
      <c r="N495" s="1">
        <v>0</v>
      </c>
      <c r="O495" s="1">
        <v>0</v>
      </c>
      <c r="P495" s="1">
        <v>0</v>
      </c>
    </row>
    <row r="496" spans="1:16">
      <c r="A496" s="1">
        <v>0.111111111</v>
      </c>
      <c r="B496" s="1">
        <v>0</v>
      </c>
      <c r="I496" s="1">
        <v>0</v>
      </c>
      <c r="J496" s="1">
        <v>0</v>
      </c>
      <c r="K496" s="1">
        <v>0</v>
      </c>
      <c r="L496" s="1">
        <v>0</v>
      </c>
      <c r="M496" s="1">
        <v>0</v>
      </c>
      <c r="N496" s="1">
        <v>0</v>
      </c>
      <c r="O496" s="1">
        <v>0</v>
      </c>
      <c r="P496" s="1">
        <v>0</v>
      </c>
    </row>
    <row r="497" spans="1:16">
      <c r="A497" s="1">
        <v>0</v>
      </c>
      <c r="B497" s="1">
        <v>0</v>
      </c>
      <c r="I497" s="1">
        <v>0</v>
      </c>
      <c r="J497" s="1">
        <v>0.33333333300000001</v>
      </c>
      <c r="K497" s="1">
        <v>0</v>
      </c>
      <c r="L497" s="1">
        <v>0</v>
      </c>
      <c r="M497" s="1">
        <v>0</v>
      </c>
      <c r="N497" s="1">
        <v>0</v>
      </c>
      <c r="O497" s="1">
        <v>0</v>
      </c>
      <c r="P497" s="1">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459D-037F-44A1-9012-AD5FFB845A71}">
  <dimension ref="A1:AF918"/>
  <sheetViews>
    <sheetView topLeftCell="F1" workbookViewId="0">
      <selection activeCell="O918" sqref="O918"/>
    </sheetView>
  </sheetViews>
  <sheetFormatPr defaultRowHeight="15"/>
  <cols>
    <col min="1" max="1" width="39.7109375" style="6" customWidth="1"/>
    <col min="2" max="2" width="24.28515625" customWidth="1"/>
    <col min="13" max="13" width="15.5703125" customWidth="1"/>
    <col min="15" max="15" width="14.7109375" customWidth="1"/>
    <col min="18" max="18" width="24.140625" customWidth="1"/>
    <col min="21" max="21" width="15.140625" bestFit="1" customWidth="1"/>
    <col min="22" max="22" width="11" customWidth="1"/>
  </cols>
  <sheetData>
    <row r="1" spans="1:32">
      <c r="A1" s="6" t="s">
        <v>1117</v>
      </c>
      <c r="R1" t="s">
        <v>1118</v>
      </c>
      <c r="S1">
        <f>COUNTA(A2:A320)</f>
        <v>319</v>
      </c>
      <c r="U1" t="s">
        <v>956</v>
      </c>
      <c r="W1" t="s">
        <v>960</v>
      </c>
      <c r="X1" t="s">
        <v>961</v>
      </c>
      <c r="Y1" t="s">
        <v>962</v>
      </c>
    </row>
    <row r="2" spans="1:32">
      <c r="A2" s="6" t="s">
        <v>1119</v>
      </c>
      <c r="B2" t="str" cm="1">
        <f t="array" ref="B2:D2">_xlfn.TEXTSPLIT(A2, ",")</f>
        <v>schapelle corby</v>
      </c>
      <c r="C2" t="str">
        <v xml:space="preserve"> drug smuggler</v>
      </c>
      <c r="D2" t="str">
        <v xml:space="preserve"> corby</v>
      </c>
      <c r="O2" t="str" cm="1">
        <f t="array" ref="O2:O918">_xlfn.TOCOL(B2:N320, 3)</f>
        <v>schapelle corby</v>
      </c>
      <c r="P2" t="str">
        <f>TRIM(O2)</f>
        <v>schapelle corby</v>
      </c>
      <c r="R2" t="s">
        <v>1120</v>
      </c>
      <c r="S2">
        <f>COUNTA(_xlfn.TOCOL(B2:N320,3))</f>
        <v>917</v>
      </c>
      <c r="U2">
        <v>3</v>
      </c>
      <c r="W2" t="s">
        <v>965</v>
      </c>
      <c r="X2" t="s">
        <v>966</v>
      </c>
      <c r="Y2">
        <v>0</v>
      </c>
      <c r="AF2" t="s">
        <v>1121</v>
      </c>
    </row>
    <row r="3" spans="1:32">
      <c r="A3" s="6" t="s">
        <v>1122</v>
      </c>
      <c r="B3" t="str" cm="1">
        <f t="array" ref="B3:F3">_xlfn.TEXTSPLIT(A3, ",")</f>
        <v>schapelle corby</v>
      </c>
      <c r="C3" t="str">
        <v xml:space="preserve"> sister</v>
      </c>
      <c r="D3" t="str">
        <v xml:space="preserve"> sisters</v>
      </c>
      <c r="E3" t="str">
        <v xml:space="preserve"> corby</v>
      </c>
      <c r="F3" t="str">
        <v xml:space="preserve"> brother</v>
      </c>
      <c r="O3" t="str">
        <v xml:space="preserve"> drug smuggler</v>
      </c>
      <c r="P3" t="str">
        <f t="shared" ref="P3:P66" si="0">TRIM(O3)</f>
        <v>drug smuggler</v>
      </c>
      <c r="R3" t="s">
        <v>1123</v>
      </c>
      <c r="S3">
        <f>SUM(U2:U497)</f>
        <v>917</v>
      </c>
      <c r="U3">
        <v>5</v>
      </c>
      <c r="W3" t="s">
        <v>968</v>
      </c>
      <c r="X3" t="s">
        <v>966</v>
      </c>
      <c r="Y3">
        <v>0</v>
      </c>
    </row>
    <row r="4" spans="1:32">
      <c r="A4" s="6" t="s">
        <v>1124</v>
      </c>
      <c r="B4" t="str" cm="1">
        <f t="array" ref="B4:E4">_xlfn.TEXTSPLIT(A4, ",")</f>
        <v>schapelle corby</v>
      </c>
      <c r="C4" t="str">
        <v xml:space="preserve"> australian</v>
      </c>
      <c r="D4" t="str">
        <v xml:space="preserve"> australia</v>
      </c>
      <c r="E4" t="str">
        <v xml:space="preserve"> corby</v>
      </c>
      <c r="O4" t="str">
        <v xml:space="preserve"> corby</v>
      </c>
      <c r="P4" t="str">
        <f t="shared" si="0"/>
        <v>corby</v>
      </c>
      <c r="U4">
        <v>4</v>
      </c>
      <c r="W4" t="s">
        <v>970</v>
      </c>
      <c r="X4" t="s">
        <v>966</v>
      </c>
      <c r="Y4">
        <v>0</v>
      </c>
    </row>
    <row r="5" spans="1:32">
      <c r="A5" s="6" t="s">
        <v>1125</v>
      </c>
      <c r="B5" t="str" cm="1">
        <f t="array" ref="B5:D5">_xlfn.TEXTSPLIT(A5, ",")</f>
        <v>schapelle corby</v>
      </c>
      <c r="C5" t="str">
        <v xml:space="preserve"> af</v>
      </c>
      <c r="D5" t="str">
        <v xml:space="preserve"> corby</v>
      </c>
      <c r="O5" t="str">
        <v>schapelle corby</v>
      </c>
      <c r="P5" t="str">
        <f t="shared" si="0"/>
        <v>schapelle corby</v>
      </c>
      <c r="R5" t="s">
        <v>967</v>
      </c>
      <c r="S5" cm="1">
        <f t="array" ref="S5">SUM(COUNTIF(O:O, _xlfn._xlws.FILTER(W$2:W$101, X$2:X$101="Case Related")))</f>
        <v>209</v>
      </c>
      <c r="T5" cm="1">
        <f t="array" ref="T5">SUM(COUNTIF(P:P, _xlfn._xlws.FILTER(W$2:W$101, X$2:X$101="Case Related")))</f>
        <v>318</v>
      </c>
      <c r="U5">
        <v>3</v>
      </c>
      <c r="W5" t="s">
        <v>972</v>
      </c>
      <c r="X5" t="s">
        <v>966</v>
      </c>
      <c r="Y5">
        <v>0</v>
      </c>
    </row>
    <row r="6" spans="1:32" ht="57.75">
      <c r="A6" s="6" t="s">
        <v>1126</v>
      </c>
      <c r="B6" t="str" cm="1">
        <f t="array" ref="B6:K6">_xlfn.TEXTSPLIT(A6, ",")</f>
        <v>schapelle corby</v>
      </c>
      <c r="C6" t="str">
        <v xml:space="preserve"> australian</v>
      </c>
      <c r="D6" t="str">
        <v xml:space="preserve"> smuggling</v>
      </c>
      <c r="E6" t="str">
        <v xml:space="preserve"> conviction</v>
      </c>
      <c r="F6" t="str">
        <v xml:space="preserve"> australia</v>
      </c>
      <c r="G6" t="str">
        <v xml:space="preserve"> convicted drug smuggler</v>
      </c>
      <c r="H6" t="str">
        <v xml:space="preserve"> drug smuggler</v>
      </c>
      <c r="I6" t="str">
        <v xml:space="preserve"> corby</v>
      </c>
      <c r="J6" t="str">
        <v xml:space="preserve"> conviction</v>
      </c>
      <c r="K6" t="str">
        <v xml:space="preserve"> convicted</v>
      </c>
      <c r="O6" t="str">
        <v xml:space="preserve"> sister</v>
      </c>
      <c r="P6" t="str">
        <f t="shared" si="0"/>
        <v>sister</v>
      </c>
      <c r="R6" t="s">
        <v>969</v>
      </c>
      <c r="S6" cm="1">
        <f t="array" ref="S6">SUM(COUNTIF(O:O, _xlfn._xlws.FILTER(W$2:W$101, X$2:X$101="Crime based")))</f>
        <v>32</v>
      </c>
      <c r="T6" cm="1">
        <f t="array" ref="T6">SUM(COUNTIF(P:P, _xlfn._xlws.FILTER(W$2:W$101, X$2:X$101="Crime based")))</f>
        <v>105</v>
      </c>
      <c r="U6">
        <v>10</v>
      </c>
      <c r="W6" t="s">
        <v>974</v>
      </c>
      <c r="X6" t="s">
        <v>966</v>
      </c>
      <c r="Y6">
        <v>0</v>
      </c>
    </row>
    <row r="7" spans="1:32">
      <c r="A7" s="6" t="s">
        <v>1127</v>
      </c>
      <c r="B7" t="str" cm="1">
        <f t="array" ref="B7:C7">_xlfn.TEXTSPLIT(A7, ",")</f>
        <v>schapelle corby</v>
      </c>
      <c r="C7" t="str">
        <v xml:space="preserve"> corby</v>
      </c>
      <c r="O7" t="str">
        <v xml:space="preserve"> sisters</v>
      </c>
      <c r="P7" t="str">
        <f t="shared" si="0"/>
        <v>sisters</v>
      </c>
      <c r="R7" t="s">
        <v>971</v>
      </c>
      <c r="S7" cm="1">
        <f t="array" ref="S7">SUM(COUNTIF(O:O, _xlfn._xlws.FILTER(W$2:W$101, X$2:X$101="intelligence based")))</f>
        <v>36</v>
      </c>
      <c r="T7" cm="1">
        <f t="array" ref="T7">SUM(COUNTIF(P:P, _xlfn._xlws.FILTER(W$2:W$101, X$2:X$101="intelligence based")))</f>
        <v>81</v>
      </c>
      <c r="U7">
        <v>2</v>
      </c>
      <c r="W7" t="s">
        <v>976</v>
      </c>
      <c r="X7" t="s">
        <v>966</v>
      </c>
      <c r="Y7">
        <v>0</v>
      </c>
    </row>
    <row r="8" spans="1:32">
      <c r="A8" s="6" t="s">
        <v>1128</v>
      </c>
      <c r="B8" t="str" cm="1">
        <f t="array" ref="B8:D8">_xlfn.TEXTSPLIT(A8, ",")</f>
        <v>schapelle corby</v>
      </c>
      <c r="C8" t="str">
        <v xml:space="preserve"> corby</v>
      </c>
      <c r="D8" t="str">
        <v xml:space="preserve"> import</v>
      </c>
      <c r="O8" t="str">
        <v xml:space="preserve"> corby</v>
      </c>
      <c r="P8" t="str">
        <f t="shared" si="0"/>
        <v>corby</v>
      </c>
      <c r="R8" t="s">
        <v>973</v>
      </c>
      <c r="S8" cm="1">
        <f t="array" ref="S8">SUM(COUNTIF(O:O, _xlfn._xlws.FILTER(W$2:W$101, X$2:X$101="familial based")))</f>
        <v>20</v>
      </c>
      <c r="T8" cm="1">
        <f t="array" ref="T8">SUM(COUNTIF(P:P, _xlfn._xlws.FILTER(W$2:W$101, X$2:X$101="familial based")))</f>
        <v>231</v>
      </c>
      <c r="U8">
        <v>3</v>
      </c>
      <c r="W8" t="s">
        <v>978</v>
      </c>
      <c r="X8" t="s">
        <v>966</v>
      </c>
      <c r="Y8">
        <v>0</v>
      </c>
    </row>
    <row r="9" spans="1:32">
      <c r="A9" s="6" t="s">
        <v>1127</v>
      </c>
      <c r="B9" t="str" cm="1">
        <f t="array" ref="B9:C9">_xlfn.TEXTSPLIT(A9, ",")</f>
        <v>schapelle corby</v>
      </c>
      <c r="C9" t="str">
        <v xml:space="preserve"> corby</v>
      </c>
      <c r="O9" t="str">
        <v xml:space="preserve"> brother</v>
      </c>
      <c r="P9" t="str">
        <f t="shared" si="0"/>
        <v>brother</v>
      </c>
      <c r="R9" t="s">
        <v>975</v>
      </c>
      <c r="S9" cm="1">
        <f t="array" ref="S9">SUM(COUNTIF(O:O, _xlfn._xlws.FILTER(W$2:W$101, X$2:X$101="class based")))</f>
        <v>12</v>
      </c>
      <c r="T9" cm="1">
        <f t="array" ref="T9">SUM(COUNTIF(P:P, _xlfn._xlws.FILTER(W$2:W$101, X$2:X$101="class based")))</f>
        <v>34</v>
      </c>
      <c r="U9">
        <v>2</v>
      </c>
      <c r="W9" t="s">
        <v>980</v>
      </c>
      <c r="X9" t="s">
        <v>966</v>
      </c>
      <c r="Y9">
        <v>0</v>
      </c>
    </row>
    <row r="10" spans="1:32">
      <c r="A10" s="6" t="s">
        <v>1129</v>
      </c>
      <c r="B10" t="str" cm="1">
        <f t="array" ref="B10:D10">_xlfn.TEXTSPLIT(A10, ",")</f>
        <v>schapelle corby</v>
      </c>
      <c r="C10" t="str">
        <v xml:space="preserve"> australia</v>
      </c>
      <c r="D10" t="str">
        <v xml:space="preserve"> corby</v>
      </c>
      <c r="O10" t="str">
        <v>schapelle corby</v>
      </c>
      <c r="P10" t="str">
        <f t="shared" si="0"/>
        <v>schapelle corby</v>
      </c>
      <c r="R10" t="s">
        <v>977</v>
      </c>
      <c r="S10" cm="1">
        <f t="array" ref="S10">SUM(COUNTIF(O:O, _xlfn._xlws.FILTER(W$2:W$101, X$2:X$101="authority based")))</f>
        <v>0</v>
      </c>
      <c r="T10" cm="1">
        <f t="array" ref="T10">SUMPRODUCT(--ISNUMBER(MATCH(P:P, _xlfn._xlws.FILTER(W$2:W$101, X$2:X$101="authority based"), 0)))</f>
        <v>14</v>
      </c>
      <c r="U10">
        <v>3</v>
      </c>
      <c r="W10" t="s">
        <v>982</v>
      </c>
      <c r="X10" t="s">
        <v>966</v>
      </c>
      <c r="Y10">
        <v>0</v>
      </c>
    </row>
    <row r="11" spans="1:32">
      <c r="A11" s="6" t="s">
        <v>1127</v>
      </c>
      <c r="B11" t="str" cm="1">
        <f t="array" ref="B11:C11">_xlfn.TEXTSPLIT(A11, ",")</f>
        <v>schapelle corby</v>
      </c>
      <c r="C11" t="str">
        <v xml:space="preserve"> corby</v>
      </c>
      <c r="O11" t="str">
        <v xml:space="preserve"> australian</v>
      </c>
      <c r="P11" t="str">
        <f t="shared" si="0"/>
        <v>australian</v>
      </c>
      <c r="R11" t="s">
        <v>979</v>
      </c>
      <c r="S11" cm="1">
        <f t="array" ref="S11">SUM(COUNTIF(O:O, _xlfn._xlws.FILTER(W$2:W$101, X$2:X$101="moral condemnation")))</f>
        <v>0</v>
      </c>
      <c r="T11" cm="1">
        <f t="array" ref="T11">SUM(COUNTIF(P:P, _xlfn._xlws.FILTER(W$2:W$101, X$2:X$101="moral condemnation")))</f>
        <v>4</v>
      </c>
      <c r="U11">
        <v>2</v>
      </c>
      <c r="W11" t="s">
        <v>983</v>
      </c>
      <c r="X11" t="s">
        <v>966</v>
      </c>
      <c r="Y11">
        <v>0</v>
      </c>
    </row>
    <row r="12" spans="1:32" ht="29.25">
      <c r="A12" s="6" t="s">
        <v>1130</v>
      </c>
      <c r="B12" t="str" cm="1">
        <f t="array" ref="B12:F12">_xlfn.TEXTSPLIT(A12, ",")</f>
        <v>schapelle corby</v>
      </c>
      <c r="C12" t="str">
        <v xml:space="preserve"> australian</v>
      </c>
      <c r="D12" t="str">
        <v xml:space="preserve"> australia</v>
      </c>
      <c r="E12" t="str">
        <v xml:space="preserve"> corby</v>
      </c>
      <c r="F12" t="str">
        <v xml:space="preserve"> convicted</v>
      </c>
      <c r="O12" t="str">
        <v xml:space="preserve"> australia</v>
      </c>
      <c r="P12" t="str">
        <f t="shared" si="0"/>
        <v>australia</v>
      </c>
      <c r="R12" t="s">
        <v>981</v>
      </c>
      <c r="S12" cm="1">
        <f t="array" ref="S12">SUM(COUNTIF(O:O, _xlfn._xlws.FILTER(W$2:W$101, X$2:X$101="legality based")))</f>
        <v>11</v>
      </c>
      <c r="T12" cm="1">
        <f t="array" ref="T12">SUM(COUNTIF(P:P, _xlfn._xlws.FILTER(W$2:W$101, X$2:X$101="legality based")))</f>
        <v>105</v>
      </c>
      <c r="U12">
        <v>5</v>
      </c>
      <c r="W12" t="s">
        <v>984</v>
      </c>
      <c r="X12" t="s">
        <v>985</v>
      </c>
      <c r="Y12">
        <v>0</v>
      </c>
    </row>
    <row r="13" spans="1:32">
      <c r="A13" s="6" t="s">
        <v>1127</v>
      </c>
      <c r="B13" t="str" cm="1">
        <f t="array" ref="B13:C13">_xlfn.TEXTSPLIT(A13, ",")</f>
        <v>schapelle corby</v>
      </c>
      <c r="C13" t="str">
        <v xml:space="preserve"> corby</v>
      </c>
      <c r="O13" t="str">
        <v xml:space="preserve"> corby</v>
      </c>
      <c r="P13" t="str">
        <f t="shared" si="0"/>
        <v>corby</v>
      </c>
      <c r="U13">
        <v>2</v>
      </c>
      <c r="W13" t="s">
        <v>986</v>
      </c>
      <c r="X13" t="s">
        <v>985</v>
      </c>
      <c r="Y13">
        <v>1</v>
      </c>
    </row>
    <row r="14" spans="1:32">
      <c r="A14" s="6" t="s">
        <v>1065</v>
      </c>
      <c r="B14" t="str" cm="1">
        <f t="array" ref="B14">_xlfn.TEXTSPLIT(A14, ",")</f>
        <v xml:space="preserve">sentence </v>
      </c>
      <c r="O14" t="str">
        <v>schapelle corby</v>
      </c>
      <c r="P14" t="str">
        <f t="shared" si="0"/>
        <v>schapelle corby</v>
      </c>
      <c r="U14">
        <v>1</v>
      </c>
      <c r="W14" t="s">
        <v>987</v>
      </c>
      <c r="X14" t="s">
        <v>985</v>
      </c>
      <c r="Y14">
        <v>1</v>
      </c>
    </row>
    <row r="15" spans="1:32">
      <c r="A15" s="6" t="s">
        <v>1127</v>
      </c>
      <c r="B15" t="str" cm="1">
        <f t="array" ref="B15:C15">_xlfn.TEXTSPLIT(A15, ",")</f>
        <v>schapelle corby</v>
      </c>
      <c r="C15" t="str">
        <v xml:space="preserve"> corby</v>
      </c>
      <c r="O15" t="str">
        <v xml:space="preserve"> af</v>
      </c>
      <c r="P15" t="str">
        <f t="shared" si="0"/>
        <v>af</v>
      </c>
      <c r="U15">
        <v>2</v>
      </c>
      <c r="W15" t="s">
        <v>988</v>
      </c>
      <c r="X15" t="s">
        <v>985</v>
      </c>
      <c r="Y15">
        <v>0</v>
      </c>
    </row>
    <row r="16" spans="1:32">
      <c r="A16" s="6" t="s">
        <v>1127</v>
      </c>
      <c r="B16" t="str" cm="1">
        <f t="array" ref="B16:C16">_xlfn.TEXTSPLIT(A16, ",")</f>
        <v>schapelle corby</v>
      </c>
      <c r="C16" t="str">
        <v xml:space="preserve"> corby</v>
      </c>
      <c r="O16" t="str">
        <v xml:space="preserve"> corby</v>
      </c>
      <c r="P16" t="str">
        <f t="shared" si="0"/>
        <v>corby</v>
      </c>
      <c r="R16">
        <f>SUM(S5:S12)</f>
        <v>320</v>
      </c>
      <c r="T16">
        <f>SUM(T5:T12)</f>
        <v>892</v>
      </c>
      <c r="U16">
        <v>2</v>
      </c>
      <c r="W16" t="s">
        <v>989</v>
      </c>
      <c r="X16" t="s">
        <v>985</v>
      </c>
      <c r="Y16">
        <v>1</v>
      </c>
    </row>
    <row r="17" spans="1:25" ht="29.25">
      <c r="A17" s="6" t="s">
        <v>1131</v>
      </c>
      <c r="B17" t="str" cm="1">
        <f t="array" ref="B17:G17">_xlfn.TEXTSPLIT(A17, ",")</f>
        <v>schapelle corby</v>
      </c>
      <c r="C17" t="str">
        <v xml:space="preserve"> australian</v>
      </c>
      <c r="D17" t="str">
        <v xml:space="preserve"> australia</v>
      </c>
      <c r="E17" t="str">
        <v xml:space="preserve"> af</v>
      </c>
      <c r="F17" t="str">
        <v xml:space="preserve"> corby</v>
      </c>
      <c r="G17" t="str">
        <v xml:space="preserve"> AFP</v>
      </c>
      <c r="O17" t="str">
        <v>schapelle corby</v>
      </c>
      <c r="P17" t="str">
        <f t="shared" si="0"/>
        <v>schapelle corby</v>
      </c>
      <c r="U17">
        <v>6</v>
      </c>
      <c r="W17" t="s">
        <v>990</v>
      </c>
      <c r="X17" t="s">
        <v>985</v>
      </c>
      <c r="Y17">
        <v>2</v>
      </c>
    </row>
    <row r="18" spans="1:25">
      <c r="A18" s="6" t="s">
        <v>1132</v>
      </c>
      <c r="B18" t="str" cm="1">
        <f t="array" ref="B18:E18">_xlfn.TEXTSPLIT(A18, ",")</f>
        <v>schapelle corby</v>
      </c>
      <c r="C18" t="str">
        <v xml:space="preserve"> sister</v>
      </c>
      <c r="D18" t="str">
        <v xml:space="preserve"> mercedes</v>
      </c>
      <c r="E18" t="str">
        <v xml:space="preserve"> corby</v>
      </c>
      <c r="O18" t="str">
        <v xml:space="preserve"> australian</v>
      </c>
      <c r="P18" t="str">
        <f t="shared" si="0"/>
        <v>australian</v>
      </c>
      <c r="U18">
        <v>4</v>
      </c>
      <c r="W18" t="s">
        <v>991</v>
      </c>
      <c r="X18" t="s">
        <v>985</v>
      </c>
      <c r="Y18">
        <v>1</v>
      </c>
    </row>
    <row r="19" spans="1:25" ht="29.25">
      <c r="A19" s="6" t="s">
        <v>1133</v>
      </c>
      <c r="B19" t="str" cm="1">
        <f t="array" ref="B19:F19">_xlfn.TEXTSPLIT(A19, ",")</f>
        <v>schapelle corby</v>
      </c>
      <c r="C19" t="str">
        <v xml:space="preserve"> dumb</v>
      </c>
      <c r="D19" t="str">
        <v xml:space="preserve"> corby</v>
      </c>
      <c r="E19" t="str">
        <v xml:space="preserve"> bogan</v>
      </c>
      <c r="F19" t="str">
        <v xml:space="preserve"> innocent</v>
      </c>
      <c r="O19" t="str">
        <v xml:space="preserve"> smuggling</v>
      </c>
      <c r="P19" t="str">
        <f t="shared" si="0"/>
        <v>smuggling</v>
      </c>
      <c r="R19" cm="1">
        <f t="array" ref="R19">SUMPRODUCT(--(ISNUMBER(MATCH(_xlfn.TOCOL(B2:N320,3), W$2:W$200,0))))</f>
        <v>319</v>
      </c>
      <c r="U19">
        <v>5</v>
      </c>
      <c r="W19" t="s">
        <v>992</v>
      </c>
      <c r="X19" t="s">
        <v>985</v>
      </c>
      <c r="Y19">
        <v>1</v>
      </c>
    </row>
    <row r="20" spans="1:25">
      <c r="A20" s="6" t="s">
        <v>1079</v>
      </c>
      <c r="B20" t="str" cm="1">
        <f t="array" ref="B20:E20">_xlfn.TEXTSPLIT(A20, ",")</f>
        <v>schapelle corby</v>
      </c>
      <c r="C20" t="str">
        <v xml:space="preserve"> boogie board</v>
      </c>
      <c r="D20" t="str">
        <v xml:space="preserve"> bribed</v>
      </c>
      <c r="E20" t="str">
        <v xml:space="preserve"> corby</v>
      </c>
      <c r="O20" t="str">
        <v xml:space="preserve"> conviction</v>
      </c>
      <c r="P20" t="str">
        <f t="shared" si="0"/>
        <v>conviction</v>
      </c>
      <c r="R20">
        <f>COUNTA(_xlfn.ANCHORARRAY(O2))</f>
        <v>917</v>
      </c>
      <c r="U20">
        <v>4</v>
      </c>
      <c r="W20" t="s">
        <v>993</v>
      </c>
      <c r="X20" t="s">
        <v>985</v>
      </c>
      <c r="Y20">
        <v>0</v>
      </c>
    </row>
    <row r="21" spans="1:25">
      <c r="A21" s="6" t="s">
        <v>1134</v>
      </c>
      <c r="B21" t="str" cm="1">
        <f t="array" ref="B21:C21">_xlfn.TEXTSPLIT(A21, ",")</f>
        <v>bitch</v>
      </c>
      <c r="C21" t="str">
        <v xml:space="preserve"> defensive</v>
      </c>
      <c r="O21" t="str">
        <v xml:space="preserve"> australia</v>
      </c>
      <c r="P21" t="str">
        <f t="shared" si="0"/>
        <v>australia</v>
      </c>
      <c r="U21" t="s">
        <v>1135</v>
      </c>
      <c r="W21" t="s">
        <v>994</v>
      </c>
      <c r="X21" t="s">
        <v>985</v>
      </c>
      <c r="Y21">
        <v>0</v>
      </c>
    </row>
    <row r="22" spans="1:25" ht="29.25">
      <c r="A22" s="6" t="s">
        <v>1136</v>
      </c>
      <c r="B22" t="str" cm="1">
        <f t="array" ref="B22:H22">_xlfn.TEXTSPLIT(A22, ",")</f>
        <v>schapelle corby</v>
      </c>
      <c r="C22" t="str">
        <v xml:space="preserve"> drugs</v>
      </c>
      <c r="D22" t="str">
        <v xml:space="preserve"> drug trafficking</v>
      </c>
      <c r="E22" t="str">
        <v xml:space="preserve"> af</v>
      </c>
      <c r="F22" t="str">
        <v xml:space="preserve"> corby</v>
      </c>
      <c r="G22" t="str">
        <v xml:space="preserve"> innocent</v>
      </c>
      <c r="H22" t="str">
        <v xml:space="preserve"> reasonable doubt</v>
      </c>
      <c r="O22" t="str">
        <v xml:space="preserve"> convicted drug smuggler</v>
      </c>
      <c r="P22" t="str">
        <f t="shared" si="0"/>
        <v>convicted drug smuggler</v>
      </c>
      <c r="U22">
        <v>2</v>
      </c>
      <c r="W22" t="s">
        <v>995</v>
      </c>
      <c r="X22" t="s">
        <v>985</v>
      </c>
      <c r="Y22">
        <v>0</v>
      </c>
    </row>
    <row r="23" spans="1:25" ht="29.25">
      <c r="A23" s="6" t="s">
        <v>1136</v>
      </c>
      <c r="B23" t="str" cm="1">
        <f t="array" ref="B23:H23">_xlfn.TEXTSPLIT(A23, ",")</f>
        <v>schapelle corby</v>
      </c>
      <c r="C23" t="str">
        <v xml:space="preserve"> drugs</v>
      </c>
      <c r="D23" t="str">
        <v xml:space="preserve"> drug trafficking</v>
      </c>
      <c r="E23" t="str">
        <v xml:space="preserve"> af</v>
      </c>
      <c r="F23" t="str">
        <v xml:space="preserve"> corby</v>
      </c>
      <c r="G23" t="str">
        <v xml:space="preserve"> innocent</v>
      </c>
      <c r="H23" t="str">
        <v xml:space="preserve"> reasonable doubt</v>
      </c>
      <c r="O23" t="str">
        <v xml:space="preserve"> drug smuggler</v>
      </c>
      <c r="P23" t="str">
        <f t="shared" si="0"/>
        <v>drug smuggler</v>
      </c>
      <c r="U23">
        <v>7</v>
      </c>
      <c r="W23" t="s">
        <v>972</v>
      </c>
      <c r="X23" t="s">
        <v>985</v>
      </c>
      <c r="Y23">
        <v>0</v>
      </c>
    </row>
    <row r="24" spans="1:25">
      <c r="A24" s="6" t="s">
        <v>1125</v>
      </c>
      <c r="B24" t="str" cm="1">
        <f t="array" ref="B24:D24">_xlfn.TEXTSPLIT(A24, ",")</f>
        <v>schapelle corby</v>
      </c>
      <c r="C24" t="str">
        <v xml:space="preserve"> af</v>
      </c>
      <c r="D24" t="str">
        <v xml:space="preserve"> corby</v>
      </c>
      <c r="O24" t="str">
        <v xml:space="preserve"> corby</v>
      </c>
      <c r="P24" t="str">
        <f t="shared" si="0"/>
        <v>corby</v>
      </c>
      <c r="U24">
        <v>7</v>
      </c>
      <c r="W24" t="s">
        <v>996</v>
      </c>
      <c r="X24" t="s">
        <v>985</v>
      </c>
      <c r="Y24">
        <v>0</v>
      </c>
    </row>
    <row r="25" spans="1:25">
      <c r="A25" s="6" t="s">
        <v>1127</v>
      </c>
      <c r="B25" t="str" cm="1">
        <f t="array" ref="B25:C25">_xlfn.TEXTSPLIT(A25, ",")</f>
        <v>schapelle corby</v>
      </c>
      <c r="C25" t="str">
        <v xml:space="preserve"> corby</v>
      </c>
      <c r="O25" t="str">
        <v xml:space="preserve"> conviction</v>
      </c>
      <c r="P25" t="str">
        <f t="shared" si="0"/>
        <v>conviction</v>
      </c>
      <c r="U25">
        <v>3</v>
      </c>
      <c r="W25" t="s">
        <v>997</v>
      </c>
      <c r="X25" t="s">
        <v>985</v>
      </c>
      <c r="Y25">
        <v>0</v>
      </c>
    </row>
    <row r="26" spans="1:25">
      <c r="A26" s="6" t="s">
        <v>1137</v>
      </c>
      <c r="B26" t="str" cm="1">
        <f t="array" ref="B26:D26">_xlfn.TEXTSPLIT(A26, ",")</f>
        <v>schapelle corby</v>
      </c>
      <c r="C26" t="str">
        <v xml:space="preserve"> boogie board</v>
      </c>
      <c r="D26" t="str">
        <v xml:space="preserve"> corby</v>
      </c>
      <c r="O26" t="str">
        <v xml:space="preserve"> convicted</v>
      </c>
      <c r="P26" t="str">
        <f t="shared" si="0"/>
        <v>convicted</v>
      </c>
      <c r="U26">
        <v>2</v>
      </c>
      <c r="W26" t="s">
        <v>998</v>
      </c>
      <c r="X26" t="s">
        <v>985</v>
      </c>
      <c r="Y26">
        <v>0</v>
      </c>
    </row>
    <row r="27" spans="1:25">
      <c r="A27" s="6" t="s">
        <v>1127</v>
      </c>
      <c r="B27" t="str" cm="1">
        <f t="array" ref="B27:C27">_xlfn.TEXTSPLIT(A27, ",")</f>
        <v>schapelle corby</v>
      </c>
      <c r="C27" t="str">
        <v xml:space="preserve"> corby</v>
      </c>
      <c r="O27" t="str">
        <v>schapelle corby</v>
      </c>
      <c r="P27" t="str">
        <f t="shared" si="0"/>
        <v>schapelle corby</v>
      </c>
      <c r="U27">
        <v>3</v>
      </c>
      <c r="W27" t="s">
        <v>999</v>
      </c>
      <c r="X27" t="s">
        <v>985</v>
      </c>
      <c r="Y27">
        <v>0</v>
      </c>
    </row>
    <row r="28" spans="1:25">
      <c r="A28" s="6" t="s">
        <v>1124</v>
      </c>
      <c r="B28" t="str" cm="1">
        <f t="array" ref="B28:E28">_xlfn.TEXTSPLIT(A28, ",")</f>
        <v>schapelle corby</v>
      </c>
      <c r="C28" t="str">
        <v xml:space="preserve"> australian</v>
      </c>
      <c r="D28" t="str">
        <v xml:space="preserve"> australia</v>
      </c>
      <c r="E28" t="str">
        <v xml:space="preserve"> corby</v>
      </c>
      <c r="O28" t="str">
        <v xml:space="preserve"> corby</v>
      </c>
      <c r="P28" t="str">
        <f t="shared" si="0"/>
        <v>corby</v>
      </c>
      <c r="U28">
        <v>2</v>
      </c>
      <c r="W28" t="s">
        <v>1000</v>
      </c>
      <c r="X28" t="s">
        <v>985</v>
      </c>
      <c r="Y28">
        <v>2</v>
      </c>
    </row>
    <row r="29" spans="1:25">
      <c r="A29" s="6" t="s">
        <v>1127</v>
      </c>
      <c r="B29" t="str" cm="1">
        <f t="array" ref="B29:C29">_xlfn.TEXTSPLIT(A29, ",")</f>
        <v>schapelle corby</v>
      </c>
      <c r="C29" t="str">
        <v xml:space="preserve"> corby</v>
      </c>
      <c r="O29" t="str">
        <v>schapelle corby</v>
      </c>
      <c r="P29" t="str">
        <f t="shared" si="0"/>
        <v>schapelle corby</v>
      </c>
      <c r="U29">
        <v>4</v>
      </c>
      <c r="W29" t="s">
        <v>1001</v>
      </c>
      <c r="X29" t="s">
        <v>985</v>
      </c>
      <c r="Y29">
        <v>0</v>
      </c>
    </row>
    <row r="30" spans="1:25">
      <c r="A30" s="6" t="s">
        <v>1128</v>
      </c>
      <c r="B30" t="str" cm="1">
        <f t="array" ref="B30:D30">_xlfn.TEXTSPLIT(A30, ",")</f>
        <v>schapelle corby</v>
      </c>
      <c r="C30" t="str">
        <v xml:space="preserve"> corby</v>
      </c>
      <c r="D30" t="str">
        <v xml:space="preserve"> import</v>
      </c>
      <c r="O30" t="str">
        <v xml:space="preserve"> corby</v>
      </c>
      <c r="P30" t="str">
        <f t="shared" si="0"/>
        <v>corby</v>
      </c>
      <c r="U30">
        <v>2</v>
      </c>
      <c r="W30" t="s">
        <v>1002</v>
      </c>
      <c r="X30" t="s">
        <v>985</v>
      </c>
      <c r="Y30">
        <v>1</v>
      </c>
    </row>
    <row r="31" spans="1:25">
      <c r="A31" s="6" t="s">
        <v>1127</v>
      </c>
      <c r="B31" t="str" cm="1">
        <f t="array" ref="B31:C31">_xlfn.TEXTSPLIT(A31, ",")</f>
        <v>schapelle corby</v>
      </c>
      <c r="C31" t="str">
        <v xml:space="preserve"> corby</v>
      </c>
      <c r="O31" t="str">
        <v xml:space="preserve"> import</v>
      </c>
      <c r="P31" t="str">
        <f t="shared" si="0"/>
        <v>import</v>
      </c>
      <c r="U31">
        <v>3</v>
      </c>
      <c r="W31" t="s">
        <v>1003</v>
      </c>
      <c r="X31" t="s">
        <v>985</v>
      </c>
      <c r="Y31">
        <v>2</v>
      </c>
    </row>
    <row r="32" spans="1:25">
      <c r="A32" s="6" t="s">
        <v>1127</v>
      </c>
      <c r="B32" t="str" cm="1">
        <f t="array" ref="B32:C32">_xlfn.TEXTSPLIT(A32, ",")</f>
        <v>schapelle corby</v>
      </c>
      <c r="C32" t="str">
        <v xml:space="preserve"> corby</v>
      </c>
      <c r="O32" t="str">
        <v>schapelle corby</v>
      </c>
      <c r="P32" t="str">
        <f t="shared" si="0"/>
        <v>schapelle corby</v>
      </c>
      <c r="U32">
        <v>2</v>
      </c>
      <c r="W32" t="s">
        <v>1004</v>
      </c>
      <c r="X32" t="s">
        <v>985</v>
      </c>
      <c r="Y32">
        <v>0</v>
      </c>
    </row>
    <row r="33" spans="1:25">
      <c r="A33" s="6" t="s">
        <v>1127</v>
      </c>
      <c r="B33" t="str" cm="1">
        <f t="array" ref="B33:C33">_xlfn.TEXTSPLIT(A33, ",")</f>
        <v>schapelle corby</v>
      </c>
      <c r="C33" t="str">
        <v xml:space="preserve"> corby</v>
      </c>
      <c r="O33" t="str">
        <v xml:space="preserve"> corby</v>
      </c>
      <c r="P33" t="str">
        <f t="shared" si="0"/>
        <v>corby</v>
      </c>
      <c r="U33">
        <v>2</v>
      </c>
      <c r="W33" t="s">
        <v>1005</v>
      </c>
      <c r="X33" t="s">
        <v>985</v>
      </c>
      <c r="Y33">
        <v>1</v>
      </c>
    </row>
    <row r="34" spans="1:25">
      <c r="A34" s="6" t="s">
        <v>1127</v>
      </c>
      <c r="B34" t="str" cm="1">
        <f t="array" ref="B34:C34">_xlfn.TEXTSPLIT(A34, ",")</f>
        <v>schapelle corby</v>
      </c>
      <c r="C34" t="str">
        <v xml:space="preserve"> corby</v>
      </c>
      <c r="O34" t="str">
        <v>schapelle corby</v>
      </c>
      <c r="P34" t="str">
        <f t="shared" si="0"/>
        <v>schapelle corby</v>
      </c>
      <c r="U34">
        <v>2</v>
      </c>
      <c r="W34" t="s">
        <v>1006</v>
      </c>
      <c r="X34" t="s">
        <v>1007</v>
      </c>
      <c r="Y34">
        <v>3</v>
      </c>
    </row>
    <row r="35" spans="1:25">
      <c r="A35" s="6" t="s">
        <v>1127</v>
      </c>
      <c r="B35" t="str" cm="1">
        <f t="array" ref="B35:C35">_xlfn.TEXTSPLIT(A35, ",")</f>
        <v>schapelle corby</v>
      </c>
      <c r="C35" t="str">
        <v xml:space="preserve"> corby</v>
      </c>
      <c r="O35" t="str">
        <v xml:space="preserve"> australia</v>
      </c>
      <c r="P35" t="str">
        <f t="shared" si="0"/>
        <v>australia</v>
      </c>
      <c r="U35">
        <v>2</v>
      </c>
      <c r="W35" t="s">
        <v>1008</v>
      </c>
      <c r="X35" t="s">
        <v>1007</v>
      </c>
      <c r="Y35">
        <v>3</v>
      </c>
    </row>
    <row r="36" spans="1:25">
      <c r="A36" s="6" t="s">
        <v>1138</v>
      </c>
      <c r="B36" t="str" cm="1">
        <f t="array" ref="B36:D36">_xlfn.TEXTSPLIT(A36, ",")</f>
        <v>schapelle corby</v>
      </c>
      <c r="C36" t="str">
        <v xml:space="preserve"> corby</v>
      </c>
      <c r="D36" t="str">
        <v xml:space="preserve"> bogan</v>
      </c>
      <c r="O36" t="str">
        <v xml:space="preserve"> corby</v>
      </c>
      <c r="P36" t="str">
        <f t="shared" si="0"/>
        <v>corby</v>
      </c>
      <c r="U36">
        <v>2</v>
      </c>
      <c r="W36" t="s">
        <v>1009</v>
      </c>
      <c r="X36" t="s">
        <v>1007</v>
      </c>
      <c r="Y36">
        <v>3</v>
      </c>
    </row>
    <row r="37" spans="1:25">
      <c r="A37" s="6" t="s">
        <v>1080</v>
      </c>
      <c r="B37" t="str" cm="1">
        <f t="array" ref="B37:D37">_xlfn.TEXTSPLIT(A37, ",")</f>
        <v>schapelle corby</v>
      </c>
      <c r="C37" t="str">
        <v xml:space="preserve"> bribed</v>
      </c>
      <c r="D37" t="str">
        <v xml:space="preserve"> corby</v>
      </c>
      <c r="O37" t="str">
        <v>schapelle corby</v>
      </c>
      <c r="P37" t="str">
        <f t="shared" si="0"/>
        <v>schapelle corby</v>
      </c>
      <c r="U37">
        <v>3</v>
      </c>
      <c r="W37" t="s">
        <v>1010</v>
      </c>
      <c r="X37" t="s">
        <v>1007</v>
      </c>
      <c r="Y37">
        <v>4</v>
      </c>
    </row>
    <row r="38" spans="1:25">
      <c r="A38" s="6" t="s">
        <v>1127</v>
      </c>
      <c r="B38" t="str" cm="1">
        <f t="array" ref="B38:C38">_xlfn.TEXTSPLIT(A38, ",")</f>
        <v>schapelle corby</v>
      </c>
      <c r="C38" t="str">
        <v xml:space="preserve"> corby</v>
      </c>
      <c r="O38" t="str">
        <v xml:space="preserve"> corby</v>
      </c>
      <c r="P38" t="str">
        <f t="shared" si="0"/>
        <v>corby</v>
      </c>
      <c r="U38">
        <v>3</v>
      </c>
      <c r="W38" t="s">
        <v>1011</v>
      </c>
      <c r="X38" t="s">
        <v>1007</v>
      </c>
      <c r="Y38">
        <v>3</v>
      </c>
    </row>
    <row r="39" spans="1:25">
      <c r="A39" s="6" t="s">
        <v>1127</v>
      </c>
      <c r="B39" t="str" cm="1">
        <f t="array" ref="B39:C39">_xlfn.TEXTSPLIT(A39, ",")</f>
        <v>schapelle corby</v>
      </c>
      <c r="C39" t="str">
        <v xml:space="preserve"> corby</v>
      </c>
      <c r="O39" t="str">
        <v>schapelle corby</v>
      </c>
      <c r="P39" t="str">
        <f t="shared" si="0"/>
        <v>schapelle corby</v>
      </c>
      <c r="U39">
        <v>2</v>
      </c>
      <c r="W39" t="s">
        <v>1012</v>
      </c>
      <c r="X39" t="s">
        <v>1007</v>
      </c>
      <c r="Y39">
        <v>3</v>
      </c>
    </row>
    <row r="40" spans="1:25">
      <c r="A40" s="6" t="s">
        <v>1127</v>
      </c>
      <c r="B40" t="str" cm="1">
        <f t="array" ref="B40:C40">_xlfn.TEXTSPLIT(A40, ",")</f>
        <v>schapelle corby</v>
      </c>
      <c r="C40" t="str">
        <v xml:space="preserve"> corby</v>
      </c>
      <c r="O40" t="str">
        <v xml:space="preserve"> australian</v>
      </c>
      <c r="P40" t="str">
        <f t="shared" si="0"/>
        <v>australian</v>
      </c>
      <c r="U40">
        <v>2</v>
      </c>
      <c r="W40" t="s">
        <v>1013</v>
      </c>
      <c r="X40" t="s">
        <v>1007</v>
      </c>
      <c r="Y40">
        <v>3</v>
      </c>
    </row>
    <row r="41" spans="1:25">
      <c r="A41" s="6" t="s">
        <v>1139</v>
      </c>
      <c r="B41" t="str" cm="1">
        <f t="array" ref="B41:D41">_xlfn.TEXTSPLIT(A41, ",")</f>
        <v>schapelle corby</v>
      </c>
      <c r="C41" t="str">
        <v xml:space="preserve"> corby</v>
      </c>
      <c r="D41" t="str">
        <v xml:space="preserve"> parole</v>
      </c>
      <c r="O41" t="str">
        <v xml:space="preserve"> australia</v>
      </c>
      <c r="P41" t="str">
        <f t="shared" si="0"/>
        <v>australia</v>
      </c>
      <c r="R41" cm="1">
        <f t="array" ref="R41">COUNTA(_xlfn._xlws.FILTER(TRIM(O:O), TRIM(O:O)&lt;&gt;""))</f>
        <v>917</v>
      </c>
      <c r="U41" t="s">
        <v>1135</v>
      </c>
      <c r="W41" t="s">
        <v>1014</v>
      </c>
      <c r="X41" t="s">
        <v>1007</v>
      </c>
      <c r="Y41">
        <v>3</v>
      </c>
    </row>
    <row r="42" spans="1:25">
      <c r="A42" s="6" t="s">
        <v>1127</v>
      </c>
      <c r="B42" t="str" cm="1">
        <f t="array" ref="B42:C42">_xlfn.TEXTSPLIT(A42, ",")</f>
        <v>schapelle corby</v>
      </c>
      <c r="C42" t="str">
        <v xml:space="preserve"> corby</v>
      </c>
      <c r="O42" t="str">
        <v xml:space="preserve"> corby</v>
      </c>
      <c r="P42" t="str">
        <f t="shared" si="0"/>
        <v>corby</v>
      </c>
      <c r="U42">
        <v>2</v>
      </c>
      <c r="W42" t="s">
        <v>1015</v>
      </c>
      <c r="X42" t="s">
        <v>1007</v>
      </c>
      <c r="Y42">
        <v>3</v>
      </c>
    </row>
    <row r="43" spans="1:25">
      <c r="A43" s="6" t="s">
        <v>1127</v>
      </c>
      <c r="B43" t="str" cm="1">
        <f t="array" ref="B43:C43">_xlfn.TEXTSPLIT(A43, ",")</f>
        <v>schapelle corby</v>
      </c>
      <c r="C43" t="str">
        <v xml:space="preserve"> corby</v>
      </c>
      <c r="O43" t="str">
        <v xml:space="preserve"> convicted</v>
      </c>
      <c r="P43" t="str">
        <f t="shared" si="0"/>
        <v>convicted</v>
      </c>
      <c r="U43">
        <v>3</v>
      </c>
      <c r="W43" t="s">
        <v>1016</v>
      </c>
      <c r="X43" t="s">
        <v>1007</v>
      </c>
      <c r="Y43">
        <v>1</v>
      </c>
    </row>
    <row r="44" spans="1:25">
      <c r="A44" s="6" t="s">
        <v>1140</v>
      </c>
      <c r="B44" t="str" cm="1">
        <f t="array" ref="B44:D44">_xlfn.TEXTSPLIT(A44, ",")</f>
        <v>schapelle corby</v>
      </c>
      <c r="C44" t="str">
        <v xml:space="preserve"> indonesia </v>
      </c>
      <c r="D44" t="str">
        <v xml:space="preserve"> corby</v>
      </c>
      <c r="O44" t="str">
        <v>schapelle corby</v>
      </c>
      <c r="P44" t="str">
        <f t="shared" si="0"/>
        <v>schapelle corby</v>
      </c>
      <c r="U44">
        <v>2</v>
      </c>
      <c r="W44" t="s">
        <v>1017</v>
      </c>
      <c r="X44" t="s">
        <v>1007</v>
      </c>
      <c r="Y44">
        <v>3</v>
      </c>
    </row>
    <row r="45" spans="1:25">
      <c r="A45" s="6" t="s">
        <v>1124</v>
      </c>
      <c r="B45" t="str" cm="1">
        <f t="array" ref="B45:E45">_xlfn.TEXTSPLIT(A45, ",")</f>
        <v>schapelle corby</v>
      </c>
      <c r="C45" t="str">
        <v xml:space="preserve"> australian</v>
      </c>
      <c r="D45" t="str">
        <v xml:space="preserve"> australia</v>
      </c>
      <c r="E45" t="str">
        <v xml:space="preserve"> corby</v>
      </c>
      <c r="O45" t="str">
        <v xml:space="preserve"> corby</v>
      </c>
      <c r="P45" t="str">
        <f t="shared" si="0"/>
        <v>corby</v>
      </c>
      <c r="U45">
        <v>2</v>
      </c>
      <c r="W45" t="s">
        <v>1018</v>
      </c>
      <c r="X45" t="s">
        <v>1007</v>
      </c>
      <c r="Y45">
        <v>0</v>
      </c>
    </row>
    <row r="46" spans="1:25" ht="29.25">
      <c r="A46" s="6" t="s">
        <v>1141</v>
      </c>
      <c r="B46" t="str" cm="1">
        <f t="array" ref="B46:F46">_xlfn.TEXTSPLIT(A46, ",")</f>
        <v>schapelle corby</v>
      </c>
      <c r="C46" t="str">
        <v xml:space="preserve"> convicted drug smuggler</v>
      </c>
      <c r="D46" t="str">
        <v xml:space="preserve"> drug smuggler</v>
      </c>
      <c r="E46" t="str">
        <v xml:space="preserve"> corby</v>
      </c>
      <c r="F46" t="str">
        <v xml:space="preserve"> convicted</v>
      </c>
      <c r="O46" t="str">
        <v xml:space="preserve">sentence </v>
      </c>
      <c r="P46" t="str">
        <f t="shared" si="0"/>
        <v>sentence</v>
      </c>
      <c r="U46">
        <v>3</v>
      </c>
      <c r="W46" t="s">
        <v>1019</v>
      </c>
      <c r="X46" t="s">
        <v>1007</v>
      </c>
      <c r="Y46">
        <v>3</v>
      </c>
    </row>
    <row r="47" spans="1:25">
      <c r="A47" s="6" t="s">
        <v>1127</v>
      </c>
      <c r="B47" t="str" cm="1">
        <f t="array" ref="B47:C47">_xlfn.TEXTSPLIT(A47, ",")</f>
        <v>schapelle corby</v>
      </c>
      <c r="C47" t="str">
        <v xml:space="preserve"> corby</v>
      </c>
      <c r="O47" t="str">
        <v>schapelle corby</v>
      </c>
      <c r="P47" t="str">
        <f t="shared" si="0"/>
        <v>schapelle corby</v>
      </c>
      <c r="U47">
        <v>4</v>
      </c>
      <c r="W47" t="s">
        <v>1020</v>
      </c>
      <c r="X47" t="s">
        <v>1007</v>
      </c>
      <c r="Y47">
        <v>1</v>
      </c>
    </row>
    <row r="48" spans="1:25">
      <c r="A48" s="6" t="s">
        <v>1124</v>
      </c>
      <c r="B48" t="str" cm="1">
        <f t="array" ref="B48:E48">_xlfn.TEXTSPLIT(A48, ",")</f>
        <v>schapelle corby</v>
      </c>
      <c r="C48" t="str">
        <v xml:space="preserve"> australian</v>
      </c>
      <c r="D48" t="str">
        <v xml:space="preserve"> australia</v>
      </c>
      <c r="E48" t="str">
        <v xml:space="preserve"> corby</v>
      </c>
      <c r="O48" t="str">
        <v xml:space="preserve"> corby</v>
      </c>
      <c r="P48" t="str">
        <f t="shared" si="0"/>
        <v>corby</v>
      </c>
      <c r="U48">
        <v>5</v>
      </c>
      <c r="W48" t="s">
        <v>1021</v>
      </c>
      <c r="X48" t="s">
        <v>1022</v>
      </c>
      <c r="Y48">
        <v>0</v>
      </c>
    </row>
    <row r="49" spans="1:25">
      <c r="A49" s="6" t="s">
        <v>1124</v>
      </c>
      <c r="B49" t="str" cm="1">
        <f t="array" ref="B49:E49">_xlfn.TEXTSPLIT(A49, ",")</f>
        <v>schapelle corby</v>
      </c>
      <c r="C49" t="str">
        <v xml:space="preserve"> australian</v>
      </c>
      <c r="D49" t="str">
        <v xml:space="preserve"> australia</v>
      </c>
      <c r="E49" t="str">
        <v xml:space="preserve"> corby</v>
      </c>
      <c r="O49" t="str">
        <v>schapelle corby</v>
      </c>
      <c r="P49" t="str">
        <f t="shared" si="0"/>
        <v>schapelle corby</v>
      </c>
      <c r="U49">
        <v>2</v>
      </c>
      <c r="W49" t="s">
        <v>1023</v>
      </c>
      <c r="X49" t="s">
        <v>1022</v>
      </c>
      <c r="Y49">
        <v>0</v>
      </c>
    </row>
    <row r="50" spans="1:25">
      <c r="A50" s="6" t="s">
        <v>1124</v>
      </c>
      <c r="B50" t="str" cm="1">
        <f t="array" ref="B50:E50">_xlfn.TEXTSPLIT(A50, ",")</f>
        <v>schapelle corby</v>
      </c>
      <c r="C50" t="str">
        <v xml:space="preserve"> australian</v>
      </c>
      <c r="D50" t="str">
        <v xml:space="preserve"> australia</v>
      </c>
      <c r="E50" t="str">
        <v xml:space="preserve"> corby</v>
      </c>
      <c r="O50" t="str">
        <v xml:space="preserve"> corby</v>
      </c>
      <c r="P50" t="str">
        <f t="shared" si="0"/>
        <v>corby</v>
      </c>
      <c r="U50">
        <v>4</v>
      </c>
      <c r="W50" t="s">
        <v>1024</v>
      </c>
      <c r="X50" t="s">
        <v>1022</v>
      </c>
      <c r="Y50">
        <v>0</v>
      </c>
    </row>
    <row r="51" spans="1:25">
      <c r="A51" s="6" t="s">
        <v>1127</v>
      </c>
      <c r="B51" t="str" cm="1">
        <f t="array" ref="B51:C51">_xlfn.TEXTSPLIT(A51, ",")</f>
        <v>schapelle corby</v>
      </c>
      <c r="C51" t="str">
        <v xml:space="preserve"> corby</v>
      </c>
      <c r="O51" t="str">
        <v>schapelle corby</v>
      </c>
      <c r="P51" t="str">
        <f t="shared" si="0"/>
        <v>schapelle corby</v>
      </c>
      <c r="U51">
        <v>4</v>
      </c>
      <c r="W51" t="s">
        <v>1025</v>
      </c>
      <c r="X51" t="s">
        <v>1022</v>
      </c>
      <c r="Y51">
        <v>0</v>
      </c>
    </row>
    <row r="52" spans="1:25">
      <c r="A52" s="6" t="s">
        <v>1127</v>
      </c>
      <c r="B52" t="str" cm="1">
        <f t="array" ref="B52:C52">_xlfn.TEXTSPLIT(A52, ",")</f>
        <v>schapelle corby</v>
      </c>
      <c r="C52" t="str">
        <v xml:space="preserve"> corby</v>
      </c>
      <c r="O52" t="str">
        <v xml:space="preserve"> australian</v>
      </c>
      <c r="P52" t="str">
        <f t="shared" si="0"/>
        <v>australian</v>
      </c>
      <c r="U52">
        <v>4</v>
      </c>
      <c r="W52" t="s">
        <v>1026</v>
      </c>
      <c r="X52" t="s">
        <v>1022</v>
      </c>
      <c r="Y52">
        <v>0</v>
      </c>
    </row>
    <row r="53" spans="1:25">
      <c r="A53" s="6" t="s">
        <v>1124</v>
      </c>
      <c r="B53" t="str" cm="1">
        <f t="array" ref="B53:E53">_xlfn.TEXTSPLIT(A53, ",")</f>
        <v>schapelle corby</v>
      </c>
      <c r="C53" t="str">
        <v xml:space="preserve"> australian</v>
      </c>
      <c r="D53" t="str">
        <v xml:space="preserve"> australia</v>
      </c>
      <c r="E53" t="str">
        <v xml:space="preserve"> corby</v>
      </c>
      <c r="O53" t="str">
        <v xml:space="preserve"> australia</v>
      </c>
      <c r="P53" t="str">
        <f t="shared" si="0"/>
        <v>australia</v>
      </c>
      <c r="U53">
        <v>2</v>
      </c>
      <c r="W53" t="s">
        <v>1027</v>
      </c>
      <c r="X53" t="s">
        <v>1022</v>
      </c>
      <c r="Y53">
        <v>0</v>
      </c>
    </row>
    <row r="54" spans="1:25">
      <c r="A54" s="6" t="s">
        <v>1127</v>
      </c>
      <c r="B54" t="str" cm="1">
        <f t="array" ref="B54:C54">_xlfn.TEXTSPLIT(A54, ",")</f>
        <v>schapelle corby</v>
      </c>
      <c r="C54" t="str">
        <v xml:space="preserve"> corby</v>
      </c>
      <c r="O54" t="str">
        <v xml:space="preserve"> af</v>
      </c>
      <c r="P54" t="str">
        <f t="shared" si="0"/>
        <v>af</v>
      </c>
      <c r="U54">
        <v>2</v>
      </c>
      <c r="W54" t="s">
        <v>1028</v>
      </c>
      <c r="X54" t="s">
        <v>1022</v>
      </c>
      <c r="Y54">
        <v>0</v>
      </c>
    </row>
    <row r="55" spans="1:25">
      <c r="A55" s="6" t="s">
        <v>1125</v>
      </c>
      <c r="B55" t="str" cm="1">
        <f t="array" ref="B55:D55">_xlfn.TEXTSPLIT(A55, ",")</f>
        <v>schapelle corby</v>
      </c>
      <c r="C55" t="str">
        <v xml:space="preserve"> af</v>
      </c>
      <c r="D55" t="str">
        <v xml:space="preserve"> corby</v>
      </c>
      <c r="O55" t="str">
        <v xml:space="preserve"> corby</v>
      </c>
      <c r="P55" t="str">
        <f t="shared" si="0"/>
        <v>corby</v>
      </c>
      <c r="U55">
        <v>4</v>
      </c>
      <c r="W55" t="s">
        <v>1029</v>
      </c>
      <c r="X55" t="s">
        <v>1022</v>
      </c>
      <c r="Y55">
        <v>0</v>
      </c>
    </row>
    <row r="56" spans="1:25">
      <c r="A56" s="6" t="s">
        <v>1127</v>
      </c>
      <c r="B56" t="str" cm="1">
        <f t="array" ref="B56:C56">_xlfn.TEXTSPLIT(A56, ",")</f>
        <v>schapelle corby</v>
      </c>
      <c r="C56" t="str">
        <v xml:space="preserve"> corby</v>
      </c>
      <c r="O56" t="str">
        <v xml:space="preserve"> AFP</v>
      </c>
      <c r="P56" t="str">
        <f t="shared" si="0"/>
        <v>AFP</v>
      </c>
      <c r="U56">
        <v>2</v>
      </c>
      <c r="W56" t="s">
        <v>1030</v>
      </c>
      <c r="X56" t="s">
        <v>1022</v>
      </c>
      <c r="Y56">
        <v>0</v>
      </c>
    </row>
    <row r="57" spans="1:25">
      <c r="A57" s="6" t="s">
        <v>1137</v>
      </c>
      <c r="B57" t="str" cm="1">
        <f t="array" ref="B57:D57">_xlfn.TEXTSPLIT(A57, ",")</f>
        <v>schapelle corby</v>
      </c>
      <c r="C57" t="str">
        <v xml:space="preserve"> boogie board</v>
      </c>
      <c r="D57" t="str">
        <v xml:space="preserve"> corby</v>
      </c>
      <c r="O57" t="str">
        <v>schapelle corby</v>
      </c>
      <c r="P57" t="str">
        <f t="shared" si="0"/>
        <v>schapelle corby</v>
      </c>
      <c r="U57">
        <v>3</v>
      </c>
      <c r="W57" t="s">
        <v>1031</v>
      </c>
      <c r="X57" t="s">
        <v>1032</v>
      </c>
      <c r="Y57">
        <v>3</v>
      </c>
    </row>
    <row r="58" spans="1:25" ht="29.25">
      <c r="A58" s="6" t="s">
        <v>1141</v>
      </c>
      <c r="B58" t="str" cm="1">
        <f t="array" ref="B58:F58">_xlfn.TEXTSPLIT(A58, ",")</f>
        <v>schapelle corby</v>
      </c>
      <c r="C58" t="str">
        <v xml:space="preserve"> convicted drug smuggler</v>
      </c>
      <c r="D58" t="str">
        <v xml:space="preserve"> drug smuggler</v>
      </c>
      <c r="E58" t="str">
        <v xml:space="preserve"> corby</v>
      </c>
      <c r="F58" t="str">
        <v xml:space="preserve"> convicted</v>
      </c>
      <c r="O58" t="str">
        <v xml:space="preserve"> sister</v>
      </c>
      <c r="P58" t="str">
        <f t="shared" si="0"/>
        <v>sister</v>
      </c>
      <c r="U58">
        <v>2</v>
      </c>
      <c r="W58" t="s">
        <v>1033</v>
      </c>
      <c r="X58" t="s">
        <v>1032</v>
      </c>
      <c r="Y58">
        <v>3</v>
      </c>
    </row>
    <row r="59" spans="1:25">
      <c r="A59" s="6" t="s">
        <v>1127</v>
      </c>
      <c r="B59" t="str" cm="1">
        <f t="array" ref="B59:C59">_xlfn.TEXTSPLIT(A59, ",")</f>
        <v>schapelle corby</v>
      </c>
      <c r="C59" t="str">
        <v xml:space="preserve"> corby</v>
      </c>
      <c r="O59" t="str">
        <v xml:space="preserve"> mercedes</v>
      </c>
      <c r="P59" t="str">
        <f t="shared" si="0"/>
        <v>mercedes</v>
      </c>
      <c r="U59">
        <v>3</v>
      </c>
      <c r="W59" t="s">
        <v>1034</v>
      </c>
      <c r="X59" t="s">
        <v>1032</v>
      </c>
      <c r="Y59">
        <v>4</v>
      </c>
    </row>
    <row r="60" spans="1:25">
      <c r="A60" s="6" t="s">
        <v>1127</v>
      </c>
      <c r="B60" t="str" cm="1">
        <f t="array" ref="B60:C60">_xlfn.TEXTSPLIT(A60, ",")</f>
        <v>schapelle corby</v>
      </c>
      <c r="C60" t="str">
        <v xml:space="preserve"> corby</v>
      </c>
      <c r="O60" t="str">
        <v xml:space="preserve"> corby</v>
      </c>
      <c r="P60" t="str">
        <f t="shared" si="0"/>
        <v>corby</v>
      </c>
      <c r="U60">
        <v>5</v>
      </c>
      <c r="W60" t="s">
        <v>1035</v>
      </c>
      <c r="X60" t="s">
        <v>1032</v>
      </c>
      <c r="Y60">
        <v>4</v>
      </c>
    </row>
    <row r="61" spans="1:25">
      <c r="A61" s="6" t="s">
        <v>1127</v>
      </c>
      <c r="B61" t="str" cm="1">
        <f t="array" ref="B61:C61">_xlfn.TEXTSPLIT(A61, ",")</f>
        <v>schapelle corby</v>
      </c>
      <c r="C61" t="str">
        <v xml:space="preserve"> corby</v>
      </c>
      <c r="O61" t="str">
        <v>schapelle corby</v>
      </c>
      <c r="P61" t="str">
        <f t="shared" si="0"/>
        <v>schapelle corby</v>
      </c>
      <c r="U61">
        <v>2</v>
      </c>
      <c r="W61" t="s">
        <v>1036</v>
      </c>
      <c r="X61" t="s">
        <v>1032</v>
      </c>
      <c r="Y61">
        <v>4</v>
      </c>
    </row>
    <row r="62" spans="1:25">
      <c r="A62" s="6" t="s">
        <v>1127</v>
      </c>
      <c r="B62" t="str" cm="1">
        <f t="array" ref="B62:C62">_xlfn.TEXTSPLIT(A62, ",")</f>
        <v>schapelle corby</v>
      </c>
      <c r="C62" t="str">
        <v xml:space="preserve"> corby</v>
      </c>
      <c r="O62" t="str">
        <v xml:space="preserve"> dumb</v>
      </c>
      <c r="P62" t="str">
        <f t="shared" si="0"/>
        <v>dumb</v>
      </c>
      <c r="U62">
        <v>2</v>
      </c>
      <c r="W62" t="s">
        <v>1037</v>
      </c>
      <c r="X62" t="s">
        <v>1032</v>
      </c>
      <c r="Y62">
        <v>4</v>
      </c>
    </row>
    <row r="63" spans="1:25">
      <c r="A63" s="6" t="s">
        <v>1127</v>
      </c>
      <c r="B63" t="str" cm="1">
        <f t="array" ref="B63:C63">_xlfn.TEXTSPLIT(A63, ",")</f>
        <v>schapelle corby</v>
      </c>
      <c r="C63" t="str">
        <v xml:space="preserve"> corby</v>
      </c>
      <c r="O63" t="str">
        <v xml:space="preserve"> corby</v>
      </c>
      <c r="P63" t="str">
        <f t="shared" si="0"/>
        <v>corby</v>
      </c>
      <c r="U63">
        <v>2</v>
      </c>
      <c r="W63" t="s">
        <v>1038</v>
      </c>
      <c r="X63" t="s">
        <v>1032</v>
      </c>
      <c r="Y63">
        <v>3</v>
      </c>
    </row>
    <row r="64" spans="1:25">
      <c r="A64" s="6" t="s">
        <v>1142</v>
      </c>
      <c r="B64" t="str" cm="1">
        <f t="array" ref="B64:D64">_xlfn.TEXTSPLIT(A64, ",")</f>
        <v>schapelle corby</v>
      </c>
      <c r="C64" t="str">
        <v xml:space="preserve"> jail</v>
      </c>
      <c r="D64" t="str">
        <v xml:space="preserve"> corby</v>
      </c>
      <c r="O64" t="str">
        <v xml:space="preserve"> bogan</v>
      </c>
      <c r="P64" t="str">
        <f t="shared" si="0"/>
        <v>bogan</v>
      </c>
      <c r="U64">
        <v>2</v>
      </c>
      <c r="W64" t="s">
        <v>1039</v>
      </c>
      <c r="X64" t="s">
        <v>1032</v>
      </c>
      <c r="Y64">
        <v>1</v>
      </c>
    </row>
    <row r="65" spans="1:25">
      <c r="A65" s="6" t="s">
        <v>1143</v>
      </c>
      <c r="B65" t="str" cm="1">
        <f t="array" ref="B65:E65">_xlfn.TEXTSPLIT(A65, ",")</f>
        <v>schapelle corby</v>
      </c>
      <c r="C65" t="str">
        <v xml:space="preserve"> australia</v>
      </c>
      <c r="D65" t="str">
        <v xml:space="preserve"> af</v>
      </c>
      <c r="E65" t="str">
        <v xml:space="preserve"> corby</v>
      </c>
      <c r="O65" t="str">
        <v xml:space="preserve"> innocent</v>
      </c>
      <c r="P65" t="str">
        <f t="shared" si="0"/>
        <v>innocent</v>
      </c>
      <c r="U65">
        <v>2</v>
      </c>
      <c r="W65" t="s">
        <v>1040</v>
      </c>
      <c r="X65" t="s">
        <v>1041</v>
      </c>
      <c r="Y65">
        <v>3</v>
      </c>
    </row>
    <row r="66" spans="1:25">
      <c r="A66" s="6" t="s">
        <v>1124</v>
      </c>
      <c r="B66" t="str" cm="1">
        <f t="array" ref="B66:E66">_xlfn.TEXTSPLIT(A66, ",")</f>
        <v>schapelle corby</v>
      </c>
      <c r="C66" t="str">
        <v xml:space="preserve"> australian</v>
      </c>
      <c r="D66" t="str">
        <v xml:space="preserve"> australia</v>
      </c>
      <c r="E66" t="str">
        <v xml:space="preserve"> corby</v>
      </c>
      <c r="O66" t="str">
        <v>schapelle corby</v>
      </c>
      <c r="P66" t="str">
        <f t="shared" si="0"/>
        <v>schapelle corby</v>
      </c>
      <c r="U66">
        <v>3</v>
      </c>
      <c r="W66" t="s">
        <v>1042</v>
      </c>
      <c r="X66" t="s">
        <v>1041</v>
      </c>
      <c r="Y66">
        <v>0</v>
      </c>
    </row>
    <row r="67" spans="1:25">
      <c r="A67" s="6" t="s">
        <v>1127</v>
      </c>
      <c r="B67" t="str" cm="1">
        <f t="array" ref="B67:C67">_xlfn.TEXTSPLIT(A67, ",")</f>
        <v>schapelle corby</v>
      </c>
      <c r="C67" t="str">
        <v xml:space="preserve"> corby</v>
      </c>
      <c r="O67" t="str">
        <v xml:space="preserve"> boogie board</v>
      </c>
      <c r="P67" t="str">
        <f t="shared" ref="P67:P130" si="1">TRIM(O67)</f>
        <v>boogie board</v>
      </c>
      <c r="U67">
        <v>4</v>
      </c>
      <c r="W67" t="s">
        <v>1043</v>
      </c>
      <c r="X67" t="s">
        <v>1041</v>
      </c>
      <c r="Y67">
        <v>0</v>
      </c>
    </row>
    <row r="68" spans="1:25" ht="29.25">
      <c r="A68" s="6" t="s">
        <v>1144</v>
      </c>
      <c r="B68" t="str" cm="1">
        <f t="array" ref="B68:F68">_xlfn.TEXTSPLIT(A68, ",")</f>
        <v>schapelle corby</v>
      </c>
      <c r="C68" t="str">
        <v xml:space="preserve"> drug trafficking</v>
      </c>
      <c r="D68" t="str">
        <v xml:space="preserve"> af</v>
      </c>
      <c r="E68" t="str">
        <v xml:space="preserve"> corby</v>
      </c>
      <c r="F68" t="str">
        <v xml:space="preserve"> innocent</v>
      </c>
      <c r="O68" t="str">
        <v xml:space="preserve"> bribed</v>
      </c>
      <c r="P68" t="str">
        <f t="shared" si="1"/>
        <v>bribed</v>
      </c>
      <c r="U68">
        <v>4</v>
      </c>
      <c r="W68" t="s">
        <v>1044</v>
      </c>
      <c r="X68" t="s">
        <v>1041</v>
      </c>
      <c r="Y68">
        <v>2</v>
      </c>
    </row>
    <row r="69" spans="1:25">
      <c r="A69" s="6" t="s">
        <v>1127</v>
      </c>
      <c r="B69" t="str" cm="1">
        <f t="array" ref="B69:C69">_xlfn.TEXTSPLIT(A69, ",")</f>
        <v>schapelle corby</v>
      </c>
      <c r="C69" t="str">
        <v xml:space="preserve"> corby</v>
      </c>
      <c r="O69" t="str">
        <v xml:space="preserve"> corby</v>
      </c>
      <c r="P69" t="str">
        <f t="shared" si="1"/>
        <v>corby</v>
      </c>
      <c r="U69">
        <v>2</v>
      </c>
      <c r="W69" t="s">
        <v>1045</v>
      </c>
      <c r="X69" t="s">
        <v>1046</v>
      </c>
      <c r="Y69">
        <v>3</v>
      </c>
    </row>
    <row r="70" spans="1:25">
      <c r="A70" s="6" t="s">
        <v>1127</v>
      </c>
      <c r="B70" t="str" cm="1">
        <f t="array" ref="B70:C70">_xlfn.TEXTSPLIT(A70, ",")</f>
        <v>schapelle corby</v>
      </c>
      <c r="C70" t="str">
        <v xml:space="preserve"> corby</v>
      </c>
      <c r="O70" t="str">
        <v>bitch</v>
      </c>
      <c r="P70" t="str">
        <f t="shared" si="1"/>
        <v>bitch</v>
      </c>
      <c r="U70">
        <v>5</v>
      </c>
      <c r="W70" t="s">
        <v>1047</v>
      </c>
      <c r="X70" t="s">
        <v>1046</v>
      </c>
      <c r="Y70">
        <v>3</v>
      </c>
    </row>
    <row r="71" spans="1:25">
      <c r="A71" s="6" t="s">
        <v>1127</v>
      </c>
      <c r="B71" t="str" cm="1">
        <f t="array" ref="B71:C71">_xlfn.TEXTSPLIT(A71, ",")</f>
        <v>schapelle corby</v>
      </c>
      <c r="C71" t="str">
        <v xml:space="preserve"> corby</v>
      </c>
      <c r="O71" t="str">
        <v xml:space="preserve"> defensive</v>
      </c>
      <c r="P71" t="str">
        <f t="shared" si="1"/>
        <v>defensive</v>
      </c>
      <c r="U71">
        <v>2</v>
      </c>
      <c r="W71" t="s">
        <v>1048</v>
      </c>
      <c r="X71" t="s">
        <v>1046</v>
      </c>
      <c r="Y71">
        <v>3</v>
      </c>
    </row>
    <row r="72" spans="1:25" ht="29.25">
      <c r="A72" s="6" t="s">
        <v>1081</v>
      </c>
      <c r="B72" t="str" cm="1">
        <f t="array" ref="B72:F72">_xlfn.TEXTSPLIT(A72, ",")</f>
        <v>schapelle corby</v>
      </c>
      <c r="C72" t="str">
        <v xml:space="preserve"> australian</v>
      </c>
      <c r="D72" t="str">
        <v xml:space="preserve"> australia</v>
      </c>
      <c r="E72" t="str">
        <v xml:space="preserve"> drug smuggler</v>
      </c>
      <c r="F72" t="str">
        <v xml:space="preserve"> corby</v>
      </c>
      <c r="O72" t="str">
        <v>schapelle corby</v>
      </c>
      <c r="P72" t="str">
        <f t="shared" si="1"/>
        <v>schapelle corby</v>
      </c>
      <c r="U72">
        <v>2</v>
      </c>
      <c r="W72" t="s">
        <v>1049</v>
      </c>
      <c r="X72" t="s">
        <v>1046</v>
      </c>
      <c r="Y72">
        <v>2</v>
      </c>
    </row>
    <row r="73" spans="1:25">
      <c r="A73" s="6" t="s">
        <v>1082</v>
      </c>
      <c r="B73" t="str" cm="1">
        <f t="array" ref="B73:D73">_xlfn.TEXTSPLIT(A73, ",")</f>
        <v>schapelle corby</v>
      </c>
      <c r="C73" t="str">
        <v xml:space="preserve"> media circus</v>
      </c>
      <c r="D73" t="str">
        <v xml:space="preserve"> corby</v>
      </c>
      <c r="O73" t="str">
        <v xml:space="preserve"> drugs</v>
      </c>
      <c r="P73" t="str">
        <f t="shared" si="1"/>
        <v>drugs</v>
      </c>
      <c r="U73">
        <v>2</v>
      </c>
      <c r="W73" t="s">
        <v>1050</v>
      </c>
      <c r="X73" t="s">
        <v>1046</v>
      </c>
      <c r="Y73">
        <v>2</v>
      </c>
    </row>
    <row r="74" spans="1:25">
      <c r="A74" s="6" t="s">
        <v>1129</v>
      </c>
      <c r="B74" t="str" cm="1">
        <f t="array" ref="B74:D74">_xlfn.TEXTSPLIT(A74, ",")</f>
        <v>schapelle corby</v>
      </c>
      <c r="C74" t="str">
        <v xml:space="preserve"> australia</v>
      </c>
      <c r="D74" t="str">
        <v xml:space="preserve"> corby</v>
      </c>
      <c r="O74" t="str">
        <v xml:space="preserve"> drug trafficking</v>
      </c>
      <c r="P74" t="str">
        <f t="shared" si="1"/>
        <v>drug trafficking</v>
      </c>
      <c r="U74">
        <v>5</v>
      </c>
      <c r="W74" t="s">
        <v>1051</v>
      </c>
      <c r="X74" t="s">
        <v>1046</v>
      </c>
      <c r="Y74">
        <v>0</v>
      </c>
    </row>
    <row r="75" spans="1:25">
      <c r="A75" s="6" t="s">
        <v>1127</v>
      </c>
      <c r="B75" t="str" cm="1">
        <f t="array" ref="B75:C75">_xlfn.TEXTSPLIT(A75, ",")</f>
        <v>schapelle corby</v>
      </c>
      <c r="C75" t="str">
        <v xml:space="preserve"> corby</v>
      </c>
      <c r="O75" t="str">
        <v xml:space="preserve"> af</v>
      </c>
      <c r="P75" t="str">
        <f t="shared" si="1"/>
        <v>af</v>
      </c>
      <c r="U75">
        <v>3</v>
      </c>
      <c r="W75" t="s">
        <v>1052</v>
      </c>
      <c r="X75" t="s">
        <v>1046</v>
      </c>
      <c r="Y75">
        <v>1</v>
      </c>
    </row>
    <row r="76" spans="1:25">
      <c r="A76" s="6" t="s">
        <v>1127</v>
      </c>
      <c r="B76" t="str" cm="1">
        <f t="array" ref="B76:C76">_xlfn.TEXTSPLIT(A76, ",")</f>
        <v>schapelle corby</v>
      </c>
      <c r="C76" t="str">
        <v xml:space="preserve"> corby</v>
      </c>
      <c r="O76" t="str">
        <v xml:space="preserve"> corby</v>
      </c>
      <c r="P76" t="str">
        <f t="shared" si="1"/>
        <v>corby</v>
      </c>
      <c r="U76">
        <v>3</v>
      </c>
      <c r="W76" t="s">
        <v>1053</v>
      </c>
      <c r="X76" t="s">
        <v>1046</v>
      </c>
      <c r="Y76">
        <v>2</v>
      </c>
    </row>
    <row r="77" spans="1:25">
      <c r="A77" s="6" t="s">
        <v>1127</v>
      </c>
      <c r="B77" t="str" cm="1">
        <f t="array" ref="B77:C77">_xlfn.TEXTSPLIT(A77, ",")</f>
        <v>schapelle corby</v>
      </c>
      <c r="C77" t="str">
        <v xml:space="preserve"> corby</v>
      </c>
      <c r="O77" t="str">
        <v xml:space="preserve"> innocent</v>
      </c>
      <c r="P77" t="str">
        <f t="shared" si="1"/>
        <v>innocent</v>
      </c>
      <c r="U77">
        <v>2</v>
      </c>
      <c r="W77" t="s">
        <v>1054</v>
      </c>
      <c r="X77" t="s">
        <v>1046</v>
      </c>
      <c r="Y77">
        <v>4</v>
      </c>
    </row>
    <row r="78" spans="1:25">
      <c r="A78" s="6" t="s">
        <v>1129</v>
      </c>
      <c r="B78" t="str" cm="1">
        <f t="array" ref="B78:D78">_xlfn.TEXTSPLIT(A78, ",")</f>
        <v>schapelle corby</v>
      </c>
      <c r="C78" t="str">
        <v xml:space="preserve"> australia</v>
      </c>
      <c r="D78" t="str">
        <v xml:space="preserve"> corby</v>
      </c>
      <c r="O78" t="str">
        <v xml:space="preserve"> reasonable doubt</v>
      </c>
      <c r="P78" t="str">
        <f t="shared" si="1"/>
        <v>reasonable doubt</v>
      </c>
      <c r="U78">
        <v>2</v>
      </c>
      <c r="W78" t="s">
        <v>1055</v>
      </c>
      <c r="X78" t="s">
        <v>1046</v>
      </c>
      <c r="Y78">
        <v>4</v>
      </c>
    </row>
    <row r="79" spans="1:25">
      <c r="A79" s="6" t="s">
        <v>1145</v>
      </c>
      <c r="B79" t="str" cm="1">
        <f t="array" ref="B79:E79">_xlfn.TEXTSPLIT(A79, ",")</f>
        <v>schapelle corby</v>
      </c>
      <c r="C79" t="str">
        <v xml:space="preserve"> conviction</v>
      </c>
      <c r="D79" t="str">
        <v xml:space="preserve"> corby</v>
      </c>
      <c r="E79" t="str">
        <v xml:space="preserve"> conviction</v>
      </c>
      <c r="O79" t="str">
        <v>schapelle corby</v>
      </c>
      <c r="P79" t="str">
        <f t="shared" si="1"/>
        <v>schapelle corby</v>
      </c>
      <c r="U79">
        <v>2</v>
      </c>
      <c r="W79" s="5" t="s">
        <v>1056</v>
      </c>
      <c r="X79" t="s">
        <v>1046</v>
      </c>
      <c r="Y79">
        <v>2</v>
      </c>
    </row>
    <row r="80" spans="1:25">
      <c r="A80" s="6" t="s">
        <v>1127</v>
      </c>
      <c r="B80" t="str" cm="1">
        <f t="array" ref="B80:C80">_xlfn.TEXTSPLIT(A80, ",")</f>
        <v>schapelle corby</v>
      </c>
      <c r="C80" t="str">
        <v xml:space="preserve"> corby</v>
      </c>
      <c r="O80" t="str">
        <v xml:space="preserve"> drugs</v>
      </c>
      <c r="P80" t="str">
        <f t="shared" si="1"/>
        <v>drugs</v>
      </c>
      <c r="U80">
        <v>3</v>
      </c>
      <c r="W80" t="s">
        <v>1057</v>
      </c>
      <c r="X80" t="s">
        <v>1058</v>
      </c>
      <c r="Y80">
        <v>0</v>
      </c>
    </row>
    <row r="81" spans="1:25">
      <c r="A81" s="6" t="s">
        <v>1127</v>
      </c>
      <c r="B81" t="str" cm="1">
        <f t="array" ref="B81:C81">_xlfn.TEXTSPLIT(A81, ",")</f>
        <v>schapelle corby</v>
      </c>
      <c r="C81" t="str">
        <v xml:space="preserve"> corby</v>
      </c>
      <c r="O81" t="str">
        <v xml:space="preserve"> drug trafficking</v>
      </c>
      <c r="P81" t="str">
        <f t="shared" si="1"/>
        <v>drug trafficking</v>
      </c>
      <c r="U81">
        <v>4</v>
      </c>
      <c r="W81" t="s">
        <v>1059</v>
      </c>
      <c r="X81" t="s">
        <v>1058</v>
      </c>
      <c r="Y81">
        <v>1</v>
      </c>
    </row>
    <row r="82" spans="1:25">
      <c r="A82" s="6" t="s">
        <v>1146</v>
      </c>
      <c r="B82" t="str" cm="1">
        <f t="array" ref="B82:D82">_xlfn.TEXTSPLIT(A82, ",")</f>
        <v>Mercedes Corby</v>
      </c>
      <c r="C82" t="str">
        <v xml:space="preserve"> mercedes</v>
      </c>
      <c r="D82" t="str">
        <v xml:space="preserve"> corby</v>
      </c>
      <c r="O82" t="str">
        <v xml:space="preserve"> af</v>
      </c>
      <c r="P82" t="str">
        <f t="shared" si="1"/>
        <v>af</v>
      </c>
      <c r="U82">
        <v>2</v>
      </c>
      <c r="W82" t="s">
        <v>1060</v>
      </c>
      <c r="X82" t="s">
        <v>1058</v>
      </c>
      <c r="Y82">
        <v>0</v>
      </c>
    </row>
    <row r="83" spans="1:25">
      <c r="A83" s="6" t="s">
        <v>1127</v>
      </c>
      <c r="B83" t="str" cm="1">
        <f t="array" ref="B83:C83">_xlfn.TEXTSPLIT(A83, ",")</f>
        <v>schapelle corby</v>
      </c>
      <c r="C83" t="str">
        <v xml:space="preserve"> corby</v>
      </c>
      <c r="O83" t="str">
        <v xml:space="preserve"> corby</v>
      </c>
      <c r="P83" t="str">
        <f t="shared" si="1"/>
        <v>corby</v>
      </c>
      <c r="U83">
        <v>2</v>
      </c>
      <c r="W83" t="s">
        <v>1061</v>
      </c>
      <c r="X83" t="s">
        <v>1058</v>
      </c>
      <c r="Y83">
        <v>0</v>
      </c>
    </row>
    <row r="84" spans="1:25">
      <c r="A84" s="6" t="s">
        <v>1127</v>
      </c>
      <c r="B84" t="str" cm="1">
        <f t="array" ref="B84:C84">_xlfn.TEXTSPLIT(A84, ",")</f>
        <v>schapelle corby</v>
      </c>
      <c r="C84" t="str">
        <v xml:space="preserve"> corby</v>
      </c>
      <c r="O84" t="str">
        <v xml:space="preserve"> innocent</v>
      </c>
      <c r="P84" t="str">
        <f t="shared" si="1"/>
        <v>innocent</v>
      </c>
      <c r="U84">
        <v>3</v>
      </c>
      <c r="W84" t="s">
        <v>1062</v>
      </c>
      <c r="X84" t="s">
        <v>1058</v>
      </c>
      <c r="Y84">
        <v>0</v>
      </c>
    </row>
    <row r="85" spans="1:25">
      <c r="A85" s="6" t="s">
        <v>1127</v>
      </c>
      <c r="B85" t="str" cm="1">
        <f t="array" ref="B85:C85">_xlfn.TEXTSPLIT(A85, ",")</f>
        <v>schapelle corby</v>
      </c>
      <c r="C85" t="str">
        <v xml:space="preserve"> corby</v>
      </c>
      <c r="O85" t="str">
        <v xml:space="preserve"> reasonable doubt</v>
      </c>
      <c r="P85" t="str">
        <f t="shared" si="1"/>
        <v>reasonable doubt</v>
      </c>
      <c r="U85">
        <v>2</v>
      </c>
      <c r="W85" t="s">
        <v>1063</v>
      </c>
      <c r="X85" t="s">
        <v>1058</v>
      </c>
      <c r="Y85">
        <v>0</v>
      </c>
    </row>
    <row r="86" spans="1:25" ht="29.25">
      <c r="A86" s="6" t="s">
        <v>1147</v>
      </c>
      <c r="B86" t="str" cm="1">
        <f t="array" ref="B86:G86">_xlfn.TEXTSPLIT(A86, ",")</f>
        <v>schapelle corby</v>
      </c>
      <c r="C86" t="str">
        <v xml:space="preserve"> indonesia </v>
      </c>
      <c r="D86" t="str">
        <v xml:space="preserve"> australia</v>
      </c>
      <c r="E86" t="str">
        <v xml:space="preserve"> drug trafficking</v>
      </c>
      <c r="F86" t="str">
        <v xml:space="preserve"> af</v>
      </c>
      <c r="G86" t="str">
        <v xml:space="preserve"> corby</v>
      </c>
      <c r="O86" t="str">
        <v>schapelle corby</v>
      </c>
      <c r="P86" t="str">
        <f t="shared" si="1"/>
        <v>schapelle corby</v>
      </c>
      <c r="U86">
        <v>2</v>
      </c>
      <c r="W86" t="s">
        <v>1064</v>
      </c>
      <c r="X86" t="s">
        <v>1058</v>
      </c>
      <c r="Y86">
        <v>0</v>
      </c>
    </row>
    <row r="87" spans="1:25">
      <c r="A87" s="6" t="s">
        <v>1148</v>
      </c>
      <c r="B87" t="str" cm="1">
        <f t="array" ref="B87:D87">_xlfn.TEXTSPLIT(A87, ",")</f>
        <v>schapelle corby</v>
      </c>
      <c r="C87" t="str">
        <v xml:space="preserve"> corby</v>
      </c>
      <c r="D87" t="str">
        <v xml:space="preserve"> brother</v>
      </c>
      <c r="O87" t="str">
        <v xml:space="preserve"> af</v>
      </c>
      <c r="P87" t="str">
        <f t="shared" si="1"/>
        <v>af</v>
      </c>
      <c r="U87">
        <v>2</v>
      </c>
      <c r="W87" t="s">
        <v>1065</v>
      </c>
      <c r="X87" t="s">
        <v>1058</v>
      </c>
      <c r="Y87">
        <v>0</v>
      </c>
    </row>
    <row r="88" spans="1:25">
      <c r="A88" s="6" t="s">
        <v>1149</v>
      </c>
      <c r="B88" t="str" cm="1">
        <f t="array" ref="B88:F88">_xlfn.TEXTSPLIT(A88, ",")</f>
        <v>schapelle corby</v>
      </c>
      <c r="C88" t="str">
        <v xml:space="preserve"> indonesia </v>
      </c>
      <c r="D88" t="str">
        <v xml:space="preserve"> af</v>
      </c>
      <c r="E88" t="str">
        <v xml:space="preserve"> corby</v>
      </c>
      <c r="F88" t="str">
        <v xml:space="preserve"> parole</v>
      </c>
      <c r="O88" t="str">
        <v xml:space="preserve"> corby</v>
      </c>
      <c r="P88" t="str">
        <f t="shared" si="1"/>
        <v>corby</v>
      </c>
      <c r="U88">
        <v>6</v>
      </c>
      <c r="W88" t="s">
        <v>978</v>
      </c>
      <c r="X88" t="s">
        <v>1058</v>
      </c>
      <c r="Y88">
        <v>0</v>
      </c>
    </row>
    <row r="89" spans="1:25">
      <c r="A89" s="6" t="s">
        <v>1127</v>
      </c>
      <c r="B89" t="str" cm="1">
        <f t="array" ref="B89:C89">_xlfn.TEXTSPLIT(A89, ",")</f>
        <v>schapelle corby</v>
      </c>
      <c r="C89" t="str">
        <v xml:space="preserve"> corby</v>
      </c>
      <c r="O89" t="str">
        <v>schapelle corby</v>
      </c>
      <c r="P89" t="str">
        <f t="shared" si="1"/>
        <v>schapelle corby</v>
      </c>
      <c r="U89">
        <v>3</v>
      </c>
      <c r="W89" t="s">
        <v>1066</v>
      </c>
      <c r="X89" t="s">
        <v>1058</v>
      </c>
      <c r="Y89">
        <v>1</v>
      </c>
    </row>
    <row r="90" spans="1:25">
      <c r="A90" s="6" t="s">
        <v>1127</v>
      </c>
      <c r="B90" t="str" cm="1">
        <f t="array" ref="B90:C90">_xlfn.TEXTSPLIT(A90, ",")</f>
        <v>schapelle corby</v>
      </c>
      <c r="C90" t="str">
        <v xml:space="preserve"> corby</v>
      </c>
      <c r="O90" t="str">
        <v xml:space="preserve"> corby</v>
      </c>
      <c r="P90" t="str">
        <f t="shared" si="1"/>
        <v>corby</v>
      </c>
      <c r="U90">
        <v>5</v>
      </c>
      <c r="W90" t="s">
        <v>1067</v>
      </c>
      <c r="X90" t="s">
        <v>1058</v>
      </c>
      <c r="Y90">
        <v>0</v>
      </c>
    </row>
    <row r="91" spans="1:25">
      <c r="A91" s="6" t="s">
        <v>1125</v>
      </c>
      <c r="B91" t="str" cm="1">
        <f t="array" ref="B91:D91">_xlfn.TEXTSPLIT(A91, ",")</f>
        <v>schapelle corby</v>
      </c>
      <c r="C91" t="str">
        <v xml:space="preserve"> af</v>
      </c>
      <c r="D91" t="str">
        <v xml:space="preserve"> corby</v>
      </c>
      <c r="O91" t="str">
        <v>schapelle corby</v>
      </c>
      <c r="P91" t="str">
        <f t="shared" si="1"/>
        <v>schapelle corby</v>
      </c>
      <c r="U91">
        <v>2</v>
      </c>
      <c r="W91" t="s">
        <v>1068</v>
      </c>
      <c r="X91" t="s">
        <v>1058</v>
      </c>
      <c r="Y91">
        <v>0</v>
      </c>
    </row>
    <row r="92" spans="1:25">
      <c r="A92" s="6" t="s">
        <v>1127</v>
      </c>
      <c r="B92" t="str" cm="1">
        <f t="array" ref="B92:C92">_xlfn.TEXTSPLIT(A92, ",")</f>
        <v>schapelle corby</v>
      </c>
      <c r="C92" t="str">
        <v xml:space="preserve"> corby</v>
      </c>
      <c r="O92" t="str">
        <v xml:space="preserve"> boogie board</v>
      </c>
      <c r="P92" t="str">
        <f t="shared" si="1"/>
        <v>boogie board</v>
      </c>
      <c r="U92">
        <v>2</v>
      </c>
      <c r="W92" t="s">
        <v>1069</v>
      </c>
      <c r="X92" t="s">
        <v>1058</v>
      </c>
      <c r="Y92">
        <v>0</v>
      </c>
    </row>
    <row r="93" spans="1:25">
      <c r="A93" s="6" t="s">
        <v>1127</v>
      </c>
      <c r="B93" t="str" cm="1">
        <f t="array" ref="B93:C93">_xlfn.TEXTSPLIT(A93, ",")</f>
        <v>schapelle corby</v>
      </c>
      <c r="C93" t="str">
        <v xml:space="preserve"> corby</v>
      </c>
      <c r="O93" t="str">
        <v xml:space="preserve"> corby</v>
      </c>
      <c r="P93" t="str">
        <f t="shared" si="1"/>
        <v>corby</v>
      </c>
      <c r="U93">
        <v>3</v>
      </c>
      <c r="W93" t="s">
        <v>1070</v>
      </c>
      <c r="X93" t="s">
        <v>1058</v>
      </c>
      <c r="Y93">
        <v>0</v>
      </c>
    </row>
    <row r="94" spans="1:25">
      <c r="A94" s="6" t="s">
        <v>1127</v>
      </c>
      <c r="B94" t="str" cm="1">
        <f t="array" ref="B94:C94">_xlfn.TEXTSPLIT(A94, ",")</f>
        <v>schapelle corby</v>
      </c>
      <c r="C94" t="str">
        <v xml:space="preserve"> corby</v>
      </c>
      <c r="O94" t="str">
        <v>schapelle corby</v>
      </c>
      <c r="P94" t="str">
        <f t="shared" si="1"/>
        <v>schapelle corby</v>
      </c>
      <c r="U94">
        <v>2</v>
      </c>
      <c r="W94" t="s">
        <v>1071</v>
      </c>
      <c r="X94" t="s">
        <v>1058</v>
      </c>
      <c r="Y94">
        <v>0</v>
      </c>
    </row>
    <row r="95" spans="1:25">
      <c r="A95" s="6" t="s">
        <v>1127</v>
      </c>
      <c r="B95" t="str" cm="1">
        <f t="array" ref="B95:C95">_xlfn.TEXTSPLIT(A95, ",")</f>
        <v>schapelle corby</v>
      </c>
      <c r="C95" t="str">
        <v xml:space="preserve"> corby</v>
      </c>
      <c r="O95" t="str">
        <v xml:space="preserve"> corby</v>
      </c>
      <c r="P95" t="str">
        <f t="shared" si="1"/>
        <v>corby</v>
      </c>
      <c r="U95">
        <v>2</v>
      </c>
      <c r="W95" t="s">
        <v>1072</v>
      </c>
      <c r="X95" t="s">
        <v>1058</v>
      </c>
      <c r="Y95">
        <v>0</v>
      </c>
    </row>
    <row r="96" spans="1:25">
      <c r="A96" s="6" t="s">
        <v>1127</v>
      </c>
      <c r="B96" t="str" cm="1">
        <f t="array" ref="B96:C96">_xlfn.TEXTSPLIT(A96, ",")</f>
        <v>schapelle corby</v>
      </c>
      <c r="C96" t="str">
        <v xml:space="preserve"> corby</v>
      </c>
      <c r="O96" t="str">
        <v>schapelle corby</v>
      </c>
      <c r="P96" t="str">
        <f t="shared" si="1"/>
        <v>schapelle corby</v>
      </c>
      <c r="U96">
        <v>2</v>
      </c>
      <c r="W96" t="s">
        <v>1073</v>
      </c>
      <c r="X96" t="s">
        <v>1058</v>
      </c>
      <c r="Y96">
        <v>0</v>
      </c>
    </row>
    <row r="97" spans="1:25">
      <c r="A97" s="6" t="s">
        <v>1127</v>
      </c>
      <c r="B97" t="str" cm="1">
        <f t="array" ref="B97:C97">_xlfn.TEXTSPLIT(A97, ",")</f>
        <v>schapelle corby</v>
      </c>
      <c r="C97" t="str">
        <v xml:space="preserve"> corby</v>
      </c>
      <c r="O97" t="str">
        <v xml:space="preserve"> australian</v>
      </c>
      <c r="P97" t="str">
        <f t="shared" si="1"/>
        <v>australian</v>
      </c>
      <c r="U97">
        <v>2</v>
      </c>
      <c r="W97" t="s">
        <v>1074</v>
      </c>
      <c r="X97" t="s">
        <v>1058</v>
      </c>
      <c r="Y97">
        <v>0</v>
      </c>
    </row>
    <row r="98" spans="1:25">
      <c r="A98" s="6" t="s">
        <v>1127</v>
      </c>
      <c r="B98" t="str" cm="1">
        <f t="array" ref="B98:C98">_xlfn.TEXTSPLIT(A98, ",")</f>
        <v>schapelle corby</v>
      </c>
      <c r="C98" t="str">
        <v xml:space="preserve"> corby</v>
      </c>
      <c r="O98" t="str">
        <v xml:space="preserve"> australia</v>
      </c>
      <c r="P98" t="str">
        <f t="shared" si="1"/>
        <v>australia</v>
      </c>
      <c r="U98">
        <v>2</v>
      </c>
      <c r="W98" t="s">
        <v>1075</v>
      </c>
      <c r="X98" t="s">
        <v>1058</v>
      </c>
      <c r="Y98">
        <v>0</v>
      </c>
    </row>
    <row r="99" spans="1:25" ht="29.25">
      <c r="A99" s="6" t="s">
        <v>1141</v>
      </c>
      <c r="B99" t="str" cm="1">
        <f t="array" ref="B99:F99">_xlfn.TEXTSPLIT(A99, ",")</f>
        <v>schapelle corby</v>
      </c>
      <c r="C99" t="str">
        <v xml:space="preserve"> convicted drug smuggler</v>
      </c>
      <c r="D99" t="str">
        <v xml:space="preserve"> drug smuggler</v>
      </c>
      <c r="E99" t="str">
        <v xml:space="preserve"> corby</v>
      </c>
      <c r="F99" t="str">
        <v xml:space="preserve"> convicted</v>
      </c>
      <c r="O99" t="str">
        <v xml:space="preserve"> corby</v>
      </c>
      <c r="P99" t="str">
        <f t="shared" si="1"/>
        <v>corby</v>
      </c>
      <c r="U99">
        <v>2</v>
      </c>
      <c r="W99" t="s">
        <v>1076</v>
      </c>
      <c r="X99" t="s">
        <v>1058</v>
      </c>
      <c r="Y99">
        <v>0</v>
      </c>
    </row>
    <row r="100" spans="1:25">
      <c r="A100" s="6" t="s">
        <v>1127</v>
      </c>
      <c r="B100" t="str" cm="1">
        <f t="array" ref="B100:C100">_xlfn.TEXTSPLIT(A100, ",")</f>
        <v>schapelle corby</v>
      </c>
      <c r="C100" t="str">
        <v xml:space="preserve"> corby</v>
      </c>
      <c r="O100" t="str">
        <v>schapelle corby</v>
      </c>
      <c r="P100" t="str">
        <f t="shared" si="1"/>
        <v>schapelle corby</v>
      </c>
      <c r="U100">
        <v>2</v>
      </c>
      <c r="W100" t="s">
        <v>1077</v>
      </c>
      <c r="X100" t="s">
        <v>1058</v>
      </c>
      <c r="Y100">
        <v>0</v>
      </c>
    </row>
    <row r="101" spans="1:25">
      <c r="A101" s="6" t="s">
        <v>1127</v>
      </c>
      <c r="B101" t="str" cm="1">
        <f t="array" ref="B101:C101">_xlfn.TEXTSPLIT(A101, ",")</f>
        <v>schapelle corby</v>
      </c>
      <c r="C101" t="str">
        <v xml:space="preserve"> corby</v>
      </c>
      <c r="O101" t="str">
        <v xml:space="preserve"> corby</v>
      </c>
      <c r="P101" t="str">
        <f t="shared" si="1"/>
        <v>corby</v>
      </c>
      <c r="U101">
        <v>5</v>
      </c>
      <c r="W101" t="s">
        <v>1078</v>
      </c>
      <c r="X101" t="s">
        <v>1058</v>
      </c>
      <c r="Y101">
        <v>0</v>
      </c>
    </row>
    <row r="102" spans="1:25">
      <c r="A102" s="6" t="s">
        <v>1127</v>
      </c>
      <c r="B102" t="str" cm="1">
        <f t="array" ref="B102:C102">_xlfn.TEXTSPLIT(A102, ",")</f>
        <v>schapelle corby</v>
      </c>
      <c r="C102" t="str">
        <v xml:space="preserve"> corby</v>
      </c>
      <c r="O102" t="str">
        <v>schapelle corby</v>
      </c>
      <c r="P102" t="str">
        <f t="shared" si="1"/>
        <v>schapelle corby</v>
      </c>
      <c r="U102">
        <v>2</v>
      </c>
    </row>
    <row r="103" spans="1:25">
      <c r="A103" s="6" t="s">
        <v>1127</v>
      </c>
      <c r="B103" t="str" cm="1">
        <f t="array" ref="B103:C103">_xlfn.TEXTSPLIT(A103, ",")</f>
        <v>schapelle corby</v>
      </c>
      <c r="C103" t="str">
        <v xml:space="preserve"> corby</v>
      </c>
      <c r="O103" t="str">
        <v xml:space="preserve"> corby</v>
      </c>
      <c r="P103" t="str">
        <f t="shared" si="1"/>
        <v>corby</v>
      </c>
      <c r="U103">
        <v>2</v>
      </c>
    </row>
    <row r="104" spans="1:25">
      <c r="A104" s="6" t="s">
        <v>1129</v>
      </c>
      <c r="B104" t="str" cm="1">
        <f t="array" ref="B104:D104">_xlfn.TEXTSPLIT(A104, ",")</f>
        <v>schapelle corby</v>
      </c>
      <c r="C104" t="str">
        <v xml:space="preserve"> australia</v>
      </c>
      <c r="D104" t="str">
        <v xml:space="preserve"> corby</v>
      </c>
      <c r="O104" t="str">
        <v xml:space="preserve"> import</v>
      </c>
      <c r="P104" t="str">
        <f t="shared" si="1"/>
        <v>import</v>
      </c>
      <c r="U104">
        <v>2</v>
      </c>
    </row>
    <row r="105" spans="1:25" ht="29.25">
      <c r="A105" s="6" t="s">
        <v>1150</v>
      </c>
      <c r="B105" t="str" cm="1">
        <f t="array" ref="B105:F105">_xlfn.TEXTSPLIT(A105, ",")</f>
        <v>schapelle corby</v>
      </c>
      <c r="C105" t="str">
        <v xml:space="preserve"> australian</v>
      </c>
      <c r="D105" t="str">
        <v xml:space="preserve"> australia</v>
      </c>
      <c r="E105" t="str">
        <v xml:space="preserve"> jail</v>
      </c>
      <c r="F105" t="str">
        <v xml:space="preserve"> corby</v>
      </c>
      <c r="O105" t="str">
        <v>schapelle corby</v>
      </c>
      <c r="P105" t="str">
        <f t="shared" si="1"/>
        <v>schapelle corby</v>
      </c>
      <c r="U105">
        <v>2</v>
      </c>
    </row>
    <row r="106" spans="1:25">
      <c r="A106" s="6" t="s">
        <v>1127</v>
      </c>
      <c r="B106" t="str" cm="1">
        <f t="array" ref="B106:C106">_xlfn.TEXTSPLIT(A106, ",")</f>
        <v>schapelle corby</v>
      </c>
      <c r="C106" t="str">
        <v xml:space="preserve"> corby</v>
      </c>
      <c r="O106" t="str">
        <v xml:space="preserve"> corby</v>
      </c>
      <c r="P106" t="str">
        <f t="shared" si="1"/>
        <v>corby</v>
      </c>
      <c r="U106">
        <v>3</v>
      </c>
    </row>
    <row r="107" spans="1:25">
      <c r="A107" s="6" t="s">
        <v>1127</v>
      </c>
      <c r="B107" t="str" cm="1">
        <f t="array" ref="B107:C107">_xlfn.TEXTSPLIT(A107, ",")</f>
        <v>schapelle corby</v>
      </c>
      <c r="C107" t="str">
        <v xml:space="preserve"> corby</v>
      </c>
      <c r="O107" t="str">
        <v>schapelle corby</v>
      </c>
      <c r="P107" t="str">
        <f t="shared" si="1"/>
        <v>schapelle corby</v>
      </c>
      <c r="U107">
        <v>5</v>
      </c>
    </row>
    <row r="108" spans="1:25">
      <c r="A108" s="6" t="s">
        <v>1127</v>
      </c>
      <c r="B108" t="str" cm="1">
        <f t="array" ref="B108:C108">_xlfn.TEXTSPLIT(A108, ",")</f>
        <v>schapelle corby</v>
      </c>
      <c r="C108" t="str">
        <v xml:space="preserve"> corby</v>
      </c>
      <c r="O108" t="str">
        <v xml:space="preserve"> corby</v>
      </c>
      <c r="P108" t="str">
        <f t="shared" si="1"/>
        <v>corby</v>
      </c>
      <c r="U108">
        <v>2</v>
      </c>
    </row>
    <row r="109" spans="1:25">
      <c r="A109" s="6" t="s">
        <v>1129</v>
      </c>
      <c r="B109" t="str" cm="1">
        <f t="array" ref="B109:D109">_xlfn.TEXTSPLIT(A109, ",")</f>
        <v>schapelle corby</v>
      </c>
      <c r="C109" t="str">
        <v xml:space="preserve"> australia</v>
      </c>
      <c r="D109" t="str">
        <v xml:space="preserve"> corby</v>
      </c>
      <c r="O109" t="str">
        <v>schapelle corby</v>
      </c>
      <c r="P109" t="str">
        <f t="shared" si="1"/>
        <v>schapelle corby</v>
      </c>
      <c r="U109">
        <v>2</v>
      </c>
    </row>
    <row r="110" spans="1:25">
      <c r="A110" s="6" t="s">
        <v>1127</v>
      </c>
      <c r="B110" t="str" cm="1">
        <f t="array" ref="B110:C110">_xlfn.TEXTSPLIT(A110, ",")</f>
        <v>schapelle corby</v>
      </c>
      <c r="C110" t="str">
        <v xml:space="preserve"> corby</v>
      </c>
      <c r="O110" t="str">
        <v xml:space="preserve"> corby</v>
      </c>
      <c r="P110" t="str">
        <f t="shared" si="1"/>
        <v>corby</v>
      </c>
      <c r="U110">
        <v>2</v>
      </c>
    </row>
    <row r="111" spans="1:25">
      <c r="A111" s="6" t="s">
        <v>1151</v>
      </c>
      <c r="B111" t="str" cm="1">
        <f t="array" ref="B111:E111">_xlfn.TEXTSPLIT(A111, ",")</f>
        <v>schapelle corby</v>
      </c>
      <c r="C111" t="str">
        <v xml:space="preserve"> australia</v>
      </c>
      <c r="D111" t="str">
        <v xml:space="preserve"> corby</v>
      </c>
      <c r="E111" t="str">
        <v xml:space="preserve"> law </v>
      </c>
      <c r="O111" t="str">
        <v>schapelle corby</v>
      </c>
      <c r="P111" t="str">
        <f t="shared" si="1"/>
        <v>schapelle corby</v>
      </c>
      <c r="U111">
        <v>3</v>
      </c>
    </row>
    <row r="112" spans="1:25">
      <c r="A112" s="6" t="s">
        <v>1127</v>
      </c>
      <c r="B112" t="str" cm="1">
        <f t="array" ref="B112:C112">_xlfn.TEXTSPLIT(A112, ",")</f>
        <v>schapelle corby</v>
      </c>
      <c r="C112" t="str">
        <v xml:space="preserve"> corby</v>
      </c>
      <c r="O112" t="str">
        <v xml:space="preserve"> corby</v>
      </c>
      <c r="P112" t="str">
        <f t="shared" si="1"/>
        <v>corby</v>
      </c>
      <c r="U112">
        <v>2</v>
      </c>
    </row>
    <row r="113" spans="1:21">
      <c r="A113" s="6" t="s">
        <v>1129</v>
      </c>
      <c r="B113" t="str" cm="1">
        <f t="array" ref="B113:D113">_xlfn.TEXTSPLIT(A113, ",")</f>
        <v>schapelle corby</v>
      </c>
      <c r="C113" t="str">
        <v xml:space="preserve"> australia</v>
      </c>
      <c r="D113" t="str">
        <v xml:space="preserve"> corby</v>
      </c>
      <c r="O113" t="str">
        <v>schapelle corby</v>
      </c>
      <c r="P113" t="str">
        <f t="shared" si="1"/>
        <v>schapelle corby</v>
      </c>
      <c r="U113">
        <v>4</v>
      </c>
    </row>
    <row r="114" spans="1:21" ht="29.25">
      <c r="A114" s="6" t="s">
        <v>1152</v>
      </c>
      <c r="B114" t="str" cm="1">
        <f t="array" ref="B114:G114">_xlfn.TEXTSPLIT(A114, ",")</f>
        <v>schapelle corby</v>
      </c>
      <c r="C114" t="str">
        <v xml:space="preserve"> australia</v>
      </c>
      <c r="D114" t="str">
        <v xml:space="preserve"> convicted drug smuggler</v>
      </c>
      <c r="E114" t="str">
        <v xml:space="preserve"> drug smuggler</v>
      </c>
      <c r="F114" t="str">
        <v xml:space="preserve"> corby</v>
      </c>
      <c r="G114" t="str">
        <v xml:space="preserve"> convicted</v>
      </c>
      <c r="O114" t="str">
        <v xml:space="preserve"> corby</v>
      </c>
      <c r="P114" t="str">
        <f t="shared" si="1"/>
        <v>corby</v>
      </c>
      <c r="U114">
        <v>2</v>
      </c>
    </row>
    <row r="115" spans="1:21">
      <c r="A115" s="6" t="s">
        <v>1129</v>
      </c>
      <c r="B115" t="str" cm="1">
        <f t="array" ref="B115:D115">_xlfn.TEXTSPLIT(A115, ",")</f>
        <v>schapelle corby</v>
      </c>
      <c r="C115" t="str">
        <v xml:space="preserve"> australia</v>
      </c>
      <c r="D115" t="str">
        <v xml:space="preserve"> corby</v>
      </c>
      <c r="O115" t="str">
        <v>schapelle corby</v>
      </c>
      <c r="P115" t="str">
        <f t="shared" si="1"/>
        <v>schapelle corby</v>
      </c>
      <c r="U115">
        <v>3</v>
      </c>
    </row>
    <row r="116" spans="1:21">
      <c r="A116" s="6" t="s">
        <v>1129</v>
      </c>
      <c r="B116" t="str" cm="1">
        <f t="array" ref="B116:D116">_xlfn.TEXTSPLIT(A116, ",")</f>
        <v>schapelle corby</v>
      </c>
      <c r="C116" t="str">
        <v xml:space="preserve"> australia</v>
      </c>
      <c r="D116" t="str">
        <v xml:space="preserve"> corby</v>
      </c>
      <c r="O116" t="str">
        <v xml:space="preserve"> corby</v>
      </c>
      <c r="P116" t="str">
        <f t="shared" si="1"/>
        <v>corby</v>
      </c>
      <c r="U116">
        <v>6</v>
      </c>
    </row>
    <row r="117" spans="1:21">
      <c r="A117" s="6" t="s">
        <v>1129</v>
      </c>
      <c r="B117" t="str" cm="1">
        <f t="array" ref="B117:D117">_xlfn.TEXTSPLIT(A117, ",")</f>
        <v>schapelle corby</v>
      </c>
      <c r="C117" t="str">
        <v xml:space="preserve"> australia</v>
      </c>
      <c r="D117" t="str">
        <v xml:space="preserve"> corby</v>
      </c>
      <c r="O117" t="str">
        <v xml:space="preserve"> bogan</v>
      </c>
      <c r="P117" t="str">
        <f t="shared" si="1"/>
        <v>bogan</v>
      </c>
      <c r="U117">
        <v>3</v>
      </c>
    </row>
    <row r="118" spans="1:21">
      <c r="A118" s="6" t="s">
        <v>1127</v>
      </c>
      <c r="B118" t="str" cm="1">
        <f t="array" ref="B118:C118">_xlfn.TEXTSPLIT(A118, ",")</f>
        <v>schapelle corby</v>
      </c>
      <c r="C118" t="str">
        <v xml:space="preserve"> corby</v>
      </c>
      <c r="O118" t="str">
        <v>schapelle corby</v>
      </c>
      <c r="P118" t="str">
        <f t="shared" si="1"/>
        <v>schapelle corby</v>
      </c>
      <c r="U118">
        <v>3</v>
      </c>
    </row>
    <row r="119" spans="1:21">
      <c r="A119" s="6" t="s">
        <v>1127</v>
      </c>
      <c r="B119" t="str" cm="1">
        <f t="array" ref="B119:C119">_xlfn.TEXTSPLIT(A119, ",")</f>
        <v>schapelle corby</v>
      </c>
      <c r="C119" t="str">
        <v xml:space="preserve"> corby</v>
      </c>
      <c r="O119" t="str">
        <v xml:space="preserve"> bribed</v>
      </c>
      <c r="P119" t="str">
        <f t="shared" si="1"/>
        <v>bribed</v>
      </c>
      <c r="U119">
        <v>3</v>
      </c>
    </row>
    <row r="120" spans="1:21">
      <c r="A120" s="6" t="s">
        <v>1127</v>
      </c>
      <c r="B120" t="str" cm="1">
        <f t="array" ref="B120:C120">_xlfn.TEXTSPLIT(A120, ",")</f>
        <v>schapelle corby</v>
      </c>
      <c r="C120" t="str">
        <v xml:space="preserve"> corby</v>
      </c>
      <c r="O120" t="str">
        <v xml:space="preserve"> corby</v>
      </c>
      <c r="P120" t="str">
        <f t="shared" si="1"/>
        <v>corby</v>
      </c>
      <c r="U120">
        <v>2</v>
      </c>
    </row>
    <row r="121" spans="1:21">
      <c r="A121" s="6" t="s">
        <v>1127</v>
      </c>
      <c r="B121" t="str" cm="1">
        <f t="array" ref="B121:C121">_xlfn.TEXTSPLIT(A121, ",")</f>
        <v>schapelle corby</v>
      </c>
      <c r="C121" t="str">
        <v xml:space="preserve"> corby</v>
      </c>
      <c r="O121" t="str">
        <v>schapelle corby</v>
      </c>
      <c r="P121" t="str">
        <f t="shared" si="1"/>
        <v>schapelle corby</v>
      </c>
      <c r="U121">
        <v>2</v>
      </c>
    </row>
    <row r="122" spans="1:21">
      <c r="A122" s="6" t="s">
        <v>1127</v>
      </c>
      <c r="B122" t="str" cm="1">
        <f t="array" ref="B122:C122">_xlfn.TEXTSPLIT(A122, ",")</f>
        <v>schapelle corby</v>
      </c>
      <c r="C122" t="str">
        <v xml:space="preserve"> corby</v>
      </c>
      <c r="O122" t="str">
        <v xml:space="preserve"> corby</v>
      </c>
      <c r="P122" t="str">
        <f t="shared" si="1"/>
        <v>corby</v>
      </c>
      <c r="U122">
        <v>2</v>
      </c>
    </row>
    <row r="123" spans="1:21" ht="29.25">
      <c r="A123" s="6" t="s">
        <v>1152</v>
      </c>
      <c r="B123" t="str" cm="1">
        <f t="array" ref="B123:G123">_xlfn.TEXTSPLIT(A123, ",")</f>
        <v>schapelle corby</v>
      </c>
      <c r="C123" t="str">
        <v xml:space="preserve"> australia</v>
      </c>
      <c r="D123" t="str">
        <v xml:space="preserve"> convicted drug smuggler</v>
      </c>
      <c r="E123" t="str">
        <v xml:space="preserve"> drug smuggler</v>
      </c>
      <c r="F123" t="str">
        <v xml:space="preserve"> corby</v>
      </c>
      <c r="G123" t="str">
        <v xml:space="preserve"> convicted</v>
      </c>
      <c r="O123" t="str">
        <v>schapelle corby</v>
      </c>
      <c r="P123" t="str">
        <f t="shared" si="1"/>
        <v>schapelle corby</v>
      </c>
      <c r="U123">
        <v>2</v>
      </c>
    </row>
    <row r="124" spans="1:21">
      <c r="A124" s="6" t="s">
        <v>1127</v>
      </c>
      <c r="B124" t="str" cm="1">
        <f t="array" ref="B124:C124">_xlfn.TEXTSPLIT(A124, ",")</f>
        <v>schapelle corby</v>
      </c>
      <c r="C124" t="str">
        <v xml:space="preserve"> corby</v>
      </c>
      <c r="O124" t="str">
        <v xml:space="preserve"> corby</v>
      </c>
      <c r="P124" t="str">
        <f t="shared" si="1"/>
        <v>corby</v>
      </c>
      <c r="U124">
        <v>2</v>
      </c>
    </row>
    <row r="125" spans="1:21">
      <c r="A125" s="6" t="s">
        <v>1129</v>
      </c>
      <c r="B125" t="str" cm="1">
        <f t="array" ref="B125:D125">_xlfn.TEXTSPLIT(A125, ",")</f>
        <v>schapelle corby</v>
      </c>
      <c r="C125" t="str">
        <v xml:space="preserve"> australia</v>
      </c>
      <c r="D125" t="str">
        <v xml:space="preserve"> corby</v>
      </c>
      <c r="O125" t="str">
        <v>schapelle corby</v>
      </c>
      <c r="P125" t="str">
        <f t="shared" si="1"/>
        <v>schapelle corby</v>
      </c>
      <c r="U125">
        <v>6</v>
      </c>
    </row>
    <row r="126" spans="1:21">
      <c r="A126" s="6" t="s">
        <v>1127</v>
      </c>
      <c r="B126" t="str" cm="1">
        <f t="array" ref="B126:C126">_xlfn.TEXTSPLIT(A126, ",")</f>
        <v>schapelle corby</v>
      </c>
      <c r="C126" t="str">
        <v xml:space="preserve"> corby</v>
      </c>
      <c r="O126" t="str">
        <v xml:space="preserve"> corby</v>
      </c>
      <c r="P126" t="str">
        <f t="shared" si="1"/>
        <v>corby</v>
      </c>
      <c r="U126">
        <v>2</v>
      </c>
    </row>
    <row r="127" spans="1:21">
      <c r="A127" s="6" t="s">
        <v>1153</v>
      </c>
      <c r="B127" t="str" cm="1">
        <f t="array" ref="B127:E127">_xlfn.TEXTSPLIT(A127, ",")</f>
        <v>schapelle corby</v>
      </c>
      <c r="C127" t="str">
        <v xml:space="preserve"> smuggling</v>
      </c>
      <c r="D127" t="str">
        <v xml:space="preserve"> australia</v>
      </c>
      <c r="E127" t="str">
        <v xml:space="preserve"> corby</v>
      </c>
      <c r="O127" t="str">
        <v>schapelle corby</v>
      </c>
      <c r="P127" t="str">
        <f t="shared" si="1"/>
        <v>schapelle corby</v>
      </c>
      <c r="U127">
        <v>3</v>
      </c>
    </row>
    <row r="128" spans="1:21">
      <c r="A128" s="6" t="s">
        <v>1127</v>
      </c>
      <c r="B128" t="str" cm="1">
        <f t="array" ref="B128:C128">_xlfn.TEXTSPLIT(A128, ",")</f>
        <v>schapelle corby</v>
      </c>
      <c r="C128" t="str">
        <v xml:space="preserve"> corby</v>
      </c>
      <c r="O128" t="str">
        <v xml:space="preserve"> corby</v>
      </c>
      <c r="P128" t="str">
        <f t="shared" si="1"/>
        <v>corby</v>
      </c>
      <c r="U128">
        <v>2</v>
      </c>
    </row>
    <row r="129" spans="1:21">
      <c r="A129" s="6" t="s">
        <v>1154</v>
      </c>
      <c r="B129" t="str" cm="1">
        <f t="array" ref="B129:E129">_xlfn.TEXTSPLIT(A129, ",")</f>
        <v>schapelle corby</v>
      </c>
      <c r="C129" t="str">
        <v xml:space="preserve"> drug smuggler</v>
      </c>
      <c r="D129" t="str">
        <v xml:space="preserve"> af</v>
      </c>
      <c r="E129" t="str">
        <v xml:space="preserve"> corby</v>
      </c>
      <c r="O129" t="str">
        <v xml:space="preserve"> parole</v>
      </c>
      <c r="P129" t="str">
        <f t="shared" si="1"/>
        <v>parole</v>
      </c>
      <c r="U129">
        <v>4</v>
      </c>
    </row>
    <row r="130" spans="1:21">
      <c r="A130" s="6" t="s">
        <v>1129</v>
      </c>
      <c r="B130" t="str" cm="1">
        <f t="array" ref="B130:D130">_xlfn.TEXTSPLIT(A130, ",")</f>
        <v>schapelle corby</v>
      </c>
      <c r="C130" t="str">
        <v xml:space="preserve"> australia</v>
      </c>
      <c r="D130" t="str">
        <v xml:space="preserve"> corby</v>
      </c>
      <c r="O130" t="str">
        <v>schapelle corby</v>
      </c>
      <c r="P130" t="str">
        <f t="shared" si="1"/>
        <v>schapelle corby</v>
      </c>
      <c r="U130">
        <v>2</v>
      </c>
    </row>
    <row r="131" spans="1:21" ht="29.25">
      <c r="A131" s="6" t="s">
        <v>1152</v>
      </c>
      <c r="B131" t="str" cm="1">
        <f t="array" ref="B131:G131">_xlfn.TEXTSPLIT(A131, ",")</f>
        <v>schapelle corby</v>
      </c>
      <c r="C131" t="str">
        <v xml:space="preserve"> australia</v>
      </c>
      <c r="D131" t="str">
        <v xml:space="preserve"> convicted drug smuggler</v>
      </c>
      <c r="E131" t="str">
        <v xml:space="preserve"> drug smuggler</v>
      </c>
      <c r="F131" t="str">
        <v xml:space="preserve"> corby</v>
      </c>
      <c r="G131" t="str">
        <v xml:space="preserve"> convicted</v>
      </c>
      <c r="O131" t="str">
        <v xml:space="preserve"> corby</v>
      </c>
      <c r="P131" t="str">
        <f t="shared" ref="P131:P194" si="2">TRIM(O131)</f>
        <v>corby</v>
      </c>
      <c r="U131">
        <v>4</v>
      </c>
    </row>
    <row r="132" spans="1:21">
      <c r="A132" s="6" t="s">
        <v>1129</v>
      </c>
      <c r="B132" t="str" cm="1">
        <f t="array" ref="B132:D132">_xlfn.TEXTSPLIT(A132, ",")</f>
        <v>schapelle corby</v>
      </c>
      <c r="C132" t="str">
        <v xml:space="preserve"> australia</v>
      </c>
      <c r="D132" t="str">
        <v xml:space="preserve"> corby</v>
      </c>
      <c r="O132" t="str">
        <v>schapelle corby</v>
      </c>
      <c r="P132" t="str">
        <f t="shared" si="2"/>
        <v>schapelle corby</v>
      </c>
      <c r="U132">
        <v>3</v>
      </c>
    </row>
    <row r="133" spans="1:21">
      <c r="A133" s="6" t="s">
        <v>1127</v>
      </c>
      <c r="B133" t="str" cm="1">
        <f t="array" ref="B133:C133">_xlfn.TEXTSPLIT(A133, ",")</f>
        <v>schapelle corby</v>
      </c>
      <c r="C133" t="str">
        <v xml:space="preserve"> corby</v>
      </c>
      <c r="O133" t="str">
        <v xml:space="preserve"> corby</v>
      </c>
      <c r="P133" t="str">
        <f t="shared" si="2"/>
        <v>corby</v>
      </c>
      <c r="U133">
        <v>6</v>
      </c>
    </row>
    <row r="134" spans="1:21">
      <c r="A134" s="6" t="s">
        <v>1129</v>
      </c>
      <c r="B134" t="str" cm="1">
        <f t="array" ref="B134:D134">_xlfn.TEXTSPLIT(A134, ",")</f>
        <v>schapelle corby</v>
      </c>
      <c r="C134" t="str">
        <v xml:space="preserve"> australia</v>
      </c>
      <c r="D134" t="str">
        <v xml:space="preserve"> corby</v>
      </c>
      <c r="O134" t="str">
        <v>schapelle corby</v>
      </c>
      <c r="P134" t="str">
        <f t="shared" si="2"/>
        <v>schapelle corby</v>
      </c>
      <c r="U134">
        <v>3</v>
      </c>
    </row>
    <row r="135" spans="1:21">
      <c r="A135" s="6" t="s">
        <v>1127</v>
      </c>
      <c r="B135" t="str" cm="1">
        <f t="array" ref="B135:C135">_xlfn.TEXTSPLIT(A135, ",")</f>
        <v>schapelle corby</v>
      </c>
      <c r="C135" t="str">
        <v xml:space="preserve"> corby</v>
      </c>
      <c r="O135" t="str">
        <v xml:space="preserve"> indonesia </v>
      </c>
      <c r="P135" t="str">
        <f t="shared" si="2"/>
        <v>indonesia</v>
      </c>
      <c r="U135">
        <v>2</v>
      </c>
    </row>
    <row r="136" spans="1:21">
      <c r="A136" s="6" t="s">
        <v>1155</v>
      </c>
      <c r="B136" t="str" cm="1">
        <f t="array" ref="B136:D136">_xlfn.TEXTSPLIT(A136, ",")</f>
        <v>schapelle corby</v>
      </c>
      <c r="C136" t="str">
        <v xml:space="preserve"> corby</v>
      </c>
      <c r="D136" t="str">
        <v xml:space="preserve"> innocent</v>
      </c>
      <c r="O136" t="str">
        <v xml:space="preserve"> corby</v>
      </c>
      <c r="P136" t="str">
        <f t="shared" si="2"/>
        <v>corby</v>
      </c>
      <c r="U136">
        <v>3</v>
      </c>
    </row>
    <row r="137" spans="1:21" ht="29.25">
      <c r="A137" s="6" t="s">
        <v>1156</v>
      </c>
      <c r="B137" t="str" cm="1">
        <f t="array" ref="B137:F137">_xlfn.TEXTSPLIT(A137, ",")</f>
        <v>schapelle corby</v>
      </c>
      <c r="C137" t="str">
        <v xml:space="preserve"> australia</v>
      </c>
      <c r="D137" t="str">
        <v xml:space="preserve"> drugs</v>
      </c>
      <c r="E137" t="str">
        <v xml:space="preserve"> drug smuggler</v>
      </c>
      <c r="F137" t="str">
        <v xml:space="preserve"> corby</v>
      </c>
      <c r="O137" t="str">
        <v>schapelle corby</v>
      </c>
      <c r="P137" t="str">
        <f t="shared" si="2"/>
        <v>schapelle corby</v>
      </c>
      <c r="U137">
        <v>2</v>
      </c>
    </row>
    <row r="138" spans="1:21">
      <c r="A138" s="6" t="s">
        <v>1129</v>
      </c>
      <c r="B138" t="str" cm="1">
        <f t="array" ref="B138:D138">_xlfn.TEXTSPLIT(A138, ",")</f>
        <v>schapelle corby</v>
      </c>
      <c r="C138" t="str">
        <v xml:space="preserve"> australia</v>
      </c>
      <c r="D138" t="str">
        <v xml:space="preserve"> corby</v>
      </c>
      <c r="O138" t="str">
        <v xml:space="preserve"> australian</v>
      </c>
      <c r="P138" t="str">
        <f t="shared" si="2"/>
        <v>australian</v>
      </c>
      <c r="U138">
        <v>3</v>
      </c>
    </row>
    <row r="139" spans="1:21">
      <c r="A139" s="6" t="s">
        <v>1157</v>
      </c>
      <c r="B139" t="str" cm="1">
        <f t="array" ref="B139:D139">_xlfn.TEXTSPLIT(A139, ",")</f>
        <v>af</v>
      </c>
      <c r="C139" t="str">
        <v xml:space="preserve"> corby</v>
      </c>
      <c r="D139" t="str">
        <v xml:space="preserve"> AFP</v>
      </c>
      <c r="O139" t="str">
        <v xml:space="preserve"> australia</v>
      </c>
      <c r="P139" t="str">
        <f t="shared" si="2"/>
        <v>australia</v>
      </c>
      <c r="U139">
        <v>5</v>
      </c>
    </row>
    <row r="140" spans="1:21">
      <c r="A140" s="6" t="s">
        <v>1129</v>
      </c>
      <c r="B140" t="str" cm="1">
        <f t="array" ref="B140:D140">_xlfn.TEXTSPLIT(A140, ",")</f>
        <v>schapelle corby</v>
      </c>
      <c r="C140" t="str">
        <v xml:space="preserve"> australia</v>
      </c>
      <c r="D140" t="str">
        <v xml:space="preserve"> corby</v>
      </c>
      <c r="O140" t="str">
        <v xml:space="preserve"> corby</v>
      </c>
      <c r="P140" t="str">
        <f t="shared" si="2"/>
        <v>corby</v>
      </c>
      <c r="U140">
        <v>3</v>
      </c>
    </row>
    <row r="141" spans="1:21" ht="29.25">
      <c r="A141" s="6" t="s">
        <v>1141</v>
      </c>
      <c r="B141" t="str" cm="1">
        <f t="array" ref="B141:F141">_xlfn.TEXTSPLIT(A141, ",")</f>
        <v>schapelle corby</v>
      </c>
      <c r="C141" t="str">
        <v xml:space="preserve"> convicted drug smuggler</v>
      </c>
      <c r="D141" t="str">
        <v xml:space="preserve"> drug smuggler</v>
      </c>
      <c r="E141" t="str">
        <v xml:space="preserve"> corby</v>
      </c>
      <c r="F141" t="str">
        <v xml:space="preserve"> convicted</v>
      </c>
      <c r="O141" t="str">
        <v>schapelle corby</v>
      </c>
      <c r="P141" t="str">
        <f t="shared" si="2"/>
        <v>schapelle corby</v>
      </c>
      <c r="U141">
        <v>3</v>
      </c>
    </row>
    <row r="142" spans="1:21" ht="29.25">
      <c r="A142" s="6" t="s">
        <v>1141</v>
      </c>
      <c r="B142" t="str" cm="1">
        <f t="array" ref="B142:F142">_xlfn.TEXTSPLIT(A142, ",")</f>
        <v>schapelle corby</v>
      </c>
      <c r="C142" t="str">
        <v xml:space="preserve"> convicted drug smuggler</v>
      </c>
      <c r="D142" t="str">
        <v xml:space="preserve"> drug smuggler</v>
      </c>
      <c r="E142" t="str">
        <v xml:space="preserve"> corby</v>
      </c>
      <c r="F142" t="str">
        <v xml:space="preserve"> convicted</v>
      </c>
      <c r="O142" t="str">
        <v xml:space="preserve"> convicted drug smuggler</v>
      </c>
      <c r="P142" t="str">
        <f t="shared" si="2"/>
        <v>convicted drug smuggler</v>
      </c>
      <c r="U142">
        <v>3</v>
      </c>
    </row>
    <row r="143" spans="1:21">
      <c r="A143" s="6" t="s">
        <v>1127</v>
      </c>
      <c r="B143" t="str" cm="1">
        <f t="array" ref="B143:C143">_xlfn.TEXTSPLIT(A143, ",")</f>
        <v>schapelle corby</v>
      </c>
      <c r="C143" t="str">
        <v xml:space="preserve"> corby</v>
      </c>
      <c r="O143" t="str">
        <v xml:space="preserve"> drug smuggler</v>
      </c>
      <c r="P143" t="str">
        <f t="shared" si="2"/>
        <v>drug smuggler</v>
      </c>
      <c r="U143">
        <v>5</v>
      </c>
    </row>
    <row r="144" spans="1:21" ht="29.25">
      <c r="A144" s="6" t="s">
        <v>1083</v>
      </c>
      <c r="B144" t="str" cm="1">
        <f t="array" ref="B144:G144">_xlfn.TEXTSPLIT(A144, ",")</f>
        <v>schapelle corby</v>
      </c>
      <c r="C144" t="str">
        <v xml:space="preserve"> australia</v>
      </c>
      <c r="D144" t="str">
        <v xml:space="preserve"> jail</v>
      </c>
      <c r="E144" t="str">
        <v xml:space="preserve"> af</v>
      </c>
      <c r="F144" t="str">
        <v xml:space="preserve"> corby</v>
      </c>
      <c r="G144" t="str">
        <v xml:space="preserve"> sentence </v>
      </c>
      <c r="O144" t="str">
        <v xml:space="preserve"> corby</v>
      </c>
      <c r="P144" t="str">
        <f t="shared" si="2"/>
        <v>corby</v>
      </c>
      <c r="U144">
        <v>5</v>
      </c>
    </row>
    <row r="145" spans="1:21">
      <c r="A145" s="6" t="s">
        <v>1127</v>
      </c>
      <c r="B145" t="str" cm="1">
        <f t="array" ref="B145:C145">_xlfn.TEXTSPLIT(A145, ",")</f>
        <v>schapelle corby</v>
      </c>
      <c r="C145" t="str">
        <v xml:space="preserve"> corby</v>
      </c>
      <c r="O145" t="str">
        <v xml:space="preserve"> convicted</v>
      </c>
      <c r="P145" t="str">
        <f t="shared" si="2"/>
        <v>convicted</v>
      </c>
      <c r="U145">
        <v>2</v>
      </c>
    </row>
    <row r="146" spans="1:21">
      <c r="A146" s="6" t="s">
        <v>1129</v>
      </c>
      <c r="B146" t="str" cm="1">
        <f t="array" ref="B146:D146">_xlfn.TEXTSPLIT(A146, ",")</f>
        <v>schapelle corby</v>
      </c>
      <c r="C146" t="str">
        <v xml:space="preserve"> australia</v>
      </c>
      <c r="D146" t="str">
        <v xml:space="preserve"> corby</v>
      </c>
      <c r="O146" t="str">
        <v>schapelle corby</v>
      </c>
      <c r="P146" t="str">
        <f t="shared" si="2"/>
        <v>schapelle corby</v>
      </c>
      <c r="U146">
        <v>6</v>
      </c>
    </row>
    <row r="147" spans="1:21">
      <c r="A147" s="6" t="s">
        <v>1127</v>
      </c>
      <c r="B147" t="str" cm="1">
        <f t="array" ref="B147:C147">_xlfn.TEXTSPLIT(A147, ",")</f>
        <v>schapelle corby</v>
      </c>
      <c r="C147" t="str">
        <v xml:space="preserve"> corby</v>
      </c>
      <c r="O147" t="str">
        <v xml:space="preserve"> corby</v>
      </c>
      <c r="P147" t="str">
        <f t="shared" si="2"/>
        <v>corby</v>
      </c>
      <c r="U147">
        <v>2</v>
      </c>
    </row>
    <row r="148" spans="1:21">
      <c r="A148" s="6" t="s">
        <v>1127</v>
      </c>
      <c r="B148" t="str" cm="1">
        <f t="array" ref="B148:C148">_xlfn.TEXTSPLIT(A148, ",")</f>
        <v>schapelle corby</v>
      </c>
      <c r="C148" t="str">
        <v xml:space="preserve"> corby</v>
      </c>
      <c r="O148" t="str">
        <v>schapelle corby</v>
      </c>
      <c r="P148" t="str">
        <f t="shared" si="2"/>
        <v>schapelle corby</v>
      </c>
      <c r="U148">
        <v>3</v>
      </c>
    </row>
    <row r="149" spans="1:21">
      <c r="A149" s="6" t="s">
        <v>1127</v>
      </c>
      <c r="B149" t="str" cm="1">
        <f t="array" ref="B149:C149">_xlfn.TEXTSPLIT(A149, ",")</f>
        <v>schapelle corby</v>
      </c>
      <c r="C149" t="str">
        <v xml:space="preserve"> corby</v>
      </c>
      <c r="O149" t="str">
        <v xml:space="preserve"> australian</v>
      </c>
      <c r="P149" t="str">
        <f t="shared" si="2"/>
        <v>australian</v>
      </c>
      <c r="U149">
        <v>2</v>
      </c>
    </row>
    <row r="150" spans="1:21">
      <c r="A150" s="6" t="s">
        <v>1158</v>
      </c>
      <c r="B150" t="str" cm="1">
        <f t="array" ref="B150:D150">_xlfn.TEXTSPLIT(A150, ",")</f>
        <v>schapelle corby</v>
      </c>
      <c r="C150" t="str">
        <v xml:space="preserve"> mercedes</v>
      </c>
      <c r="D150" t="str">
        <v xml:space="preserve"> corby</v>
      </c>
      <c r="O150" t="str">
        <v xml:space="preserve"> australia</v>
      </c>
      <c r="P150" t="str">
        <f t="shared" si="2"/>
        <v>australia</v>
      </c>
      <c r="U150">
        <v>2</v>
      </c>
    </row>
    <row r="151" spans="1:21">
      <c r="A151" s="6" t="s">
        <v>1155</v>
      </c>
      <c r="B151" t="str" cm="1">
        <f t="array" ref="B151:D151">_xlfn.TEXTSPLIT(A151, ",")</f>
        <v>schapelle corby</v>
      </c>
      <c r="C151" t="str">
        <v xml:space="preserve"> corby</v>
      </c>
      <c r="D151" t="str">
        <v xml:space="preserve"> innocent</v>
      </c>
      <c r="O151" t="str">
        <v xml:space="preserve"> corby</v>
      </c>
      <c r="P151" t="str">
        <f t="shared" si="2"/>
        <v>corby</v>
      </c>
      <c r="U151">
        <v>2</v>
      </c>
    </row>
    <row r="152" spans="1:21">
      <c r="A152" s="6" t="s">
        <v>1159</v>
      </c>
      <c r="B152" t="str" cm="1">
        <f t="array" ref="B152:D152">_xlfn.TEXTSPLIT(A152, ",")</f>
        <v>schapelle corby</v>
      </c>
      <c r="C152" t="str">
        <v xml:space="preserve"> corby</v>
      </c>
      <c r="D152" t="str">
        <v xml:space="preserve"> law </v>
      </c>
      <c r="O152" t="str">
        <v>schapelle corby</v>
      </c>
      <c r="P152" t="str">
        <f t="shared" si="2"/>
        <v>schapelle corby</v>
      </c>
      <c r="U152">
        <v>3</v>
      </c>
    </row>
    <row r="153" spans="1:21">
      <c r="A153" s="6" t="s">
        <v>1127</v>
      </c>
      <c r="B153" t="str" cm="1">
        <f t="array" ref="B153:C153">_xlfn.TEXTSPLIT(A153, ",")</f>
        <v>schapelle corby</v>
      </c>
      <c r="C153" t="str">
        <v xml:space="preserve"> corby</v>
      </c>
      <c r="O153" t="str">
        <v xml:space="preserve"> australian</v>
      </c>
      <c r="P153" t="str">
        <f t="shared" si="2"/>
        <v>australian</v>
      </c>
      <c r="U153">
        <v>3</v>
      </c>
    </row>
    <row r="154" spans="1:21">
      <c r="A154" s="6" t="s">
        <v>1127</v>
      </c>
      <c r="B154" t="str" cm="1">
        <f t="array" ref="B154:C154">_xlfn.TEXTSPLIT(A154, ",")</f>
        <v>schapelle corby</v>
      </c>
      <c r="C154" t="str">
        <v xml:space="preserve"> corby</v>
      </c>
      <c r="O154" t="str">
        <v xml:space="preserve"> australia</v>
      </c>
      <c r="P154" t="str">
        <f t="shared" si="2"/>
        <v>australia</v>
      </c>
      <c r="U154">
        <v>3</v>
      </c>
    </row>
    <row r="155" spans="1:21">
      <c r="A155" s="6" t="s">
        <v>1160</v>
      </c>
      <c r="B155" t="str" cm="1">
        <f t="array" ref="B155:E155">_xlfn.TEXTSPLIT(A155, ",")</f>
        <v>schapelle corby</v>
      </c>
      <c r="C155" t="str">
        <v xml:space="preserve"> jail</v>
      </c>
      <c r="D155" t="str">
        <v xml:space="preserve"> corby</v>
      </c>
      <c r="E155" t="str">
        <v xml:space="preserve"> sentenced</v>
      </c>
      <c r="O155" t="str">
        <v xml:space="preserve"> corby</v>
      </c>
      <c r="P155" t="str">
        <f t="shared" si="2"/>
        <v>corby</v>
      </c>
      <c r="U155">
        <v>2</v>
      </c>
    </row>
    <row r="156" spans="1:21">
      <c r="A156" s="6" t="s">
        <v>1020</v>
      </c>
      <c r="B156" t="str" cm="1">
        <f t="array" ref="B156">_xlfn.TEXTSPLIT(A156, ",")</f>
        <v>af</v>
      </c>
      <c r="O156" t="str">
        <v>schapelle corby</v>
      </c>
      <c r="P156" t="str">
        <f t="shared" si="2"/>
        <v>schapelle corby</v>
      </c>
      <c r="U156">
        <v>2</v>
      </c>
    </row>
    <row r="157" spans="1:21">
      <c r="A157" s="6" t="s">
        <v>1161</v>
      </c>
      <c r="B157" t="str" cm="1">
        <f t="array" ref="B157:F157">_xlfn.TEXTSPLIT(A157, ",")</f>
        <v>australian</v>
      </c>
      <c r="C157" t="str">
        <v xml:space="preserve"> australia</v>
      </c>
      <c r="D157" t="str">
        <v xml:space="preserve"> af</v>
      </c>
      <c r="E157" t="str">
        <v xml:space="preserve"> AFP</v>
      </c>
      <c r="F157" t="str">
        <v xml:space="preserve"> guilty</v>
      </c>
      <c r="O157" t="str">
        <v xml:space="preserve"> australian</v>
      </c>
      <c r="P157" t="str">
        <f t="shared" si="2"/>
        <v>australian</v>
      </c>
      <c r="U157">
        <v>4</v>
      </c>
    </row>
    <row r="158" spans="1:21">
      <c r="A158" s="6" t="s">
        <v>1084</v>
      </c>
      <c r="B158" t="str" cm="1">
        <f t="array" ref="B158:E158">_xlfn.TEXTSPLIT(A158, ",")</f>
        <v>australia</v>
      </c>
      <c r="C158" t="str">
        <v xml:space="preserve"> af</v>
      </c>
      <c r="D158" t="str">
        <v xml:space="preserve"> AFP</v>
      </c>
      <c r="E158" t="str">
        <v xml:space="preserve"> guilty</v>
      </c>
      <c r="O158" t="str">
        <v xml:space="preserve"> australia</v>
      </c>
      <c r="P158" t="str">
        <f t="shared" si="2"/>
        <v>australia</v>
      </c>
      <c r="U158">
        <v>1</v>
      </c>
    </row>
    <row r="159" spans="1:21">
      <c r="A159" s="6" t="s">
        <v>1162</v>
      </c>
      <c r="B159" t="str" cm="1">
        <f t="array" ref="B159:E159">_xlfn.TEXTSPLIT(A159, ",")</f>
        <v>criminal</v>
      </c>
      <c r="C159" t="str">
        <v xml:space="preserve"> af</v>
      </c>
      <c r="D159" t="str">
        <v xml:space="preserve"> AFP</v>
      </c>
      <c r="E159" t="str">
        <v xml:space="preserve"> arrested</v>
      </c>
      <c r="O159" t="str">
        <v xml:space="preserve"> corby</v>
      </c>
      <c r="P159" t="str">
        <f t="shared" si="2"/>
        <v>corby</v>
      </c>
      <c r="U159">
        <v>5</v>
      </c>
    </row>
    <row r="160" spans="1:21">
      <c r="A160" s="6" t="s">
        <v>1085</v>
      </c>
      <c r="B160" t="str" cm="1">
        <f t="array" ref="B160:D160">_xlfn.TEXTSPLIT(A160, ",")</f>
        <v>australia</v>
      </c>
      <c r="C160" t="str">
        <v xml:space="preserve"> af</v>
      </c>
      <c r="D160" t="str">
        <v xml:space="preserve"> AFP</v>
      </c>
      <c r="O160" t="str">
        <v>schapelle corby</v>
      </c>
      <c r="P160" t="str">
        <f t="shared" si="2"/>
        <v>schapelle corby</v>
      </c>
      <c r="U160">
        <v>4</v>
      </c>
    </row>
    <row r="161" spans="1:21">
      <c r="A161" s="6" t="s">
        <v>992</v>
      </c>
      <c r="B161" t="str" cm="1">
        <f t="array" ref="B161">_xlfn.TEXTSPLIT(A161, ",")</f>
        <v>drug smuggler</v>
      </c>
      <c r="O161" t="str">
        <v xml:space="preserve"> corby</v>
      </c>
      <c r="P161" t="str">
        <f t="shared" si="2"/>
        <v>corby</v>
      </c>
      <c r="U161">
        <v>4</v>
      </c>
    </row>
    <row r="162" spans="1:21">
      <c r="A162" s="6" t="s">
        <v>1057</v>
      </c>
      <c r="B162" t="str" cm="1">
        <f t="array" ref="B162">_xlfn.TEXTSPLIT(A162, ",")</f>
        <v>guilty</v>
      </c>
      <c r="O162" t="str">
        <v>schapelle corby</v>
      </c>
      <c r="P162" t="str">
        <f t="shared" si="2"/>
        <v>schapelle corby</v>
      </c>
      <c r="U162" t="s">
        <v>1135</v>
      </c>
    </row>
    <row r="163" spans="1:21">
      <c r="A163" s="6" t="s">
        <v>1057</v>
      </c>
      <c r="B163" t="str" cm="1">
        <f t="array" ref="B163">_xlfn.TEXTSPLIT(A163, ",")</f>
        <v>guilty</v>
      </c>
      <c r="O163" t="str">
        <v xml:space="preserve"> corby</v>
      </c>
      <c r="P163" t="str">
        <f t="shared" si="2"/>
        <v>corby</v>
      </c>
      <c r="U163">
        <v>3</v>
      </c>
    </row>
    <row r="164" spans="1:21">
      <c r="A164" s="6" t="s">
        <v>1163</v>
      </c>
      <c r="B164" t="str" cm="1">
        <f t="array" ref="B164:C164">_xlfn.TEXTSPLIT(A164, ",")</f>
        <v>australian</v>
      </c>
      <c r="C164" t="str">
        <v xml:space="preserve"> australia</v>
      </c>
      <c r="O164" t="str">
        <v>schapelle corby</v>
      </c>
      <c r="P164" t="str">
        <f t="shared" si="2"/>
        <v>schapelle corby</v>
      </c>
      <c r="U164">
        <v>1</v>
      </c>
    </row>
    <row r="165" spans="1:21">
      <c r="A165" s="6" t="s">
        <v>1031</v>
      </c>
      <c r="B165" t="str" cm="1">
        <f t="array" ref="B165">_xlfn.TEXTSPLIT(A165, ",")</f>
        <v>bogan</v>
      </c>
      <c r="O165" t="str">
        <v xml:space="preserve"> australian</v>
      </c>
      <c r="P165" t="str">
        <f t="shared" si="2"/>
        <v>australian</v>
      </c>
      <c r="U165" t="s">
        <v>1135</v>
      </c>
    </row>
    <row r="166" spans="1:21">
      <c r="A166" s="6" t="s">
        <v>1060</v>
      </c>
      <c r="B166" t="str" cm="1">
        <f t="array" ref="B166">_xlfn.TEXTSPLIT(A166, ",")</f>
        <v>innocent</v>
      </c>
      <c r="O166" t="str">
        <v xml:space="preserve"> australia</v>
      </c>
      <c r="P166" t="str">
        <f t="shared" si="2"/>
        <v>australia</v>
      </c>
      <c r="U166">
        <v>1</v>
      </c>
    </row>
    <row r="167" spans="1:21">
      <c r="A167" s="6" t="s">
        <v>1164</v>
      </c>
      <c r="B167" t="str" cm="1">
        <f t="array" ref="B167:C167">_xlfn.TEXTSPLIT(A167, ",")</f>
        <v>guilty</v>
      </c>
      <c r="C167" t="str">
        <v xml:space="preserve"> arrested</v>
      </c>
      <c r="O167" t="str">
        <v xml:space="preserve"> corby</v>
      </c>
      <c r="P167" t="str">
        <f t="shared" si="2"/>
        <v>corby</v>
      </c>
      <c r="U167" t="s">
        <v>1135</v>
      </c>
    </row>
    <row r="168" spans="1:21">
      <c r="A168" s="6" t="s">
        <v>984</v>
      </c>
      <c r="B168" t="str" cm="1">
        <f t="array" ref="B168">_xlfn.TEXTSPLIT(A168, ",")</f>
        <v>drugs</v>
      </c>
      <c r="O168" t="str">
        <v>schapelle corby</v>
      </c>
      <c r="P168" t="str">
        <f t="shared" si="2"/>
        <v>schapelle corby</v>
      </c>
      <c r="U168">
        <v>1</v>
      </c>
    </row>
    <row r="169" spans="1:21">
      <c r="A169" s="6" t="s">
        <v>1163</v>
      </c>
      <c r="B169" t="str" cm="1">
        <f t="array" ref="B169:C169">_xlfn.TEXTSPLIT(A169, ",")</f>
        <v>australian</v>
      </c>
      <c r="C169" t="str">
        <v xml:space="preserve"> australia</v>
      </c>
      <c r="O169" t="str">
        <v xml:space="preserve"> corby</v>
      </c>
      <c r="P169" t="str">
        <f t="shared" si="2"/>
        <v>corby</v>
      </c>
      <c r="U169" t="s">
        <v>1135</v>
      </c>
    </row>
    <row r="170" spans="1:21">
      <c r="A170" s="6" t="s">
        <v>1127</v>
      </c>
      <c r="B170" t="str" cm="1">
        <f t="array" ref="B170:C170">_xlfn.TEXTSPLIT(A170, ",")</f>
        <v>schapelle corby</v>
      </c>
      <c r="C170" t="str">
        <v xml:space="preserve"> corby</v>
      </c>
      <c r="O170" t="str">
        <v>schapelle corby</v>
      </c>
      <c r="P170" t="str">
        <f t="shared" si="2"/>
        <v>schapelle corby</v>
      </c>
      <c r="U170">
        <v>2</v>
      </c>
    </row>
    <row r="171" spans="1:21" ht="29.25">
      <c r="A171" s="6" t="s">
        <v>1165</v>
      </c>
      <c r="B171" t="str" cm="1">
        <f t="array" ref="B171:D171">_xlfn.TEXTSPLIT(A171, ",")</f>
        <v>convicted drug smuggler</v>
      </c>
      <c r="C171" t="str">
        <v xml:space="preserve"> drug smuggler</v>
      </c>
      <c r="D171" t="str">
        <v xml:space="preserve"> convicted</v>
      </c>
      <c r="O171" t="str">
        <v xml:space="preserve"> af</v>
      </c>
      <c r="P171" t="str">
        <f t="shared" si="2"/>
        <v>af</v>
      </c>
      <c r="U171" t="s">
        <v>1135</v>
      </c>
    </row>
    <row r="172" spans="1:21">
      <c r="A172" s="6" t="s">
        <v>1086</v>
      </c>
      <c r="B172" t="str" cm="1">
        <f t="array" ref="B172:D172">_xlfn.TEXTSPLIT(A172, ",")</f>
        <v>jail</v>
      </c>
      <c r="C172" t="str">
        <v xml:space="preserve"> bogan</v>
      </c>
      <c r="D172" t="str">
        <v xml:space="preserve"> trash </v>
      </c>
      <c r="O172" t="str">
        <v xml:space="preserve"> corby</v>
      </c>
      <c r="P172" t="str">
        <f t="shared" si="2"/>
        <v>corby</v>
      </c>
      <c r="U172">
        <v>1</v>
      </c>
    </row>
    <row r="173" spans="1:21">
      <c r="A173" s="6" t="s">
        <v>1166</v>
      </c>
      <c r="B173" t="str" cm="1">
        <f t="array" ref="B173:D173">_xlfn.TEXTSPLIT(A173, ",")</f>
        <v>australia</v>
      </c>
      <c r="C173" t="str">
        <v xml:space="preserve"> bitch</v>
      </c>
      <c r="D173" t="str">
        <v xml:space="preserve"> innocent</v>
      </c>
      <c r="O173" t="str">
        <v>schapelle corby</v>
      </c>
      <c r="P173" t="str">
        <f t="shared" si="2"/>
        <v>schapelle corby</v>
      </c>
      <c r="U173" t="s">
        <v>1135</v>
      </c>
    </row>
    <row r="174" spans="1:21" ht="29.25">
      <c r="A174" s="6" t="s">
        <v>1167</v>
      </c>
      <c r="B174" t="str" cm="1">
        <f t="array" ref="B174:H174">_xlfn.TEXTSPLIT(A174, ",")</f>
        <v>australia</v>
      </c>
      <c r="C174" t="str">
        <v xml:space="preserve"> drugs</v>
      </c>
      <c r="D174" t="str">
        <v xml:space="preserve"> narcotics</v>
      </c>
      <c r="E174" t="str">
        <v xml:space="preserve"> guilty</v>
      </c>
      <c r="F174" t="str">
        <v xml:space="preserve"> served</v>
      </c>
      <c r="G174" t="str">
        <v xml:space="preserve"> sentence </v>
      </c>
      <c r="H174" t="str">
        <v xml:space="preserve"> import</v>
      </c>
      <c r="O174" t="str">
        <v xml:space="preserve"> corby</v>
      </c>
      <c r="P174" t="str">
        <f t="shared" si="2"/>
        <v>corby</v>
      </c>
      <c r="U174" t="s">
        <v>1135</v>
      </c>
    </row>
    <row r="175" spans="1:21">
      <c r="A175" s="6" t="s">
        <v>1168</v>
      </c>
      <c r="B175" t="str" cm="1">
        <f t="array" ref="B175:C175">_xlfn.TEXTSPLIT(A175, ",")</f>
        <v>cannabis</v>
      </c>
      <c r="C175" t="str">
        <v xml:space="preserve"> cannabis</v>
      </c>
      <c r="O175" t="str">
        <v>schapelle corby</v>
      </c>
      <c r="P175" t="str">
        <f t="shared" si="2"/>
        <v>schapelle corby</v>
      </c>
      <c r="U175" t="s">
        <v>1135</v>
      </c>
    </row>
    <row r="176" spans="1:21">
      <c r="A176" s="6" t="s">
        <v>1169</v>
      </c>
      <c r="B176" t="str" cm="1">
        <f t="array" ref="B176:C176">_xlfn.TEXTSPLIT(A176, ",")</f>
        <v>drugs</v>
      </c>
      <c r="C176" t="str">
        <v xml:space="preserve"> narcotics</v>
      </c>
      <c r="O176" t="str">
        <v xml:space="preserve"> boogie board</v>
      </c>
      <c r="P176" t="str">
        <f t="shared" si="2"/>
        <v>boogie board</v>
      </c>
      <c r="U176" t="s">
        <v>1135</v>
      </c>
    </row>
    <row r="177" spans="1:21" ht="29.25">
      <c r="A177" s="6" t="s">
        <v>1170</v>
      </c>
      <c r="B177" t="str" cm="1">
        <f t="array" ref="B177:H177">_xlfn.TEXTSPLIT(A177, ",")</f>
        <v>schapelle corby</v>
      </c>
      <c r="C177" t="str">
        <v xml:space="preserve"> australian</v>
      </c>
      <c r="D177" t="str">
        <v xml:space="preserve"> australia</v>
      </c>
      <c r="E177" t="str">
        <v xml:space="preserve"> drugs</v>
      </c>
      <c r="F177" t="str">
        <v xml:space="preserve"> corby</v>
      </c>
      <c r="G177" t="str">
        <v xml:space="preserve"> guilty</v>
      </c>
      <c r="H177" t="str">
        <v xml:space="preserve"> innocent</v>
      </c>
      <c r="O177" t="str">
        <v xml:space="preserve"> corby</v>
      </c>
      <c r="P177" t="str">
        <f t="shared" si="2"/>
        <v>corby</v>
      </c>
      <c r="U177" t="s">
        <v>1135</v>
      </c>
    </row>
    <row r="178" spans="1:21">
      <c r="A178" s="6" t="s">
        <v>1171</v>
      </c>
      <c r="B178" t="str" cm="1">
        <f t="array" ref="B178:D178">_xlfn.TEXTSPLIT(A178, ",")</f>
        <v>af</v>
      </c>
      <c r="C178" t="str">
        <v xml:space="preserve"> guilty</v>
      </c>
      <c r="D178" t="str">
        <v xml:space="preserve"> guilty af</v>
      </c>
      <c r="O178" t="str">
        <v>schapelle corby</v>
      </c>
      <c r="P178" t="str">
        <f t="shared" si="2"/>
        <v>schapelle corby</v>
      </c>
      <c r="U178">
        <v>1</v>
      </c>
    </row>
    <row r="179" spans="1:21">
      <c r="A179" s="6" t="s">
        <v>1172</v>
      </c>
      <c r="B179" t="str" cm="1">
        <f t="array" ref="B179:D179">_xlfn.TEXTSPLIT(A179, ",")</f>
        <v>dumb</v>
      </c>
      <c r="C179" t="str">
        <v xml:space="preserve"> bitch</v>
      </c>
      <c r="D179" t="str">
        <v xml:space="preserve"> served</v>
      </c>
      <c r="O179" t="str">
        <v xml:space="preserve"> convicted drug smuggler</v>
      </c>
      <c r="P179" t="str">
        <f t="shared" si="2"/>
        <v>convicted drug smuggler</v>
      </c>
      <c r="U179">
        <v>2</v>
      </c>
    </row>
    <row r="180" spans="1:21">
      <c r="A180" s="6" t="s">
        <v>1173</v>
      </c>
      <c r="B180" t="str" cm="1">
        <f t="array" ref="B180:D180">_xlfn.TEXTSPLIT(A180, ",")</f>
        <v>smuggling</v>
      </c>
      <c r="C180" t="str">
        <v xml:space="preserve"> australia</v>
      </c>
      <c r="D180" t="str">
        <v xml:space="preserve"> weed</v>
      </c>
      <c r="O180" t="str">
        <v xml:space="preserve"> drug smuggler</v>
      </c>
      <c r="P180" t="str">
        <f t="shared" si="2"/>
        <v>drug smuggler</v>
      </c>
      <c r="U180" t="s">
        <v>1135</v>
      </c>
    </row>
    <row r="181" spans="1:21">
      <c r="A181" s="6" t="s">
        <v>1163</v>
      </c>
      <c r="B181" t="str" cm="1">
        <f t="array" ref="B181:C181">_xlfn.TEXTSPLIT(A181, ",")</f>
        <v>australian</v>
      </c>
      <c r="C181" t="str">
        <v xml:space="preserve"> australia</v>
      </c>
      <c r="O181" t="str">
        <v xml:space="preserve"> corby</v>
      </c>
      <c r="P181" t="str">
        <f t="shared" si="2"/>
        <v>corby</v>
      </c>
      <c r="U181" t="s">
        <v>1135</v>
      </c>
    </row>
    <row r="182" spans="1:21">
      <c r="A182" s="6" t="s">
        <v>989</v>
      </c>
      <c r="B182" t="str" cm="1">
        <f t="array" ref="B182">_xlfn.TEXTSPLIT(A182, ",")</f>
        <v>criminal</v>
      </c>
      <c r="O182" t="str">
        <v xml:space="preserve"> convicted</v>
      </c>
      <c r="P182" t="str">
        <f t="shared" si="2"/>
        <v>convicted</v>
      </c>
      <c r="U182">
        <v>1</v>
      </c>
    </row>
    <row r="183" spans="1:21">
      <c r="A183" s="6" t="s">
        <v>1174</v>
      </c>
      <c r="B183" t="str" cm="1">
        <f t="array" ref="B183:C183">_xlfn.TEXTSPLIT(A183, ",")</f>
        <v>drugs</v>
      </c>
      <c r="C183" t="str">
        <v xml:space="preserve"> father</v>
      </c>
      <c r="O183" t="str">
        <v>schapelle corby</v>
      </c>
      <c r="P183" t="str">
        <f t="shared" si="2"/>
        <v>schapelle corby</v>
      </c>
      <c r="U183" t="s">
        <v>1135</v>
      </c>
    </row>
    <row r="184" spans="1:21">
      <c r="A184" s="6" t="s">
        <v>1175</v>
      </c>
      <c r="B184" t="str" cm="1">
        <f t="array" ref="B184:G184">_xlfn.TEXTSPLIT(A184, ",")</f>
        <v>drugs</v>
      </c>
      <c r="C184" t="str">
        <v xml:space="preserve"> stupid</v>
      </c>
      <c r="D184" t="str">
        <v xml:space="preserve"> father</v>
      </c>
      <c r="E184" t="str">
        <v xml:space="preserve"> guilty</v>
      </c>
      <c r="F184" t="str">
        <v xml:space="preserve"> import</v>
      </c>
      <c r="G184" t="str">
        <v xml:space="preserve"> export</v>
      </c>
      <c r="O184" t="str">
        <v xml:space="preserve"> corby</v>
      </c>
      <c r="P184" t="str">
        <f t="shared" si="2"/>
        <v>corby</v>
      </c>
      <c r="U184">
        <v>2</v>
      </c>
    </row>
    <row r="185" spans="1:21">
      <c r="A185" s="6" t="s">
        <v>1176</v>
      </c>
      <c r="B185" t="str" cm="1">
        <f t="array" ref="B185:C185">_xlfn.TEXTSPLIT(A185, ",")</f>
        <v>idiot</v>
      </c>
      <c r="C185" t="str">
        <v xml:space="preserve"> guilty</v>
      </c>
      <c r="O185" t="str">
        <v>schapelle corby</v>
      </c>
      <c r="P185" t="str">
        <f t="shared" si="2"/>
        <v>schapelle corby</v>
      </c>
      <c r="U185" t="s">
        <v>1135</v>
      </c>
    </row>
    <row r="186" spans="1:21">
      <c r="A186" s="6" t="s">
        <v>1031</v>
      </c>
      <c r="B186" t="str" cm="1">
        <f t="array" ref="B186">_xlfn.TEXTSPLIT(A186, ",")</f>
        <v>bogan</v>
      </c>
      <c r="O186" t="str">
        <v xml:space="preserve"> corby</v>
      </c>
      <c r="P186" t="str">
        <f t="shared" si="2"/>
        <v>corby</v>
      </c>
      <c r="U186" t="s">
        <v>1135</v>
      </c>
    </row>
    <row r="187" spans="1:21">
      <c r="A187" s="6" t="s">
        <v>1031</v>
      </c>
      <c r="B187" t="str" cm="1">
        <f t="array" ref="B187">_xlfn.TEXTSPLIT(A187, ",")</f>
        <v>bogan</v>
      </c>
      <c r="O187" t="str">
        <v>schapelle corby</v>
      </c>
      <c r="P187" t="str">
        <f t="shared" si="2"/>
        <v>schapelle corby</v>
      </c>
      <c r="U187">
        <v>2</v>
      </c>
    </row>
    <row r="188" spans="1:21">
      <c r="A188" s="6" t="s">
        <v>1176</v>
      </c>
      <c r="B188" t="str" cm="1">
        <f t="array" ref="B188:C188">_xlfn.TEXTSPLIT(A188, ",")</f>
        <v>idiot</v>
      </c>
      <c r="C188" t="str">
        <v xml:space="preserve"> guilty</v>
      </c>
      <c r="O188" t="str">
        <v xml:space="preserve"> corby</v>
      </c>
      <c r="P188" t="str">
        <f t="shared" si="2"/>
        <v>corby</v>
      </c>
      <c r="U188">
        <v>3</v>
      </c>
    </row>
    <row r="189" spans="1:21">
      <c r="A189" s="6" t="s">
        <v>1177</v>
      </c>
      <c r="B189" t="str" cm="1">
        <f t="array" ref="B189:C189">_xlfn.TEXTSPLIT(A189, ",")</f>
        <v>australia</v>
      </c>
      <c r="C189" t="str">
        <v xml:space="preserve"> corby</v>
      </c>
      <c r="O189" t="str">
        <v>schapelle corby</v>
      </c>
      <c r="P189" t="str">
        <f t="shared" si="2"/>
        <v>schapelle corby</v>
      </c>
      <c r="U189" t="s">
        <v>1135</v>
      </c>
    </row>
    <row r="190" spans="1:21">
      <c r="A190" s="6" t="s">
        <v>1057</v>
      </c>
      <c r="B190" t="str" cm="1">
        <f t="array" ref="B190">_xlfn.TEXTSPLIT(A190, ",")</f>
        <v>guilty</v>
      </c>
      <c r="O190" t="str">
        <v xml:space="preserve"> corby</v>
      </c>
      <c r="P190" t="str">
        <f t="shared" si="2"/>
        <v>corby</v>
      </c>
      <c r="U190" t="s">
        <v>1135</v>
      </c>
    </row>
    <row r="191" spans="1:21">
      <c r="A191" s="6" t="s">
        <v>1178</v>
      </c>
      <c r="B191" t="str" cm="1">
        <f t="array" ref="B191:D191">_xlfn.TEXTSPLIT(A191, ",")</f>
        <v>australian</v>
      </c>
      <c r="C191" t="str">
        <v xml:space="preserve"> australia</v>
      </c>
      <c r="D191" t="str">
        <v xml:space="preserve"> criminal</v>
      </c>
      <c r="O191" t="str">
        <v>schapelle corby</v>
      </c>
      <c r="P191" t="str">
        <f t="shared" si="2"/>
        <v>schapelle corby</v>
      </c>
      <c r="U191">
        <v>3</v>
      </c>
    </row>
    <row r="192" spans="1:21">
      <c r="A192" s="6" t="s">
        <v>1178</v>
      </c>
      <c r="B192" t="str" cm="1">
        <f t="array" ref="B192:D192">_xlfn.TEXTSPLIT(A192, ",")</f>
        <v>australian</v>
      </c>
      <c r="C192" t="str">
        <v xml:space="preserve"> australia</v>
      </c>
      <c r="D192" t="str">
        <v xml:space="preserve"> criminal</v>
      </c>
      <c r="O192" t="str">
        <v xml:space="preserve"> corby</v>
      </c>
      <c r="P192" t="str">
        <f t="shared" si="2"/>
        <v>corby</v>
      </c>
      <c r="U192">
        <v>3</v>
      </c>
    </row>
    <row r="193" spans="1:21">
      <c r="A193" s="6" t="s">
        <v>1179</v>
      </c>
      <c r="B193" t="str" cm="1">
        <f t="array" ref="B193:C193">_xlfn.TEXTSPLIT(A193, ",")</f>
        <v>australia</v>
      </c>
      <c r="C193" t="str">
        <v xml:space="preserve"> criminal</v>
      </c>
      <c r="O193" t="str">
        <v>schapelle corby</v>
      </c>
      <c r="P193" t="str">
        <f t="shared" si="2"/>
        <v>schapelle corby</v>
      </c>
      <c r="U193" t="s">
        <v>1135</v>
      </c>
    </row>
    <row r="194" spans="1:21">
      <c r="A194" s="6" t="s">
        <v>983</v>
      </c>
      <c r="B194" t="str" cm="1">
        <f t="array" ref="B194">_xlfn.TEXTSPLIT(A194, ",")</f>
        <v>australia</v>
      </c>
      <c r="O194" t="str">
        <v xml:space="preserve"> jail</v>
      </c>
      <c r="P194" t="str">
        <f t="shared" si="2"/>
        <v>jail</v>
      </c>
      <c r="U194" t="s">
        <v>1135</v>
      </c>
    </row>
    <row r="195" spans="1:21">
      <c r="A195" s="6" t="s">
        <v>1180</v>
      </c>
      <c r="B195" t="str" cm="1">
        <f t="array" ref="B195:C195">_xlfn.TEXTSPLIT(A195, ",")</f>
        <v>criminal</v>
      </c>
      <c r="C195" t="str">
        <v xml:space="preserve"> af</v>
      </c>
      <c r="O195" t="str">
        <v xml:space="preserve"> corby</v>
      </c>
      <c r="P195" t="str">
        <f t="shared" ref="P195:P258" si="3">TRIM(O195)</f>
        <v>corby</v>
      </c>
      <c r="U195">
        <v>7</v>
      </c>
    </row>
    <row r="196" spans="1:21">
      <c r="A196" s="6" t="s">
        <v>1181</v>
      </c>
      <c r="B196" t="str" cm="1">
        <f t="array" ref="B196:C196">_xlfn.TEXTSPLIT(A196, ",")</f>
        <v>australia</v>
      </c>
      <c r="C196" t="str">
        <v xml:space="preserve"> bogan</v>
      </c>
      <c r="O196" t="str">
        <v>schapelle corby</v>
      </c>
      <c r="P196" t="str">
        <f t="shared" si="3"/>
        <v>schapelle corby</v>
      </c>
      <c r="U196">
        <v>2</v>
      </c>
    </row>
    <row r="197" spans="1:21">
      <c r="A197" s="6" t="s">
        <v>1178</v>
      </c>
      <c r="B197" t="str" cm="1">
        <f t="array" ref="B197:D197">_xlfn.TEXTSPLIT(A197, ",")</f>
        <v>australian</v>
      </c>
      <c r="C197" t="str">
        <v xml:space="preserve"> australia</v>
      </c>
      <c r="D197" t="str">
        <v xml:space="preserve"> criminal</v>
      </c>
      <c r="O197" t="str">
        <v xml:space="preserve"> australia</v>
      </c>
      <c r="P197" t="str">
        <f t="shared" si="3"/>
        <v>australia</v>
      </c>
      <c r="U197" t="s">
        <v>1135</v>
      </c>
    </row>
    <row r="198" spans="1:21">
      <c r="A198" s="6" t="s">
        <v>989</v>
      </c>
      <c r="B198" t="str" cm="1">
        <f t="array" ref="B198">_xlfn.TEXTSPLIT(A198, ",")</f>
        <v>criminal</v>
      </c>
      <c r="O198" t="str">
        <v xml:space="preserve"> af</v>
      </c>
      <c r="P198" t="str">
        <f t="shared" si="3"/>
        <v>af</v>
      </c>
      <c r="U198">
        <v>2</v>
      </c>
    </row>
    <row r="199" spans="1:21" ht="29.25">
      <c r="A199" s="6" t="s">
        <v>1087</v>
      </c>
      <c r="B199" t="str" cm="1">
        <f t="array" ref="B199:G199">_xlfn.TEXTSPLIT(A199, ",")</f>
        <v xml:space="preserve">indonesia </v>
      </c>
      <c r="C199" t="str">
        <v xml:space="preserve"> australia</v>
      </c>
      <c r="D199" t="str">
        <v xml:space="preserve"> marijuana </v>
      </c>
      <c r="E199" t="str">
        <v xml:space="preserve"> brother</v>
      </c>
      <c r="F199" t="str">
        <v xml:space="preserve"> disgusting</v>
      </c>
      <c r="G199" t="str">
        <v xml:space="preserve"> guilty</v>
      </c>
      <c r="O199" t="str">
        <v xml:space="preserve"> corby</v>
      </c>
      <c r="P199" t="str">
        <f t="shared" si="3"/>
        <v>corby</v>
      </c>
      <c r="U199">
        <v>7</v>
      </c>
    </row>
    <row r="200" spans="1:21">
      <c r="A200" s="6" t="s">
        <v>1024</v>
      </c>
      <c r="B200" t="str" cm="1">
        <f t="array" ref="B200">_xlfn.TEXTSPLIT(A200, ",")</f>
        <v>sister</v>
      </c>
      <c r="O200" t="str">
        <v>schapelle corby</v>
      </c>
      <c r="P200" t="str">
        <f t="shared" si="3"/>
        <v>schapelle corby</v>
      </c>
      <c r="U200">
        <v>3</v>
      </c>
    </row>
    <row r="201" spans="1:21">
      <c r="A201" s="6" t="s">
        <v>1027</v>
      </c>
      <c r="B201" t="str" cm="1">
        <f t="array" ref="B201">_xlfn.TEXTSPLIT(A201, ",")</f>
        <v>mercedes</v>
      </c>
      <c r="O201" t="str">
        <v xml:space="preserve"> australian</v>
      </c>
      <c r="P201" t="str">
        <f t="shared" si="3"/>
        <v>australian</v>
      </c>
      <c r="U201">
        <v>3</v>
      </c>
    </row>
    <row r="202" spans="1:21">
      <c r="A202" s="6" t="s">
        <v>1182</v>
      </c>
      <c r="B202" t="str" cm="1">
        <f t="array" ref="B202:D202">_xlfn.TEXTSPLIT(A202, ",")</f>
        <v>sister</v>
      </c>
      <c r="C202" t="str">
        <v xml:space="preserve"> mercedes</v>
      </c>
      <c r="D202" t="str">
        <v xml:space="preserve"> bogan</v>
      </c>
      <c r="O202" t="str">
        <v xml:space="preserve"> australia</v>
      </c>
      <c r="P202" t="str">
        <f t="shared" si="3"/>
        <v>australia</v>
      </c>
      <c r="U202">
        <v>3</v>
      </c>
    </row>
    <row r="203" spans="1:21">
      <c r="A203" s="6" t="s">
        <v>1183</v>
      </c>
      <c r="B203" t="str" cm="1">
        <f t="array" ref="B203:E203">_xlfn.TEXTSPLIT(A203, ",")</f>
        <v>af</v>
      </c>
      <c r="C203" t="str">
        <v xml:space="preserve"> Mercedes Corby</v>
      </c>
      <c r="D203" t="str">
        <v xml:space="preserve"> mercedes</v>
      </c>
      <c r="E203" t="str">
        <v xml:space="preserve"> corby</v>
      </c>
      <c r="O203" t="str">
        <v xml:space="preserve"> corby</v>
      </c>
      <c r="P203" t="str">
        <f t="shared" si="3"/>
        <v>corby</v>
      </c>
      <c r="U203">
        <v>2</v>
      </c>
    </row>
    <row r="204" spans="1:21">
      <c r="A204" s="6" t="s">
        <v>1184</v>
      </c>
      <c r="B204" t="str" cm="1">
        <f t="array" ref="B204:D204">_xlfn.TEXTSPLIT(A204, ",")</f>
        <v>af</v>
      </c>
      <c r="C204" t="str">
        <v xml:space="preserve"> mercedes</v>
      </c>
      <c r="D204" t="str">
        <v xml:space="preserve"> bogan</v>
      </c>
      <c r="O204" t="str">
        <v>schapelle corby</v>
      </c>
      <c r="P204" t="str">
        <f t="shared" si="3"/>
        <v>schapelle corby</v>
      </c>
      <c r="U204" t="s">
        <v>1135</v>
      </c>
    </row>
    <row r="205" spans="1:21">
      <c r="A205" s="6" t="s">
        <v>1020</v>
      </c>
      <c r="B205" t="str" cm="1">
        <f t="array" ref="B205">_xlfn.TEXTSPLIT(A205, ",")</f>
        <v>af</v>
      </c>
      <c r="O205" t="str">
        <v xml:space="preserve"> corby</v>
      </c>
      <c r="P205" t="str">
        <f t="shared" si="3"/>
        <v>corby</v>
      </c>
      <c r="U205">
        <v>1</v>
      </c>
    </row>
    <row r="206" spans="1:21">
      <c r="A206" s="6" t="s">
        <v>1185</v>
      </c>
      <c r="B206" t="str" cm="1">
        <f t="array" ref="B206:C206">_xlfn.TEXTSPLIT(A206, ",")</f>
        <v>mercedes</v>
      </c>
      <c r="C206" t="str">
        <v xml:space="preserve"> sucks</v>
      </c>
      <c r="O206" t="str">
        <v>schapelle corby</v>
      </c>
      <c r="P206" t="str">
        <f t="shared" si="3"/>
        <v>schapelle corby</v>
      </c>
      <c r="U206" t="s">
        <v>1135</v>
      </c>
    </row>
    <row r="207" spans="1:21">
      <c r="A207" s="6" t="s">
        <v>1186</v>
      </c>
      <c r="B207" t="str" cm="1">
        <f t="array" ref="B207:C207">_xlfn.TEXTSPLIT(A207, ",")</f>
        <v>af</v>
      </c>
      <c r="C207" t="str">
        <v xml:space="preserve"> mercedes</v>
      </c>
      <c r="O207" t="str">
        <v xml:space="preserve"> drug trafficking</v>
      </c>
      <c r="P207" t="str">
        <f t="shared" si="3"/>
        <v>drug trafficking</v>
      </c>
      <c r="U207">
        <v>2</v>
      </c>
    </row>
    <row r="208" spans="1:21">
      <c r="A208" s="6" t="s">
        <v>1186</v>
      </c>
      <c r="B208" t="str" cm="1">
        <f t="array" ref="B208:C208">_xlfn.TEXTSPLIT(A208, ",")</f>
        <v>af</v>
      </c>
      <c r="C208" t="str">
        <v xml:space="preserve"> mercedes</v>
      </c>
      <c r="O208" t="str">
        <v xml:space="preserve"> af</v>
      </c>
      <c r="P208" t="str">
        <f t="shared" si="3"/>
        <v>af</v>
      </c>
      <c r="U208">
        <v>6</v>
      </c>
    </row>
    <row r="209" spans="1:21">
      <c r="A209" s="6" t="s">
        <v>1027</v>
      </c>
      <c r="B209" t="str" cm="1">
        <f t="array" ref="B209">_xlfn.TEXTSPLIT(A209, ",")</f>
        <v>mercedes</v>
      </c>
      <c r="O209" t="str">
        <v xml:space="preserve"> corby</v>
      </c>
      <c r="P209" t="str">
        <f t="shared" si="3"/>
        <v>corby</v>
      </c>
      <c r="U209" t="s">
        <v>1135</v>
      </c>
    </row>
    <row r="210" spans="1:21">
      <c r="A210" s="6" t="s">
        <v>1027</v>
      </c>
      <c r="B210" t="str" cm="1">
        <f t="array" ref="B210">_xlfn.TEXTSPLIT(A210, ",")</f>
        <v>mercedes</v>
      </c>
      <c r="O210" t="str">
        <v xml:space="preserve"> innocent</v>
      </c>
      <c r="P210" t="str">
        <f t="shared" si="3"/>
        <v>innocent</v>
      </c>
      <c r="U210">
        <v>2</v>
      </c>
    </row>
    <row r="211" spans="1:21">
      <c r="A211" s="6" t="s">
        <v>1031</v>
      </c>
      <c r="B211" t="str" cm="1">
        <f t="array" ref="B211">_xlfn.TEXTSPLIT(A211, ",")</f>
        <v>bogan</v>
      </c>
      <c r="O211" t="str">
        <v>schapelle corby</v>
      </c>
      <c r="P211" t="str">
        <f t="shared" si="3"/>
        <v>schapelle corby</v>
      </c>
      <c r="U211">
        <v>1</v>
      </c>
    </row>
    <row r="212" spans="1:21">
      <c r="A212" s="6" t="s">
        <v>1187</v>
      </c>
      <c r="B212" t="str" cm="1">
        <f t="array" ref="B212:C212">_xlfn.TEXTSPLIT(A212, ",")</f>
        <v>guilty</v>
      </c>
      <c r="C212" t="str">
        <v xml:space="preserve"> charged</v>
      </c>
      <c r="O212" t="str">
        <v xml:space="preserve"> corby</v>
      </c>
      <c r="P212" t="str">
        <f t="shared" si="3"/>
        <v>corby</v>
      </c>
      <c r="U212">
        <v>1</v>
      </c>
    </row>
    <row r="213" spans="1:21">
      <c r="A213" s="6" t="s">
        <v>1188</v>
      </c>
      <c r="B213" t="str" cm="1">
        <f t="array" ref="B213:C213">_xlfn.TEXTSPLIT(A213, ",")</f>
        <v>brother</v>
      </c>
      <c r="C213" t="str">
        <v xml:space="preserve"> guilty</v>
      </c>
      <c r="O213" t="str">
        <v>schapelle corby</v>
      </c>
      <c r="P213" t="str">
        <f t="shared" si="3"/>
        <v>schapelle corby</v>
      </c>
      <c r="U213">
        <v>2</v>
      </c>
    </row>
    <row r="214" spans="1:21">
      <c r="A214" s="6" t="s">
        <v>1189</v>
      </c>
      <c r="B214" t="str" cm="1">
        <f t="array" ref="B214:C214">_xlfn.TEXTSPLIT(A214, ",")</f>
        <v>sister</v>
      </c>
      <c r="C214" t="str">
        <v xml:space="preserve"> bogan</v>
      </c>
      <c r="O214" t="str">
        <v xml:space="preserve"> corby</v>
      </c>
      <c r="P214" t="str">
        <f t="shared" si="3"/>
        <v>corby</v>
      </c>
      <c r="U214">
        <v>2</v>
      </c>
    </row>
    <row r="215" spans="1:21">
      <c r="A215" s="6" t="s">
        <v>1088</v>
      </c>
      <c r="B215" t="str" cm="1">
        <f t="array" ref="B215:C215">_xlfn.TEXTSPLIT(A215, ",")</f>
        <v>dumb</v>
      </c>
      <c r="C215" t="str">
        <v xml:space="preserve"> innocent</v>
      </c>
      <c r="O215" t="str">
        <v>schapelle corby</v>
      </c>
      <c r="P215" t="str">
        <f t="shared" si="3"/>
        <v>schapelle corby</v>
      </c>
      <c r="U215">
        <v>1</v>
      </c>
    </row>
    <row r="216" spans="1:21" ht="29.25">
      <c r="A216" s="6" t="s">
        <v>1089</v>
      </c>
      <c r="B216" t="str" cm="1">
        <f t="array" ref="B216:I216">_xlfn.TEXTSPLIT(A216, ",")</f>
        <v>australian</v>
      </c>
      <c r="C216" t="str">
        <v xml:space="preserve"> australia</v>
      </c>
      <c r="D216" t="str">
        <v xml:space="preserve"> criminal</v>
      </c>
      <c r="E216" t="str">
        <v xml:space="preserve"> brother</v>
      </c>
      <c r="F216" t="str">
        <v xml:space="preserve"> Corrupt</v>
      </c>
      <c r="G216" t="str">
        <v xml:space="preserve"> guilty</v>
      </c>
      <c r="H216" t="str">
        <v xml:space="preserve"> served</v>
      </c>
      <c r="I216" t="str">
        <v xml:space="preserve"> sentence </v>
      </c>
      <c r="O216" t="str">
        <v xml:space="preserve"> corby</v>
      </c>
      <c r="P216" t="str">
        <f t="shared" si="3"/>
        <v>corby</v>
      </c>
      <c r="U216" t="s">
        <v>1135</v>
      </c>
    </row>
    <row r="217" spans="1:21" ht="43.5">
      <c r="A217" s="6" t="s">
        <v>1190</v>
      </c>
      <c r="B217" t="str" cm="1">
        <f t="array" ref="B217:M217">_xlfn.TEXTSPLIT(A217, ",")</f>
        <v>australian</v>
      </c>
      <c r="C217" t="str">
        <v xml:space="preserve"> indonesia </v>
      </c>
      <c r="D217" t="str">
        <v xml:space="preserve"> australia</v>
      </c>
      <c r="E217" t="str">
        <v xml:space="preserve"> criminal</v>
      </c>
      <c r="F217" t="str">
        <v xml:space="preserve"> possession</v>
      </c>
      <c r="G217" t="str">
        <v xml:space="preserve"> marijuana </v>
      </c>
      <c r="H217" t="str">
        <v xml:space="preserve"> narcotics</v>
      </c>
      <c r="I217" t="str">
        <v xml:space="preserve"> sentence </v>
      </c>
      <c r="J217" t="str">
        <v xml:space="preserve"> Indonesian law</v>
      </c>
      <c r="K217" t="str">
        <v xml:space="preserve"> law </v>
      </c>
      <c r="L217" t="str">
        <v xml:space="preserve"> import</v>
      </c>
      <c r="M217" t="str">
        <v xml:space="preserve"> export</v>
      </c>
      <c r="O217" t="str">
        <v>schapelle corby</v>
      </c>
      <c r="P217" t="str">
        <f t="shared" si="3"/>
        <v>schapelle corby</v>
      </c>
      <c r="U217">
        <v>3</v>
      </c>
    </row>
    <row r="218" spans="1:21">
      <c r="A218" s="6" t="s">
        <v>1028</v>
      </c>
      <c r="B218" t="str" cm="1">
        <f t="array" ref="B218">_xlfn.TEXTSPLIT(A218, ",")</f>
        <v>corby</v>
      </c>
      <c r="O218" t="str">
        <v xml:space="preserve"> australian</v>
      </c>
      <c r="P218" t="str">
        <f t="shared" si="3"/>
        <v>australian</v>
      </c>
      <c r="U218">
        <v>3</v>
      </c>
    </row>
    <row r="219" spans="1:21">
      <c r="A219" s="6" t="s">
        <v>1027</v>
      </c>
      <c r="B219" t="str" cm="1">
        <f t="array" ref="B219">_xlfn.TEXTSPLIT(A219, ",")</f>
        <v>mercedes</v>
      </c>
      <c r="O219" t="str">
        <v xml:space="preserve"> australia</v>
      </c>
      <c r="P219" t="str">
        <f t="shared" si="3"/>
        <v>australia</v>
      </c>
      <c r="U219">
        <v>2</v>
      </c>
    </row>
    <row r="220" spans="1:21">
      <c r="A220" s="6" t="s">
        <v>1031</v>
      </c>
      <c r="B220" t="str" cm="1">
        <f t="array" ref="B220">_xlfn.TEXTSPLIT(A220, ",")</f>
        <v>bogan</v>
      </c>
      <c r="O220" t="str">
        <v xml:space="preserve"> drug smuggler</v>
      </c>
      <c r="P220" t="str">
        <f t="shared" si="3"/>
        <v>drug smuggler</v>
      </c>
      <c r="U220">
        <v>1</v>
      </c>
    </row>
    <row r="221" spans="1:21">
      <c r="A221" s="6" t="s">
        <v>1031</v>
      </c>
      <c r="B221" t="str" cm="1">
        <f t="array" ref="B221">_xlfn.TEXTSPLIT(A221, ",")</f>
        <v>bogan</v>
      </c>
      <c r="O221" t="str">
        <v xml:space="preserve"> corby</v>
      </c>
      <c r="P221" t="str">
        <f t="shared" si="3"/>
        <v>corby</v>
      </c>
      <c r="U221">
        <v>2</v>
      </c>
    </row>
    <row r="222" spans="1:21">
      <c r="A222" s="6" t="s">
        <v>1024</v>
      </c>
      <c r="B222" t="str" cm="1">
        <f t="array" ref="B222">_xlfn.TEXTSPLIT(A222, ",")</f>
        <v>sister</v>
      </c>
      <c r="O222" t="str">
        <v>schapelle corby</v>
      </c>
      <c r="P222" t="str">
        <f t="shared" si="3"/>
        <v>schapelle corby</v>
      </c>
      <c r="U222" t="s">
        <v>1135</v>
      </c>
    </row>
    <row r="223" spans="1:21">
      <c r="A223" s="6" t="s">
        <v>1029</v>
      </c>
      <c r="B223" t="str" cm="1">
        <f t="array" ref="B223">_xlfn.TEXTSPLIT(A223, ",")</f>
        <v>brother</v>
      </c>
      <c r="O223" t="str">
        <v xml:space="preserve"> media circus</v>
      </c>
      <c r="P223" t="str">
        <f t="shared" si="3"/>
        <v>media circus</v>
      </c>
      <c r="U223" t="s">
        <v>1135</v>
      </c>
    </row>
    <row r="224" spans="1:21">
      <c r="A224" s="6" t="s">
        <v>1191</v>
      </c>
      <c r="B224" t="str" cm="1">
        <f t="array" ref="B224:D224">_xlfn.TEXTSPLIT(A224, ",")</f>
        <v>australian</v>
      </c>
      <c r="C224" t="str">
        <v xml:space="preserve"> australia</v>
      </c>
      <c r="D224" t="str">
        <v xml:space="preserve"> af</v>
      </c>
      <c r="O224" t="str">
        <v xml:space="preserve"> corby</v>
      </c>
      <c r="P224" t="str">
        <f t="shared" si="3"/>
        <v>corby</v>
      </c>
      <c r="U224" t="s">
        <v>1135</v>
      </c>
    </row>
    <row r="225" spans="1:21">
      <c r="A225" s="6" t="s">
        <v>1192</v>
      </c>
      <c r="B225" t="str" cm="1">
        <f t="array" ref="B225:E225">_xlfn.TEXTSPLIT(A225, ",")</f>
        <v>schapelle corby</v>
      </c>
      <c r="C225" t="str">
        <v xml:space="preserve"> sister</v>
      </c>
      <c r="D225" t="str">
        <v xml:space="preserve"> corby</v>
      </c>
      <c r="E225" t="str">
        <v xml:space="preserve"> brother</v>
      </c>
      <c r="O225" t="str">
        <v>schapelle corby</v>
      </c>
      <c r="P225" t="str">
        <f t="shared" si="3"/>
        <v>schapelle corby</v>
      </c>
      <c r="U225" t="s">
        <v>1135</v>
      </c>
    </row>
    <row r="226" spans="1:21">
      <c r="A226" s="6" t="s">
        <v>1090</v>
      </c>
      <c r="B226" t="str" cm="1">
        <f t="array" ref="B226:D226">_xlfn.TEXTSPLIT(A226, ",")</f>
        <v>whole family</v>
      </c>
      <c r="C226" t="str">
        <v xml:space="preserve"> trashy</v>
      </c>
      <c r="D226" t="str">
        <v xml:space="preserve"> guilty</v>
      </c>
      <c r="O226" t="str">
        <v xml:space="preserve"> australia</v>
      </c>
      <c r="P226" t="str">
        <f t="shared" si="3"/>
        <v>australia</v>
      </c>
      <c r="U226" t="s">
        <v>1135</v>
      </c>
    </row>
    <row r="227" spans="1:21" ht="29.25">
      <c r="A227" s="6" t="s">
        <v>1193</v>
      </c>
      <c r="B227" t="str" cm="1">
        <f t="array" ref="B227:G227">_xlfn.TEXTSPLIT(A227, ",")</f>
        <v>australia</v>
      </c>
      <c r="C227" t="str">
        <v xml:space="preserve"> marijuana </v>
      </c>
      <c r="D227" t="str">
        <v xml:space="preserve"> brother</v>
      </c>
      <c r="E227" t="str">
        <v xml:space="preserve"> disgusting</v>
      </c>
      <c r="F227" t="str">
        <v xml:space="preserve"> served</v>
      </c>
      <c r="G227" t="str">
        <v xml:space="preserve"> sentence </v>
      </c>
      <c r="O227" t="str">
        <v xml:space="preserve"> corby</v>
      </c>
      <c r="P227" t="str">
        <f t="shared" si="3"/>
        <v>corby</v>
      </c>
      <c r="U227">
        <v>2</v>
      </c>
    </row>
    <row r="228" spans="1:21">
      <c r="A228" s="6" t="s">
        <v>1194</v>
      </c>
      <c r="B228" t="str" cm="1">
        <f t="array" ref="B228:E228">_xlfn.TEXTSPLIT(A228, ",")</f>
        <v>af</v>
      </c>
      <c r="C228" t="str">
        <v xml:space="preserve"> disgusting</v>
      </c>
      <c r="D228" t="str">
        <v xml:space="preserve"> served</v>
      </c>
      <c r="E228" t="str">
        <v xml:space="preserve"> charged</v>
      </c>
      <c r="O228" t="str">
        <v>schapelle corby</v>
      </c>
      <c r="P228" t="str">
        <f t="shared" si="3"/>
        <v>schapelle corby</v>
      </c>
      <c r="U228">
        <v>3</v>
      </c>
    </row>
    <row r="229" spans="1:21">
      <c r="A229" s="6" t="s">
        <v>1146</v>
      </c>
      <c r="B229" t="str" cm="1">
        <f t="array" ref="B229:D229">_xlfn.TEXTSPLIT(A229, ",")</f>
        <v>Mercedes Corby</v>
      </c>
      <c r="C229" t="str">
        <v xml:space="preserve"> mercedes</v>
      </c>
      <c r="D229" t="str">
        <v xml:space="preserve"> corby</v>
      </c>
      <c r="O229" t="str">
        <v xml:space="preserve"> corby</v>
      </c>
      <c r="P229" t="str">
        <f t="shared" si="3"/>
        <v>corby</v>
      </c>
      <c r="U229" t="s">
        <v>1135</v>
      </c>
    </row>
    <row r="230" spans="1:21">
      <c r="A230" s="6" t="s">
        <v>1057</v>
      </c>
      <c r="B230" t="str" cm="1">
        <f t="array" ref="B230">_xlfn.TEXTSPLIT(A230, ",")</f>
        <v>guilty</v>
      </c>
      <c r="O230" t="str">
        <v>schapelle corby</v>
      </c>
      <c r="P230" t="str">
        <f t="shared" si="3"/>
        <v>schapelle corby</v>
      </c>
      <c r="U230">
        <v>1</v>
      </c>
    </row>
    <row r="231" spans="1:21">
      <c r="A231" s="6" t="s">
        <v>1020</v>
      </c>
      <c r="B231" t="str" cm="1">
        <f t="array" ref="B231">_xlfn.TEXTSPLIT(A231, ",")</f>
        <v>af</v>
      </c>
      <c r="O231" t="str">
        <v xml:space="preserve"> corby</v>
      </c>
      <c r="P231" t="str">
        <f t="shared" si="3"/>
        <v>corby</v>
      </c>
      <c r="U231" t="s">
        <v>1135</v>
      </c>
    </row>
    <row r="232" spans="1:21">
      <c r="A232" s="6" t="s">
        <v>1195</v>
      </c>
      <c r="B232" t="str" cm="1">
        <f t="array" ref="B232:C232">_xlfn.TEXTSPLIT(A232, ",")</f>
        <v>trafficker</v>
      </c>
      <c r="C232" t="str">
        <v xml:space="preserve"> af</v>
      </c>
      <c r="O232" t="str">
        <v>schapelle corby</v>
      </c>
      <c r="P232" t="str">
        <f t="shared" si="3"/>
        <v>schapelle corby</v>
      </c>
      <c r="U232" t="s">
        <v>1135</v>
      </c>
    </row>
    <row r="233" spans="1:21">
      <c r="A233" s="6" t="s">
        <v>1024</v>
      </c>
      <c r="B233" t="str" cm="1">
        <f t="array" ref="B233">_xlfn.TEXTSPLIT(A233, ",")</f>
        <v>sister</v>
      </c>
      <c r="O233" t="str">
        <v xml:space="preserve"> corby</v>
      </c>
      <c r="P233" t="str">
        <f t="shared" si="3"/>
        <v>corby</v>
      </c>
      <c r="U233" t="s">
        <v>1135</v>
      </c>
    </row>
    <row r="234" spans="1:21">
      <c r="A234" s="6" t="s">
        <v>1196</v>
      </c>
      <c r="B234" t="str" cm="1">
        <f t="array" ref="B234:C234">_xlfn.TEXTSPLIT(A234, ",")</f>
        <v>whole family</v>
      </c>
      <c r="C234" t="str">
        <v xml:space="preserve"> guilty</v>
      </c>
      <c r="O234" t="str">
        <v>schapelle corby</v>
      </c>
      <c r="P234" t="str">
        <f t="shared" si="3"/>
        <v>schapelle corby</v>
      </c>
      <c r="U234" t="s">
        <v>1135</v>
      </c>
    </row>
    <row r="235" spans="1:21">
      <c r="A235" s="6" t="s">
        <v>1197</v>
      </c>
      <c r="B235" t="str" cm="1">
        <f t="array" ref="B235:C235">_xlfn.TEXTSPLIT(A235, ",")</f>
        <v>weed</v>
      </c>
      <c r="C235" t="str">
        <v xml:space="preserve"> brother</v>
      </c>
      <c r="O235" t="str">
        <v xml:space="preserve"> australia</v>
      </c>
      <c r="P235" t="str">
        <f t="shared" si="3"/>
        <v>australia</v>
      </c>
      <c r="U235">
        <v>6</v>
      </c>
    </row>
    <row r="236" spans="1:21">
      <c r="A236" s="6" t="s">
        <v>1198</v>
      </c>
      <c r="B236" t="str" cm="1">
        <f t="array" ref="B236:C236">_xlfn.TEXTSPLIT(A236, ",")</f>
        <v>drug dealers</v>
      </c>
      <c r="C236" t="str">
        <v xml:space="preserve"> whole family</v>
      </c>
      <c r="O236" t="str">
        <v xml:space="preserve"> corby</v>
      </c>
      <c r="P236" t="str">
        <f t="shared" si="3"/>
        <v>corby</v>
      </c>
      <c r="U236">
        <v>1</v>
      </c>
    </row>
    <row r="237" spans="1:21">
      <c r="A237" s="6" t="s">
        <v>1199</v>
      </c>
      <c r="B237" t="str" cm="1">
        <f t="array" ref="B237:E237">_xlfn.TEXTSPLIT(A237, ",")</f>
        <v xml:space="preserve">marijuana </v>
      </c>
      <c r="C237" t="str">
        <v xml:space="preserve"> brother</v>
      </c>
      <c r="D237" t="str">
        <v xml:space="preserve"> father</v>
      </c>
      <c r="E237" t="str">
        <v xml:space="preserve"> feral</v>
      </c>
      <c r="O237" t="str">
        <v>schapelle corby</v>
      </c>
      <c r="P237" t="str">
        <f t="shared" si="3"/>
        <v>schapelle corby</v>
      </c>
      <c r="U237" t="s">
        <v>1135</v>
      </c>
    </row>
    <row r="238" spans="1:21">
      <c r="A238" s="6" t="s">
        <v>1200</v>
      </c>
      <c r="B238" t="str" cm="1">
        <f t="array" ref="B238:E238">_xlfn.TEXTSPLIT(A238, ",")</f>
        <v>drugs</v>
      </c>
      <c r="C238" t="str">
        <v xml:space="preserve"> sister</v>
      </c>
      <c r="D238" t="str">
        <v xml:space="preserve"> bogan</v>
      </c>
      <c r="E238" t="str">
        <v xml:space="preserve"> parole</v>
      </c>
      <c r="O238" t="str">
        <v xml:space="preserve"> conviction</v>
      </c>
      <c r="P238" t="str">
        <f t="shared" si="3"/>
        <v>conviction</v>
      </c>
      <c r="U238">
        <v>0</v>
      </c>
    </row>
    <row r="239" spans="1:21" ht="29.25">
      <c r="A239" s="6" t="s">
        <v>1201</v>
      </c>
      <c r="B239" t="str" cm="1">
        <f t="array" ref="B239:E239">_xlfn.TEXTSPLIT(A239, ",")</f>
        <v>convicted drug smuggler</v>
      </c>
      <c r="C239" t="str">
        <v xml:space="preserve"> drug smuggler</v>
      </c>
      <c r="D239" t="str">
        <v xml:space="preserve"> af</v>
      </c>
      <c r="E239" t="str">
        <v xml:space="preserve"> convicted</v>
      </c>
      <c r="O239" t="str">
        <v xml:space="preserve"> corby</v>
      </c>
      <c r="P239" t="str">
        <f t="shared" si="3"/>
        <v>corby</v>
      </c>
      <c r="U239">
        <v>0</v>
      </c>
    </row>
    <row r="240" spans="1:21">
      <c r="A240" s="6" t="s">
        <v>1031</v>
      </c>
      <c r="B240" t="str" cm="1">
        <f t="array" ref="B240">_xlfn.TEXTSPLIT(A240, ",")</f>
        <v>bogan</v>
      </c>
      <c r="O240" t="str">
        <v xml:space="preserve"> conviction</v>
      </c>
      <c r="P240" t="str">
        <f t="shared" si="3"/>
        <v>conviction</v>
      </c>
      <c r="U240">
        <v>0</v>
      </c>
    </row>
    <row r="241" spans="1:21">
      <c r="A241" s="6" t="s">
        <v>1202</v>
      </c>
      <c r="B241" t="str" cm="1">
        <f t="array" ref="B241:C241">_xlfn.TEXTSPLIT(A241, ",")</f>
        <v>corby</v>
      </c>
      <c r="C241" t="str">
        <v xml:space="preserve"> law </v>
      </c>
      <c r="O241" t="str">
        <v>schapelle corby</v>
      </c>
      <c r="P241" t="str">
        <f t="shared" si="3"/>
        <v>schapelle corby</v>
      </c>
      <c r="U241">
        <v>0</v>
      </c>
    </row>
    <row r="242" spans="1:21">
      <c r="A242" s="6" t="s">
        <v>1031</v>
      </c>
      <c r="B242" t="str" cm="1">
        <f t="array" ref="B242">_xlfn.TEXTSPLIT(A242, ",")</f>
        <v>bogan</v>
      </c>
      <c r="O242" t="str">
        <v xml:space="preserve"> corby</v>
      </c>
      <c r="P242" t="str">
        <f t="shared" si="3"/>
        <v>corby</v>
      </c>
      <c r="U242">
        <v>1</v>
      </c>
    </row>
    <row r="243" spans="1:21">
      <c r="A243" s="6" t="s">
        <v>1203</v>
      </c>
      <c r="B243" t="str" cm="1">
        <f t="array" ref="B243:C243">_xlfn.TEXTSPLIT(A243, ",")</f>
        <v>bogan</v>
      </c>
      <c r="C243" t="str">
        <v xml:space="preserve"> redneck</v>
      </c>
      <c r="O243" t="str">
        <v>schapelle corby</v>
      </c>
      <c r="P243" t="str">
        <f t="shared" si="3"/>
        <v>schapelle corby</v>
      </c>
      <c r="U243">
        <v>3</v>
      </c>
    </row>
    <row r="244" spans="1:21">
      <c r="A244" s="6" t="s">
        <v>1027</v>
      </c>
      <c r="B244" t="str" cm="1">
        <f t="array" ref="B244">_xlfn.TEXTSPLIT(A244, ",")</f>
        <v>mercedes</v>
      </c>
      <c r="O244" t="str">
        <v xml:space="preserve"> corby</v>
      </c>
      <c r="P244" t="str">
        <f t="shared" si="3"/>
        <v>corby</v>
      </c>
      <c r="U244">
        <v>4</v>
      </c>
    </row>
    <row r="245" spans="1:21">
      <c r="A245" s="6" t="s">
        <v>1146</v>
      </c>
      <c r="B245" t="str" cm="1">
        <f t="array" ref="B245:D245">_xlfn.TEXTSPLIT(A245, ",")</f>
        <v>Mercedes Corby</v>
      </c>
      <c r="C245" t="str">
        <v xml:space="preserve"> mercedes</v>
      </c>
      <c r="D245" t="str">
        <v xml:space="preserve"> corby</v>
      </c>
      <c r="O245" t="str">
        <v>Mercedes Corby</v>
      </c>
      <c r="P245" t="str">
        <f t="shared" si="3"/>
        <v>Mercedes Corby</v>
      </c>
      <c r="U245" t="s">
        <v>1135</v>
      </c>
    </row>
    <row r="246" spans="1:21">
      <c r="A246" s="6" t="s">
        <v>1204</v>
      </c>
      <c r="B246" t="str" cm="1">
        <f t="array" ref="B246:C246">_xlfn.TEXTSPLIT(A246, ",")</f>
        <v>af</v>
      </c>
      <c r="C246" t="str">
        <v xml:space="preserve"> Corrupt</v>
      </c>
      <c r="O246" t="str">
        <v xml:space="preserve"> mercedes</v>
      </c>
      <c r="P246" t="str">
        <f t="shared" si="3"/>
        <v>mercedes</v>
      </c>
      <c r="U246">
        <v>3</v>
      </c>
    </row>
    <row r="247" spans="1:21">
      <c r="A247" s="6" t="s">
        <v>1004</v>
      </c>
      <c r="B247" t="str" cm="1">
        <f t="array" ref="B247">_xlfn.TEXTSPLIT(A247, ",")</f>
        <v>set up</v>
      </c>
      <c r="O247" t="str">
        <v xml:space="preserve"> corby</v>
      </c>
      <c r="P247" t="str">
        <f t="shared" si="3"/>
        <v>corby</v>
      </c>
      <c r="U247">
        <v>1</v>
      </c>
    </row>
    <row r="248" spans="1:21">
      <c r="A248" s="6" t="s">
        <v>1205</v>
      </c>
      <c r="B248" t="str" cm="1">
        <f t="array" ref="B248:E248">_xlfn.TEXTSPLIT(A248, ",")</f>
        <v>smuggling</v>
      </c>
      <c r="C248" t="str">
        <v xml:space="preserve"> weed</v>
      </c>
      <c r="D248" t="str">
        <v xml:space="preserve"> moron</v>
      </c>
      <c r="E248" t="str">
        <v xml:space="preserve"> served</v>
      </c>
      <c r="O248" t="str">
        <v>schapelle corby</v>
      </c>
      <c r="P248" t="str">
        <f t="shared" si="3"/>
        <v>schapelle corby</v>
      </c>
      <c r="U248">
        <v>2</v>
      </c>
    </row>
    <row r="249" spans="1:21">
      <c r="A249" s="6" t="s">
        <v>1206</v>
      </c>
      <c r="B249" t="str" cm="1">
        <f t="array" ref="B249:D249">_xlfn.TEXTSPLIT(A249, ",")</f>
        <v>smuggling</v>
      </c>
      <c r="C249" t="str">
        <v xml:space="preserve"> drugs</v>
      </c>
      <c r="D249" t="str">
        <v xml:space="preserve"> stupid</v>
      </c>
      <c r="O249" t="str">
        <v xml:space="preserve"> corby</v>
      </c>
      <c r="P249" t="str">
        <f t="shared" si="3"/>
        <v>corby</v>
      </c>
      <c r="U249" t="s">
        <v>1135</v>
      </c>
    </row>
    <row r="250" spans="1:21">
      <c r="A250" s="6" t="s">
        <v>1008</v>
      </c>
      <c r="B250" t="str" cm="1">
        <f t="array" ref="B250">_xlfn.TEXTSPLIT(A250, ",")</f>
        <v>dumb</v>
      </c>
      <c r="O250" t="str">
        <v>schapelle corby</v>
      </c>
      <c r="P250" t="str">
        <f t="shared" si="3"/>
        <v>schapelle corby</v>
      </c>
      <c r="U250" t="s">
        <v>1135</v>
      </c>
    </row>
    <row r="251" spans="1:21">
      <c r="A251" s="6" t="s">
        <v>984</v>
      </c>
      <c r="B251" t="str" cm="1">
        <f t="array" ref="B251">_xlfn.TEXTSPLIT(A251, ",")</f>
        <v>drugs</v>
      </c>
      <c r="O251" t="str">
        <v xml:space="preserve"> corby</v>
      </c>
      <c r="P251" t="str">
        <f t="shared" si="3"/>
        <v>corby</v>
      </c>
      <c r="U251">
        <v>2</v>
      </c>
    </row>
    <row r="252" spans="1:21">
      <c r="A252" s="6" t="s">
        <v>989</v>
      </c>
      <c r="B252" t="str" cm="1">
        <f t="array" ref="B252">_xlfn.TEXTSPLIT(A252, ",")</f>
        <v>criminal</v>
      </c>
      <c r="O252" t="str">
        <v>schapelle corby</v>
      </c>
      <c r="P252" t="str">
        <f t="shared" si="3"/>
        <v>schapelle corby</v>
      </c>
      <c r="U252">
        <v>2</v>
      </c>
    </row>
    <row r="253" spans="1:21">
      <c r="A253" s="6" t="s">
        <v>1001</v>
      </c>
      <c r="B253" t="str" cm="1">
        <f t="array" ref="B253">_xlfn.TEXTSPLIT(A253, ",")</f>
        <v>proof</v>
      </c>
      <c r="O253" t="str">
        <v xml:space="preserve"> corby</v>
      </c>
      <c r="P253" t="str">
        <f t="shared" si="3"/>
        <v>corby</v>
      </c>
      <c r="U253">
        <v>1</v>
      </c>
    </row>
    <row r="254" spans="1:21">
      <c r="A254" s="6" t="s">
        <v>1207</v>
      </c>
      <c r="B254" t="str" cm="1">
        <f t="array" ref="B254:D254">_xlfn.TEXTSPLIT(A254, ",")</f>
        <v>trafficker</v>
      </c>
      <c r="C254" t="str">
        <v xml:space="preserve"> af</v>
      </c>
      <c r="D254" t="str">
        <v xml:space="preserve"> AFP</v>
      </c>
      <c r="O254" t="str">
        <v>schapelle corby</v>
      </c>
      <c r="P254" t="str">
        <f t="shared" si="3"/>
        <v>schapelle corby</v>
      </c>
      <c r="U254" t="s">
        <v>1135</v>
      </c>
    </row>
    <row r="255" spans="1:21">
      <c r="A255" s="6" t="s">
        <v>1208</v>
      </c>
      <c r="B255" t="str" cm="1">
        <f t="array" ref="B255:D255">_xlfn.TEXTSPLIT(A255, ",")</f>
        <v>af</v>
      </c>
      <c r="C255" t="str">
        <v xml:space="preserve"> AFP</v>
      </c>
      <c r="D255" t="str">
        <v xml:space="preserve"> arrested</v>
      </c>
      <c r="O255" t="str">
        <v xml:space="preserve"> indonesia </v>
      </c>
      <c r="P255" t="str">
        <f t="shared" si="3"/>
        <v>indonesia</v>
      </c>
      <c r="U255" t="s">
        <v>1135</v>
      </c>
    </row>
    <row r="256" spans="1:21">
      <c r="A256" s="6" t="s">
        <v>1209</v>
      </c>
      <c r="B256" t="str" cm="1">
        <f t="array" ref="B256:F256">_xlfn.TEXTSPLIT(A256, ",")</f>
        <v>australian</v>
      </c>
      <c r="C256" t="str">
        <v xml:space="preserve"> australia</v>
      </c>
      <c r="D256" t="str">
        <v xml:space="preserve"> af</v>
      </c>
      <c r="E256" t="str">
        <v xml:space="preserve"> AFP</v>
      </c>
      <c r="F256" t="str">
        <v xml:space="preserve"> law </v>
      </c>
      <c r="O256" t="str">
        <v xml:space="preserve"> australia</v>
      </c>
      <c r="P256" t="str">
        <f t="shared" si="3"/>
        <v>australia</v>
      </c>
      <c r="U256" t="s">
        <v>1135</v>
      </c>
    </row>
    <row r="257" spans="1:21">
      <c r="A257" s="6" t="s">
        <v>1210</v>
      </c>
      <c r="B257" t="str" cm="1">
        <f t="array" ref="B257:F257">_xlfn.TEXTSPLIT(A257, ",")</f>
        <v>australian</v>
      </c>
      <c r="C257" t="str">
        <v xml:space="preserve"> australia</v>
      </c>
      <c r="D257" t="str">
        <v xml:space="preserve"> criminal</v>
      </c>
      <c r="E257" t="str">
        <v xml:space="preserve"> law </v>
      </c>
      <c r="F257" t="str">
        <v xml:space="preserve"> import</v>
      </c>
      <c r="O257" t="str">
        <v xml:space="preserve"> drug trafficking</v>
      </c>
      <c r="P257" t="str">
        <f t="shared" si="3"/>
        <v>drug trafficking</v>
      </c>
      <c r="U257">
        <v>1</v>
      </c>
    </row>
    <row r="258" spans="1:21">
      <c r="A258" s="6" t="s">
        <v>1006</v>
      </c>
      <c r="B258" t="str" cm="1">
        <f t="array" ref="B258">_xlfn.TEXTSPLIT(A258, ",")</f>
        <v>idiot</v>
      </c>
      <c r="O258" t="str">
        <v xml:space="preserve"> af</v>
      </c>
      <c r="P258" t="str">
        <f t="shared" si="3"/>
        <v>af</v>
      </c>
      <c r="U258" t="s">
        <v>1135</v>
      </c>
    </row>
    <row r="259" spans="1:21">
      <c r="A259" s="6" t="s">
        <v>1211</v>
      </c>
      <c r="B259" t="str" cm="1">
        <f t="array" ref="B259:C259">_xlfn.TEXTSPLIT(A259, ",")</f>
        <v>idiot</v>
      </c>
      <c r="C259" t="str">
        <v xml:space="preserve"> idiots</v>
      </c>
      <c r="O259" t="str">
        <v xml:space="preserve"> corby</v>
      </c>
      <c r="P259" t="str">
        <f t="shared" ref="P259:P322" si="4">TRIM(O259)</f>
        <v>corby</v>
      </c>
      <c r="U259" t="s">
        <v>1135</v>
      </c>
    </row>
    <row r="260" spans="1:21">
      <c r="A260" s="6" t="s">
        <v>1212</v>
      </c>
      <c r="B260" t="str" cm="1">
        <f t="array" ref="B260:C260">_xlfn.TEXTSPLIT(A260, ",")</f>
        <v>af</v>
      </c>
      <c r="C260" t="str">
        <v xml:space="preserve"> AFP</v>
      </c>
      <c r="O260" t="str">
        <v>schapelle corby</v>
      </c>
      <c r="P260" t="str">
        <f t="shared" si="4"/>
        <v>schapelle corby</v>
      </c>
      <c r="U260">
        <v>1</v>
      </c>
    </row>
    <row r="261" spans="1:21">
      <c r="A261" s="6" t="s">
        <v>1212</v>
      </c>
      <c r="B261" t="str" cm="1">
        <f t="array" ref="B261:C261">_xlfn.TEXTSPLIT(A261, ",")</f>
        <v>af</v>
      </c>
      <c r="C261" t="str">
        <v xml:space="preserve"> AFP</v>
      </c>
      <c r="O261" t="str">
        <v xml:space="preserve"> corby</v>
      </c>
      <c r="P261" t="str">
        <f t="shared" si="4"/>
        <v>corby</v>
      </c>
      <c r="U261" t="s">
        <v>1135</v>
      </c>
    </row>
    <row r="262" spans="1:21">
      <c r="A262" s="6" t="s">
        <v>1020</v>
      </c>
      <c r="B262" t="str" cm="1">
        <f t="array" ref="B262">_xlfn.TEXTSPLIT(A262, ",")</f>
        <v>af</v>
      </c>
      <c r="O262" t="str">
        <v xml:space="preserve"> brother</v>
      </c>
      <c r="P262" t="str">
        <f t="shared" si="4"/>
        <v>brother</v>
      </c>
      <c r="U262" t="s">
        <v>1135</v>
      </c>
    </row>
    <row r="263" spans="1:21">
      <c r="A263" s="6" t="s">
        <v>1213</v>
      </c>
      <c r="B263" t="str" cm="1">
        <f t="array" ref="B263:D263">_xlfn.TEXTSPLIT(A263, ",")</f>
        <v>australia</v>
      </c>
      <c r="C263" t="str">
        <v xml:space="preserve"> drugs</v>
      </c>
      <c r="D263" t="str">
        <v xml:space="preserve"> corby</v>
      </c>
      <c r="O263" t="str">
        <v>schapelle corby</v>
      </c>
      <c r="P263" t="str">
        <f t="shared" si="4"/>
        <v>schapelle corby</v>
      </c>
      <c r="U263">
        <v>2</v>
      </c>
    </row>
    <row r="264" spans="1:21">
      <c r="A264" s="6" t="s">
        <v>1214</v>
      </c>
      <c r="B264" t="str" cm="1">
        <f t="array" ref="B264:C264">_xlfn.TEXTSPLIT(A264, ",")</f>
        <v>media circus</v>
      </c>
      <c r="C264" t="str">
        <v xml:space="preserve"> australia</v>
      </c>
      <c r="O264" t="str">
        <v xml:space="preserve"> indonesia </v>
      </c>
      <c r="P264" t="str">
        <f t="shared" si="4"/>
        <v>indonesia</v>
      </c>
      <c r="U264" t="s">
        <v>1135</v>
      </c>
    </row>
    <row r="265" spans="1:21">
      <c r="A265" s="6" t="s">
        <v>1091</v>
      </c>
      <c r="B265" t="str" cm="1">
        <f t="array" ref="B265:F265">_xlfn.TEXTSPLIT(A265, ",")</f>
        <v>boogie board</v>
      </c>
      <c r="C265" t="str">
        <v xml:space="preserve"> drugs</v>
      </c>
      <c r="D265" t="str">
        <v xml:space="preserve"> bribed</v>
      </c>
      <c r="E265" t="str">
        <v xml:space="preserve"> bribe </v>
      </c>
      <c r="F265" t="str">
        <v xml:space="preserve"> corby</v>
      </c>
      <c r="O265" t="str">
        <v xml:space="preserve"> af</v>
      </c>
      <c r="P265" t="str">
        <f t="shared" si="4"/>
        <v>af</v>
      </c>
      <c r="U265" t="s">
        <v>1135</v>
      </c>
    </row>
    <row r="266" spans="1:21">
      <c r="A266" s="6" t="s">
        <v>1002</v>
      </c>
      <c r="B266" t="str" cm="1">
        <f t="array" ref="B266">_xlfn.TEXTSPLIT(A266, ",")</f>
        <v xml:space="preserve">bribe </v>
      </c>
      <c r="O266" t="str">
        <v xml:space="preserve"> corby</v>
      </c>
      <c r="P266" t="str">
        <f t="shared" si="4"/>
        <v>corby</v>
      </c>
      <c r="U266">
        <v>2</v>
      </c>
    </row>
    <row r="267" spans="1:21">
      <c r="A267" s="6" t="s">
        <v>1057</v>
      </c>
      <c r="B267" t="str" cm="1">
        <f t="array" ref="B267">_xlfn.TEXTSPLIT(A267, ",")</f>
        <v>guilty</v>
      </c>
      <c r="O267" t="str">
        <v xml:space="preserve"> parole</v>
      </c>
      <c r="P267" t="str">
        <f t="shared" si="4"/>
        <v>parole</v>
      </c>
      <c r="U267" t="s">
        <v>1135</v>
      </c>
    </row>
    <row r="268" spans="1:21">
      <c r="A268" s="6" t="s">
        <v>995</v>
      </c>
      <c r="B268" t="str" cm="1">
        <f t="array" ref="B268">_xlfn.TEXTSPLIT(A268, ",")</f>
        <v>weed</v>
      </c>
      <c r="O268" t="str">
        <v>schapelle corby</v>
      </c>
      <c r="P268" t="str">
        <f t="shared" si="4"/>
        <v>schapelle corby</v>
      </c>
      <c r="U268">
        <v>2</v>
      </c>
    </row>
    <row r="269" spans="1:21">
      <c r="A269" s="6" t="s">
        <v>1092</v>
      </c>
      <c r="B269" t="str" cm="1">
        <f t="array" ref="B269:D269">_xlfn.TEXTSPLIT(A269, ",")</f>
        <v>drugs</v>
      </c>
      <c r="C269" t="str">
        <v xml:space="preserve"> stupid</v>
      </c>
      <c r="D269" t="str">
        <v xml:space="preserve"> import</v>
      </c>
      <c r="O269" t="str">
        <v xml:space="preserve"> corby</v>
      </c>
      <c r="P269" t="str">
        <f t="shared" si="4"/>
        <v>corby</v>
      </c>
      <c r="U269">
        <v>2</v>
      </c>
    </row>
    <row r="270" spans="1:21">
      <c r="A270" s="6" t="s">
        <v>1006</v>
      </c>
      <c r="B270" t="str" cm="1">
        <f t="array" ref="B270">_xlfn.TEXTSPLIT(A270, ",")</f>
        <v>idiot</v>
      </c>
      <c r="O270" t="str">
        <v>schapelle corby</v>
      </c>
      <c r="P270" t="str">
        <f t="shared" si="4"/>
        <v>schapelle corby</v>
      </c>
      <c r="U270">
        <v>8</v>
      </c>
    </row>
    <row r="271" spans="1:21">
      <c r="A271" s="6" t="s">
        <v>1211</v>
      </c>
      <c r="B271" t="str" cm="1">
        <f t="array" ref="B271:C271">_xlfn.TEXTSPLIT(A271, ",")</f>
        <v>idiot</v>
      </c>
      <c r="C271" t="str">
        <v xml:space="preserve"> idiots</v>
      </c>
      <c r="O271" t="str">
        <v xml:space="preserve"> corby</v>
      </c>
      <c r="P271" t="str">
        <f t="shared" si="4"/>
        <v>corby</v>
      </c>
      <c r="U271">
        <v>12</v>
      </c>
    </row>
    <row r="272" spans="1:21">
      <c r="A272" s="6" t="s">
        <v>984</v>
      </c>
      <c r="B272" t="str" cm="1">
        <f t="array" ref="B272">_xlfn.TEXTSPLIT(A272, ",")</f>
        <v>drugs</v>
      </c>
      <c r="O272" t="str">
        <v>schapelle corby</v>
      </c>
      <c r="P272" t="str">
        <f t="shared" si="4"/>
        <v>schapelle corby</v>
      </c>
      <c r="U272">
        <v>1</v>
      </c>
    </row>
    <row r="273" spans="1:21">
      <c r="A273" s="6" t="s">
        <v>1215</v>
      </c>
      <c r="B273" t="str" cm="1">
        <f t="array" ref="B273:C273">_xlfn.TEXTSPLIT(A273, ",")</f>
        <v>dumb</v>
      </c>
      <c r="C273" t="str">
        <v xml:space="preserve"> brother</v>
      </c>
      <c r="O273" t="str">
        <v xml:space="preserve"> af</v>
      </c>
      <c r="P273" t="str">
        <f t="shared" si="4"/>
        <v>af</v>
      </c>
      <c r="U273" t="s">
        <v>1135</v>
      </c>
    </row>
    <row r="274" spans="1:21">
      <c r="A274" s="6" t="s">
        <v>1009</v>
      </c>
      <c r="B274" t="str" cm="1">
        <f t="array" ref="B274">_xlfn.TEXTSPLIT(A274, ",")</f>
        <v>stupid</v>
      </c>
      <c r="O274" t="str">
        <v xml:space="preserve"> corby</v>
      </c>
      <c r="P274" t="str">
        <f t="shared" si="4"/>
        <v>corby</v>
      </c>
      <c r="U274">
        <v>1</v>
      </c>
    </row>
    <row r="275" spans="1:21">
      <c r="A275" s="6" t="s">
        <v>1216</v>
      </c>
      <c r="B275" t="str" cm="1">
        <f t="array" ref="B275:D275">_xlfn.TEXTSPLIT(A275, ",")</f>
        <v>australia</v>
      </c>
      <c r="C275" t="str">
        <v xml:space="preserve"> corby</v>
      </c>
      <c r="D275" t="str">
        <v xml:space="preserve"> bogan</v>
      </c>
      <c r="O275" t="str">
        <v>schapelle corby</v>
      </c>
      <c r="P275" t="str">
        <f t="shared" si="4"/>
        <v>schapelle corby</v>
      </c>
      <c r="U275" t="s">
        <v>1135</v>
      </c>
    </row>
    <row r="276" spans="1:21">
      <c r="A276" s="6" t="s">
        <v>1093</v>
      </c>
      <c r="B276" t="str" cm="1">
        <f t="array" ref="B276:F276">_xlfn.TEXTSPLIT(A276, ",")</f>
        <v>af</v>
      </c>
      <c r="C276" t="str">
        <v xml:space="preserve"> bogan</v>
      </c>
      <c r="D276" t="str">
        <v xml:space="preserve"> redneck</v>
      </c>
      <c r="E276" t="str">
        <v xml:space="preserve"> white trash</v>
      </c>
      <c r="F276" t="str">
        <v xml:space="preserve"> trash </v>
      </c>
      <c r="O276" t="str">
        <v xml:space="preserve"> corby</v>
      </c>
      <c r="P276" t="str">
        <f t="shared" si="4"/>
        <v>corby</v>
      </c>
      <c r="U276" t="s">
        <v>1135</v>
      </c>
    </row>
    <row r="277" spans="1:21">
      <c r="A277" s="6" t="s">
        <v>1020</v>
      </c>
      <c r="B277" t="str" cm="1">
        <f t="array" ref="B277">_xlfn.TEXTSPLIT(A277, ",")</f>
        <v>af</v>
      </c>
      <c r="O277" t="str">
        <v>schapelle corby</v>
      </c>
      <c r="P277" t="str">
        <f t="shared" si="4"/>
        <v>schapelle corby</v>
      </c>
      <c r="U277" t="s">
        <v>1135</v>
      </c>
    </row>
    <row r="278" spans="1:21">
      <c r="A278" s="6" t="s">
        <v>1020</v>
      </c>
      <c r="B278" t="str" cm="1">
        <f t="array" ref="B278">_xlfn.TEXTSPLIT(A278, ",")</f>
        <v>af</v>
      </c>
      <c r="O278" t="str">
        <v xml:space="preserve"> corby</v>
      </c>
      <c r="P278" t="str">
        <f t="shared" si="4"/>
        <v>corby</v>
      </c>
      <c r="U278" t="s">
        <v>1135</v>
      </c>
    </row>
    <row r="279" spans="1:21">
      <c r="A279" s="6" t="s">
        <v>1217</v>
      </c>
      <c r="B279" t="str" cm="1">
        <f t="array" ref="B279:D279">_xlfn.TEXTSPLIT(A279, ",")</f>
        <v>australian</v>
      </c>
      <c r="C279" t="str">
        <v xml:space="preserve"> australia</v>
      </c>
      <c r="D279" t="str">
        <v xml:space="preserve"> bogan</v>
      </c>
      <c r="O279" t="str">
        <v>schapelle corby</v>
      </c>
      <c r="P279" t="str">
        <f t="shared" si="4"/>
        <v>schapelle corby</v>
      </c>
      <c r="U279" t="s">
        <v>1135</v>
      </c>
    </row>
    <row r="280" spans="1:21">
      <c r="A280" s="6" t="s">
        <v>1191</v>
      </c>
      <c r="B280" t="str" cm="1">
        <f t="array" ref="B280:D280">_xlfn.TEXTSPLIT(A280, ",")</f>
        <v>australian</v>
      </c>
      <c r="C280" t="str">
        <v xml:space="preserve"> australia</v>
      </c>
      <c r="D280" t="str">
        <v xml:space="preserve"> af</v>
      </c>
      <c r="O280" t="str">
        <v xml:space="preserve"> corby</v>
      </c>
      <c r="P280" t="str">
        <f t="shared" si="4"/>
        <v>corby</v>
      </c>
      <c r="U280" t="s">
        <v>1135</v>
      </c>
    </row>
    <row r="281" spans="1:21">
      <c r="A281" s="6" t="s">
        <v>1020</v>
      </c>
      <c r="B281" t="str" cm="1">
        <f t="array" ref="B281">_xlfn.TEXTSPLIT(A281, ",")</f>
        <v>af</v>
      </c>
      <c r="O281" t="str">
        <v>schapelle corby</v>
      </c>
      <c r="P281" t="str">
        <f t="shared" si="4"/>
        <v>schapelle corby</v>
      </c>
      <c r="U281" t="s">
        <v>1135</v>
      </c>
    </row>
    <row r="282" spans="1:21">
      <c r="A282" s="6" t="s">
        <v>983</v>
      </c>
      <c r="B282" t="str" cm="1">
        <f t="array" ref="B282">_xlfn.TEXTSPLIT(A282, ",")</f>
        <v>australia</v>
      </c>
      <c r="O282" t="str">
        <v xml:space="preserve"> corby</v>
      </c>
      <c r="P282" t="str">
        <f t="shared" si="4"/>
        <v>corby</v>
      </c>
      <c r="U282">
        <v>1</v>
      </c>
    </row>
    <row r="283" spans="1:21">
      <c r="A283" s="6" t="s">
        <v>983</v>
      </c>
      <c r="B283" t="str" cm="1">
        <f t="array" ref="B283">_xlfn.TEXTSPLIT(A283, ",")</f>
        <v>australia</v>
      </c>
      <c r="O283" t="str">
        <v>schapelle corby</v>
      </c>
      <c r="P283" t="str">
        <f t="shared" si="4"/>
        <v>schapelle corby</v>
      </c>
      <c r="U283">
        <v>1</v>
      </c>
    </row>
    <row r="284" spans="1:21">
      <c r="A284" s="6" t="s">
        <v>1031</v>
      </c>
      <c r="B284" t="str" cm="1">
        <f t="array" ref="B284">_xlfn.TEXTSPLIT(A284, ",")</f>
        <v>bogan</v>
      </c>
      <c r="O284" t="str">
        <v xml:space="preserve"> corby</v>
      </c>
      <c r="P284" t="str">
        <f t="shared" si="4"/>
        <v>corby</v>
      </c>
      <c r="U284">
        <v>1</v>
      </c>
    </row>
    <row r="285" spans="1:21">
      <c r="A285" s="6" t="s">
        <v>1218</v>
      </c>
      <c r="B285" t="str" cm="1">
        <f t="array" ref="B285:D285">_xlfn.TEXTSPLIT(A285, ",")</f>
        <v>australia</v>
      </c>
      <c r="C285" t="str">
        <v xml:space="preserve"> bogan</v>
      </c>
      <c r="D285" t="str">
        <v xml:space="preserve"> bitch</v>
      </c>
      <c r="O285" t="str">
        <v>schapelle corby</v>
      </c>
      <c r="P285" t="str">
        <f t="shared" si="4"/>
        <v>schapelle corby</v>
      </c>
      <c r="U285" t="s">
        <v>1135</v>
      </c>
    </row>
    <row r="286" spans="1:21">
      <c r="A286" s="6" t="s">
        <v>1219</v>
      </c>
      <c r="B286" t="str" cm="1">
        <f t="array" ref="B286:C286">_xlfn.TEXTSPLIT(A286, ",")</f>
        <v>australia</v>
      </c>
      <c r="C286" t="str">
        <v xml:space="preserve"> af</v>
      </c>
      <c r="O286" t="str">
        <v xml:space="preserve"> corby</v>
      </c>
      <c r="P286" t="str">
        <f t="shared" si="4"/>
        <v>corby</v>
      </c>
      <c r="U286" t="s">
        <v>1135</v>
      </c>
    </row>
    <row r="287" spans="1:21" ht="29.25">
      <c r="A287" s="6" t="s">
        <v>1220</v>
      </c>
      <c r="B287" t="str" cm="1">
        <f t="array" ref="B287:I287">_xlfn.TEXTSPLIT(A287, ",")</f>
        <v>australian</v>
      </c>
      <c r="C287" t="str">
        <v xml:space="preserve"> smuggling</v>
      </c>
      <c r="D287" t="str">
        <v xml:space="preserve"> indonesia </v>
      </c>
      <c r="E287" t="str">
        <v xml:space="preserve"> australia</v>
      </c>
      <c r="F287" t="str">
        <v xml:space="preserve"> af</v>
      </c>
      <c r="G287" t="str">
        <v xml:space="preserve"> corby</v>
      </c>
      <c r="H287" t="str">
        <v xml:space="preserve"> parole</v>
      </c>
      <c r="I287" t="str">
        <v xml:space="preserve"> convicted</v>
      </c>
      <c r="O287" t="str">
        <v>schapelle corby</v>
      </c>
      <c r="P287" t="str">
        <f t="shared" si="4"/>
        <v>schapelle corby</v>
      </c>
      <c r="U287" t="s">
        <v>1135</v>
      </c>
    </row>
    <row r="288" spans="1:21">
      <c r="A288" s="6" t="s">
        <v>983</v>
      </c>
      <c r="B288" t="str" cm="1">
        <f t="array" ref="B288">_xlfn.TEXTSPLIT(A288, ",")</f>
        <v>australia</v>
      </c>
      <c r="O288" t="str">
        <v xml:space="preserve"> corby</v>
      </c>
      <c r="P288" t="str">
        <f t="shared" si="4"/>
        <v>corby</v>
      </c>
      <c r="U288" t="s">
        <v>1135</v>
      </c>
    </row>
    <row r="289" spans="1:21">
      <c r="A289" s="6" t="s">
        <v>1031</v>
      </c>
      <c r="B289" t="str" cm="1">
        <f t="array" ref="B289">_xlfn.TEXTSPLIT(A289, ",")</f>
        <v>bogan</v>
      </c>
      <c r="O289" t="str">
        <v>schapelle corby</v>
      </c>
      <c r="P289" t="str">
        <f t="shared" si="4"/>
        <v>schapelle corby</v>
      </c>
      <c r="U289">
        <v>1</v>
      </c>
    </row>
    <row r="290" spans="1:21">
      <c r="A290" s="6" t="s">
        <v>1221</v>
      </c>
      <c r="B290" t="str" cm="1">
        <f t="array" ref="B290:D290">_xlfn.TEXTSPLIT(A290, ",")</f>
        <v xml:space="preserve">indonesia </v>
      </c>
      <c r="C290" t="str">
        <v xml:space="preserve"> australia</v>
      </c>
      <c r="D290" t="str">
        <v xml:space="preserve"> corby</v>
      </c>
      <c r="O290" t="str">
        <v xml:space="preserve"> convicted drug smuggler</v>
      </c>
      <c r="P290" t="str">
        <f t="shared" si="4"/>
        <v>convicted drug smuggler</v>
      </c>
      <c r="U290">
        <v>3</v>
      </c>
    </row>
    <row r="291" spans="1:21">
      <c r="A291" s="6" t="s">
        <v>1222</v>
      </c>
      <c r="B291" t="str" cm="1">
        <f t="array" ref="B291:D291">_xlfn.TEXTSPLIT(A291, ",")</f>
        <v>weed</v>
      </c>
      <c r="C291" t="str">
        <v xml:space="preserve"> dumb</v>
      </c>
      <c r="D291" t="str">
        <v xml:space="preserve"> bitch</v>
      </c>
      <c r="O291" t="str">
        <v xml:space="preserve"> drug smuggler</v>
      </c>
      <c r="P291" t="str">
        <f t="shared" si="4"/>
        <v>drug smuggler</v>
      </c>
      <c r="U291" t="s">
        <v>1135</v>
      </c>
    </row>
    <row r="292" spans="1:21">
      <c r="A292" s="6" t="s">
        <v>1223</v>
      </c>
      <c r="B292" t="str" cm="1">
        <f t="array" ref="B292:C292">_xlfn.TEXTSPLIT(A292, ",")</f>
        <v>boogie board</v>
      </c>
      <c r="C292" t="str">
        <v xml:space="preserve"> weed</v>
      </c>
      <c r="O292" t="str">
        <v xml:space="preserve"> corby</v>
      </c>
      <c r="P292" t="str">
        <f t="shared" si="4"/>
        <v>corby</v>
      </c>
      <c r="U292">
        <v>4</v>
      </c>
    </row>
    <row r="293" spans="1:21">
      <c r="A293" s="6" t="s">
        <v>1094</v>
      </c>
      <c r="B293" t="str" cm="1">
        <f t="array" ref="B293:F293">_xlfn.TEXTSPLIT(A293, ",")</f>
        <v>drugs</v>
      </c>
      <c r="C293" t="str">
        <v xml:space="preserve"> af</v>
      </c>
      <c r="D293" t="str">
        <v xml:space="preserve"> sentenced</v>
      </c>
      <c r="E293" t="str">
        <v xml:space="preserve"> arrested</v>
      </c>
      <c r="F293" t="str">
        <v xml:space="preserve"> parole</v>
      </c>
      <c r="O293" t="str">
        <v xml:space="preserve"> convicted</v>
      </c>
      <c r="P293" t="str">
        <f t="shared" si="4"/>
        <v>convicted</v>
      </c>
      <c r="U293">
        <v>3</v>
      </c>
    </row>
    <row r="294" spans="1:21">
      <c r="A294" s="6" t="s">
        <v>1020</v>
      </c>
      <c r="B294" t="str" cm="1">
        <f t="array" ref="B294">_xlfn.TEXTSPLIT(A294, ",")</f>
        <v>af</v>
      </c>
      <c r="O294" t="str">
        <v>schapelle corby</v>
      </c>
      <c r="P294" t="str">
        <f t="shared" si="4"/>
        <v>schapelle corby</v>
      </c>
      <c r="U294">
        <v>6</v>
      </c>
    </row>
    <row r="295" spans="1:21">
      <c r="A295" s="6" t="s">
        <v>1013</v>
      </c>
      <c r="B295" t="str" cm="1">
        <f t="array" ref="B295">_xlfn.TEXTSPLIT(A295, ",")</f>
        <v>fucked</v>
      </c>
      <c r="O295" t="str">
        <v xml:space="preserve"> corby</v>
      </c>
      <c r="P295" t="str">
        <f t="shared" si="4"/>
        <v>corby</v>
      </c>
      <c r="U295">
        <v>4</v>
      </c>
    </row>
    <row r="296" spans="1:21">
      <c r="A296" s="6" t="s">
        <v>1095</v>
      </c>
      <c r="B296" t="str" cm="1">
        <f t="array" ref="B296:C296">_xlfn.TEXTSPLIT(A296, ",")</f>
        <v>af</v>
      </c>
      <c r="C296" t="str">
        <v xml:space="preserve"> parole</v>
      </c>
      <c r="O296" t="str">
        <v>schapelle corby</v>
      </c>
      <c r="P296" t="str">
        <f t="shared" si="4"/>
        <v>schapelle corby</v>
      </c>
      <c r="U296">
        <v>3</v>
      </c>
    </row>
    <row r="297" spans="1:21" ht="29.25">
      <c r="A297" s="6" t="s">
        <v>1096</v>
      </c>
      <c r="B297" t="str" cm="1">
        <f t="array" ref="B297:K297">_xlfn.TEXTSPLIT(A297, ",")</f>
        <v>australian</v>
      </c>
      <c r="C297" t="str">
        <v xml:space="preserve"> smuggling</v>
      </c>
      <c r="D297" t="str">
        <v xml:space="preserve"> australia</v>
      </c>
      <c r="E297" t="str">
        <v xml:space="preserve"> drugs</v>
      </c>
      <c r="F297" t="str">
        <v xml:space="preserve"> drug trafficking</v>
      </c>
      <c r="G297" t="str">
        <v xml:space="preserve"> idiot</v>
      </c>
      <c r="H297" t="str">
        <v xml:space="preserve"> stupid</v>
      </c>
      <c r="I297" t="str">
        <v xml:space="preserve"> af</v>
      </c>
      <c r="J297" t="str">
        <v xml:space="preserve"> innocent</v>
      </c>
      <c r="K297" t="str">
        <v xml:space="preserve"> parole</v>
      </c>
      <c r="O297" t="str">
        <v xml:space="preserve"> corby</v>
      </c>
      <c r="P297" t="str">
        <f t="shared" si="4"/>
        <v>corby</v>
      </c>
      <c r="U297">
        <v>1</v>
      </c>
    </row>
    <row r="298" spans="1:21">
      <c r="A298" s="6" t="s">
        <v>968</v>
      </c>
      <c r="B298" t="str" cm="1">
        <f t="array" ref="B298">_xlfn.TEXTSPLIT(A298, ",")</f>
        <v>boogie board</v>
      </c>
      <c r="O298" t="str">
        <v>schapelle corby</v>
      </c>
      <c r="P298" t="str">
        <f t="shared" si="4"/>
        <v>schapelle corby</v>
      </c>
      <c r="U298">
        <v>1</v>
      </c>
    </row>
    <row r="299" spans="1:21">
      <c r="A299" s="6" t="s">
        <v>1224</v>
      </c>
      <c r="B299" t="str" cm="1">
        <f t="array" ref="B299:C299">_xlfn.TEXTSPLIT(A299, ",")</f>
        <v>boogie board</v>
      </c>
      <c r="C299" t="str">
        <v xml:space="preserve"> marijuana </v>
      </c>
      <c r="O299" t="str">
        <v xml:space="preserve"> corby</v>
      </c>
      <c r="P299" t="str">
        <f t="shared" si="4"/>
        <v>corby</v>
      </c>
      <c r="U299" t="s">
        <v>1135</v>
      </c>
    </row>
    <row r="300" spans="1:21" ht="29.25">
      <c r="A300" s="6" t="s">
        <v>1225</v>
      </c>
      <c r="B300" t="str" cm="1">
        <f t="array" ref="B300:J300">_xlfn.TEXTSPLIT(A300, ",")</f>
        <v>boogie board</v>
      </c>
      <c r="C300" t="str">
        <v xml:space="preserve"> australian</v>
      </c>
      <c r="D300" t="str">
        <v xml:space="preserve"> smuggling</v>
      </c>
      <c r="E300" t="str">
        <v xml:space="preserve"> australia</v>
      </c>
      <c r="F300" t="str">
        <v xml:space="preserve"> drugs</v>
      </c>
      <c r="G300" t="str">
        <v xml:space="preserve"> af</v>
      </c>
      <c r="H300" t="str">
        <v xml:space="preserve"> sister</v>
      </c>
      <c r="I300" t="str">
        <v xml:space="preserve"> sisters</v>
      </c>
      <c r="J300" t="str">
        <v xml:space="preserve"> guilty</v>
      </c>
      <c r="O300" t="str">
        <v>schapelle corby</v>
      </c>
      <c r="P300" t="str">
        <f t="shared" si="4"/>
        <v>schapelle corby</v>
      </c>
      <c r="U300">
        <v>2</v>
      </c>
    </row>
    <row r="301" spans="1:21">
      <c r="A301" s="6" t="s">
        <v>1001</v>
      </c>
      <c r="B301" t="str" cm="1">
        <f t="array" ref="B301">_xlfn.TEXTSPLIT(A301, ",")</f>
        <v>proof</v>
      </c>
      <c r="O301" t="str">
        <v xml:space="preserve"> corby</v>
      </c>
      <c r="P301" t="str">
        <f t="shared" si="4"/>
        <v>corby</v>
      </c>
      <c r="U301">
        <v>1</v>
      </c>
    </row>
    <row r="302" spans="1:21">
      <c r="A302" s="6" t="s">
        <v>1057</v>
      </c>
      <c r="B302" t="str" cm="1">
        <f t="array" ref="B302">_xlfn.TEXTSPLIT(A302, ",")</f>
        <v>guilty</v>
      </c>
      <c r="O302" t="str">
        <v>schapelle corby</v>
      </c>
      <c r="P302" t="str">
        <f t="shared" si="4"/>
        <v>schapelle corby</v>
      </c>
      <c r="U302" t="s">
        <v>1135</v>
      </c>
    </row>
    <row r="303" spans="1:21">
      <c r="A303" s="6" t="s">
        <v>1001</v>
      </c>
      <c r="B303" t="str" cm="1">
        <f t="array" ref="B303">_xlfn.TEXTSPLIT(A303, ",")</f>
        <v>proof</v>
      </c>
      <c r="O303" t="str">
        <v xml:space="preserve"> australia</v>
      </c>
      <c r="P303" t="str">
        <f t="shared" si="4"/>
        <v>australia</v>
      </c>
      <c r="U303" t="s">
        <v>1135</v>
      </c>
    </row>
    <row r="304" spans="1:21">
      <c r="A304" s="6" t="s">
        <v>1057</v>
      </c>
      <c r="B304" t="str" cm="1">
        <f t="array" ref="B304">_xlfn.TEXTSPLIT(A304, ",")</f>
        <v>guilty</v>
      </c>
      <c r="O304" t="str">
        <v xml:space="preserve"> corby</v>
      </c>
      <c r="P304" t="str">
        <f t="shared" si="4"/>
        <v>corby</v>
      </c>
      <c r="U304">
        <v>2</v>
      </c>
    </row>
    <row r="305" spans="1:21">
      <c r="A305" s="6" t="s">
        <v>1226</v>
      </c>
      <c r="B305" t="str" cm="1">
        <f t="array" ref="B305:F305">_xlfn.TEXTSPLIT(A305, ",")</f>
        <v>possession</v>
      </c>
      <c r="C305" t="str">
        <v xml:space="preserve"> corby</v>
      </c>
      <c r="D305" t="str">
        <v xml:space="preserve"> guilty</v>
      </c>
      <c r="E305" t="str">
        <v xml:space="preserve"> arrested</v>
      </c>
      <c r="F305" t="str">
        <v xml:space="preserve"> law </v>
      </c>
      <c r="O305" t="str">
        <v>schapelle corby</v>
      </c>
      <c r="P305" t="str">
        <f t="shared" si="4"/>
        <v>schapelle corby</v>
      </c>
      <c r="U305" t="s">
        <v>1135</v>
      </c>
    </row>
    <row r="306" spans="1:21">
      <c r="A306" s="6" t="s">
        <v>1020</v>
      </c>
      <c r="B306" t="str" cm="1">
        <f t="array" ref="B306">_xlfn.TEXTSPLIT(A306, ",")</f>
        <v>af</v>
      </c>
      <c r="O306" t="str">
        <v xml:space="preserve"> australian</v>
      </c>
      <c r="P306" t="str">
        <f t="shared" si="4"/>
        <v>australian</v>
      </c>
      <c r="U306">
        <v>2</v>
      </c>
    </row>
    <row r="307" spans="1:21">
      <c r="A307" s="6" t="s">
        <v>1013</v>
      </c>
      <c r="B307" t="str" cm="1">
        <f t="array" ref="B307">_xlfn.TEXTSPLIT(A307, ",")</f>
        <v>fucked</v>
      </c>
      <c r="O307" t="str">
        <v xml:space="preserve"> australia</v>
      </c>
      <c r="P307" t="str">
        <f t="shared" si="4"/>
        <v>australia</v>
      </c>
      <c r="U307">
        <v>2</v>
      </c>
    </row>
    <row r="308" spans="1:21">
      <c r="A308" s="6" t="s">
        <v>1020</v>
      </c>
      <c r="B308" t="str" cm="1">
        <f t="array" ref="B308">_xlfn.TEXTSPLIT(A308, ",")</f>
        <v>af</v>
      </c>
      <c r="O308" t="str">
        <v xml:space="preserve"> jail</v>
      </c>
      <c r="P308" t="str">
        <f t="shared" si="4"/>
        <v>jail</v>
      </c>
      <c r="U308">
        <v>4</v>
      </c>
    </row>
    <row r="309" spans="1:21">
      <c r="A309" s="6" t="s">
        <v>1097</v>
      </c>
      <c r="B309" t="str" cm="1">
        <f t="array" ref="B309:F309">_xlfn.TEXTSPLIT(A309, ",")</f>
        <v>schapelle corby</v>
      </c>
      <c r="C309" t="str">
        <v xml:space="preserve"> af</v>
      </c>
      <c r="D309" t="str">
        <v xml:space="preserve"> corby</v>
      </c>
      <c r="E309" t="str">
        <v xml:space="preserve"> parole</v>
      </c>
      <c r="F309" t="str">
        <v xml:space="preserve"> convicted</v>
      </c>
      <c r="O309" t="str">
        <v xml:space="preserve"> corby</v>
      </c>
      <c r="P309" t="str">
        <f t="shared" si="4"/>
        <v>corby</v>
      </c>
      <c r="U309" t="s">
        <v>1135</v>
      </c>
    </row>
    <row r="310" spans="1:21" ht="43.5">
      <c r="A310" s="6" t="s">
        <v>1098</v>
      </c>
      <c r="B310" t="str" cm="1">
        <f t="array" ref="B310:L310">_xlfn.TEXTSPLIT(A310, ",")</f>
        <v>schapelle corby</v>
      </c>
      <c r="C310" t="str">
        <v xml:space="preserve"> boogie board</v>
      </c>
      <c r="D310" t="str">
        <v xml:space="preserve"> australian</v>
      </c>
      <c r="E310" t="str">
        <v xml:space="preserve"> indonesia </v>
      </c>
      <c r="F310" t="str">
        <v xml:space="preserve"> australia</v>
      </c>
      <c r="G310" t="str">
        <v xml:space="preserve"> trafficker</v>
      </c>
      <c r="H310" t="str">
        <v xml:space="preserve"> marijuana </v>
      </c>
      <c r="I310" t="str">
        <v xml:space="preserve"> jail</v>
      </c>
      <c r="J310" t="str">
        <v xml:space="preserve"> af</v>
      </c>
      <c r="K310" t="str">
        <v xml:space="preserve"> corby</v>
      </c>
      <c r="L310" t="str">
        <v xml:space="preserve"> sentenced</v>
      </c>
      <c r="O310" t="str">
        <v>schapelle corby</v>
      </c>
      <c r="P310" t="str">
        <f t="shared" si="4"/>
        <v>schapelle corby</v>
      </c>
      <c r="U310">
        <v>4</v>
      </c>
    </row>
    <row r="311" spans="1:21" ht="29.25">
      <c r="A311" s="6" t="s">
        <v>1099</v>
      </c>
      <c r="B311" t="str" cm="1">
        <f t="array" ref="B311:I311">_xlfn.TEXTSPLIT(A311, ",")</f>
        <v>schapelle corby</v>
      </c>
      <c r="C311" t="str">
        <v xml:space="preserve"> cannabis</v>
      </c>
      <c r="D311" t="str">
        <v xml:space="preserve"> smuggling</v>
      </c>
      <c r="E311" t="str">
        <v xml:space="preserve"> indonesia </v>
      </c>
      <c r="F311" t="str">
        <v xml:space="preserve"> cannabis</v>
      </c>
      <c r="G311" t="str">
        <v xml:space="preserve"> af</v>
      </c>
      <c r="H311" t="str">
        <v xml:space="preserve"> corby</v>
      </c>
      <c r="I311" t="str">
        <v xml:space="preserve"> convicted</v>
      </c>
      <c r="O311" t="str">
        <v xml:space="preserve"> corby</v>
      </c>
      <c r="P311" t="str">
        <f t="shared" si="4"/>
        <v>corby</v>
      </c>
      <c r="U311">
        <v>4</v>
      </c>
    </row>
    <row r="312" spans="1:21">
      <c r="A312" s="6" t="s">
        <v>1227</v>
      </c>
      <c r="B312" t="str" cm="1">
        <f t="array" ref="B312:E312">_xlfn.TEXTSPLIT(A312, ",")</f>
        <v>schapelle corby</v>
      </c>
      <c r="C312" t="str">
        <v xml:space="preserve"> scandal</v>
      </c>
      <c r="D312" t="str">
        <v xml:space="preserve"> sister</v>
      </c>
      <c r="E312" t="str">
        <v xml:space="preserve"> corby</v>
      </c>
      <c r="O312" t="str">
        <v>schapelle corby</v>
      </c>
      <c r="P312" t="str">
        <f t="shared" si="4"/>
        <v>schapelle corby</v>
      </c>
      <c r="U312">
        <v>1</v>
      </c>
    </row>
    <row r="313" spans="1:21" ht="29.25">
      <c r="A313" s="6" t="s">
        <v>1228</v>
      </c>
      <c r="B313" t="str" cm="1">
        <f t="array" ref="B313:I313">_xlfn.TEXTSPLIT(A313, ",")</f>
        <v>schapelle corby</v>
      </c>
      <c r="C313" t="str">
        <v xml:space="preserve"> indonesia </v>
      </c>
      <c r="D313" t="str">
        <v xml:space="preserve"> marijuana </v>
      </c>
      <c r="E313" t="str">
        <v xml:space="preserve"> af</v>
      </c>
      <c r="F313" t="str">
        <v xml:space="preserve"> corby</v>
      </c>
      <c r="G313" t="str">
        <v xml:space="preserve"> brother</v>
      </c>
      <c r="H313" t="str">
        <v xml:space="preserve"> AFP</v>
      </c>
      <c r="I313" t="str">
        <v xml:space="preserve"> arrested</v>
      </c>
      <c r="O313" t="str">
        <v xml:space="preserve"> corby</v>
      </c>
      <c r="P313" t="str">
        <f t="shared" si="4"/>
        <v>corby</v>
      </c>
      <c r="U313" t="s">
        <v>1135</v>
      </c>
    </row>
    <row r="314" spans="1:21" ht="29.25">
      <c r="A314" s="6" t="s">
        <v>1229</v>
      </c>
      <c r="B314" t="str" cm="1">
        <f t="array" ref="B314:H314">_xlfn.TEXTSPLIT(A314, ",")</f>
        <v>schapelle corby</v>
      </c>
      <c r="C314" t="str">
        <v xml:space="preserve"> boogie board</v>
      </c>
      <c r="D314" t="str">
        <v xml:space="preserve"> australia</v>
      </c>
      <c r="E314" t="str">
        <v xml:space="preserve"> marijuana </v>
      </c>
      <c r="F314" t="str">
        <v xml:space="preserve"> corby</v>
      </c>
      <c r="G314" t="str">
        <v xml:space="preserve"> guilty</v>
      </c>
      <c r="H314" t="str">
        <v xml:space="preserve"> import</v>
      </c>
      <c r="O314" t="str">
        <v>schapelle corby</v>
      </c>
      <c r="P314" t="str">
        <f t="shared" si="4"/>
        <v>schapelle corby</v>
      </c>
      <c r="U314" t="s">
        <v>1135</v>
      </c>
    </row>
    <row r="315" spans="1:21">
      <c r="A315" s="6" t="s">
        <v>1230</v>
      </c>
      <c r="B315" t="str" cm="1">
        <f t="array" ref="B315:E315">_xlfn.TEXTSPLIT(A315, ",")</f>
        <v>schapelle corby</v>
      </c>
      <c r="C315" t="str">
        <v xml:space="preserve"> af</v>
      </c>
      <c r="D315" t="str">
        <v xml:space="preserve"> corby</v>
      </c>
      <c r="E315" t="str">
        <v xml:space="preserve"> parole</v>
      </c>
      <c r="O315" t="str">
        <v xml:space="preserve"> corby</v>
      </c>
      <c r="P315" t="str">
        <f t="shared" si="4"/>
        <v>corby</v>
      </c>
      <c r="U315" t="s">
        <v>1135</v>
      </c>
    </row>
    <row r="316" spans="1:21" ht="57.75">
      <c r="A316" s="6" t="s">
        <v>1231</v>
      </c>
      <c r="B316" t="str" cm="1">
        <f t="array" ref="B316:N316">_xlfn.TEXTSPLIT(A316, ",")</f>
        <v>schapelle corby</v>
      </c>
      <c r="C316" t="str">
        <v xml:space="preserve"> australian</v>
      </c>
      <c r="D316" t="str">
        <v xml:space="preserve"> cannabis</v>
      </c>
      <c r="E316" t="str">
        <v xml:space="preserve"> smuggling</v>
      </c>
      <c r="F316" t="str">
        <v xml:space="preserve"> conviction</v>
      </c>
      <c r="G316" t="str">
        <v xml:space="preserve"> australia</v>
      </c>
      <c r="H316" t="str">
        <v xml:space="preserve"> criminal</v>
      </c>
      <c r="I316" t="str">
        <v xml:space="preserve"> marijuana </v>
      </c>
      <c r="J316" t="str">
        <v xml:space="preserve"> cannabis</v>
      </c>
      <c r="K316" t="str">
        <v xml:space="preserve"> corby</v>
      </c>
      <c r="L316" t="str">
        <v xml:space="preserve"> conviction</v>
      </c>
      <c r="M316" t="str">
        <v xml:space="preserve"> convicted</v>
      </c>
      <c r="N316" t="str">
        <v xml:space="preserve"> import</v>
      </c>
      <c r="O316" t="str">
        <v>schapelle corby</v>
      </c>
      <c r="P316" t="str">
        <f t="shared" si="4"/>
        <v>schapelle corby</v>
      </c>
      <c r="U316" t="s">
        <v>1135</v>
      </c>
    </row>
    <row r="317" spans="1:21" ht="29.25">
      <c r="A317" s="6" t="s">
        <v>1100</v>
      </c>
      <c r="B317" t="str" cm="1">
        <f t="array" ref="B317:H317">_xlfn.TEXTSPLIT(A317, ",")</f>
        <v>schapelle corby</v>
      </c>
      <c r="C317" t="str">
        <v xml:space="preserve"> boogie board</v>
      </c>
      <c r="D317" t="str">
        <v xml:space="preserve"> drugs</v>
      </c>
      <c r="E317" t="str">
        <v xml:space="preserve"> marijuana </v>
      </c>
      <c r="F317" t="str">
        <v xml:space="preserve"> af</v>
      </c>
      <c r="G317" t="str">
        <v xml:space="preserve"> corby</v>
      </c>
      <c r="H317" t="str">
        <v xml:space="preserve"> arrested</v>
      </c>
      <c r="O317" t="str">
        <v xml:space="preserve"> australia</v>
      </c>
      <c r="P317" t="str">
        <f t="shared" si="4"/>
        <v>australia</v>
      </c>
      <c r="U317" t="s">
        <v>1135</v>
      </c>
    </row>
    <row r="318" spans="1:21" ht="43.5">
      <c r="A318" s="6" t="s">
        <v>1101</v>
      </c>
      <c r="B318" t="str" cm="1">
        <f t="array" ref="B318:I318">_xlfn.TEXTSPLIT(A318, ",")</f>
        <v>schapelle corby</v>
      </c>
      <c r="C318" t="str">
        <v xml:space="preserve"> australian</v>
      </c>
      <c r="D318" t="str">
        <v xml:space="preserve"> australia</v>
      </c>
      <c r="E318" t="str">
        <v xml:space="preserve"> criminal</v>
      </c>
      <c r="F318" t="str">
        <v xml:space="preserve"> marijuana </v>
      </c>
      <c r="G318" t="str">
        <v xml:space="preserve"> corby</v>
      </c>
      <c r="H318" t="str">
        <v xml:space="preserve"> sentenced</v>
      </c>
      <c r="I318" t="str">
        <v xml:space="preserve"> convicted</v>
      </c>
      <c r="O318" t="str">
        <v xml:space="preserve"> corby</v>
      </c>
      <c r="P318" t="str">
        <f t="shared" si="4"/>
        <v>corby</v>
      </c>
      <c r="U318" t="s">
        <v>1135</v>
      </c>
    </row>
    <row r="319" spans="1:21" ht="29.25">
      <c r="A319" s="6" t="s">
        <v>1232</v>
      </c>
      <c r="B319" t="str" cm="1">
        <f t="array" ref="B319:H319">_xlfn.TEXTSPLIT(A319, ",")</f>
        <v>schapelle corby</v>
      </c>
      <c r="C319" t="str">
        <v xml:space="preserve"> australia</v>
      </c>
      <c r="D319" t="str">
        <v xml:space="preserve"> marijuana </v>
      </c>
      <c r="E319" t="str">
        <v xml:space="preserve"> corby</v>
      </c>
      <c r="F319" t="str">
        <v xml:space="preserve"> brother</v>
      </c>
      <c r="G319" t="str">
        <v xml:space="preserve"> convicted</v>
      </c>
      <c r="H319" t="str">
        <v xml:space="preserve"> import</v>
      </c>
      <c r="O319" t="str">
        <v>schapelle corby</v>
      </c>
      <c r="P319" t="str">
        <f t="shared" si="4"/>
        <v>schapelle corby</v>
      </c>
      <c r="U319" t="s">
        <v>1135</v>
      </c>
    </row>
    <row r="320" spans="1:21" ht="43.5">
      <c r="A320" s="6" t="s">
        <v>1233</v>
      </c>
      <c r="B320" t="str" cm="1">
        <f t="array" ref="B320:I320">_xlfn.TEXTSPLIT(A320, ",")</f>
        <v>schapelle corby</v>
      </c>
      <c r="C320" t="str">
        <v xml:space="preserve"> cannabis</v>
      </c>
      <c r="D320" t="str">
        <v xml:space="preserve"> smuggling</v>
      </c>
      <c r="E320" t="str">
        <v xml:space="preserve"> drug smuggler</v>
      </c>
      <c r="F320" t="str">
        <v xml:space="preserve"> cannabis</v>
      </c>
      <c r="G320" t="str">
        <v xml:space="preserve"> scandal</v>
      </c>
      <c r="H320" t="str">
        <v xml:space="preserve"> corby</v>
      </c>
      <c r="I320" t="str">
        <v xml:space="preserve"> convicted</v>
      </c>
      <c r="O320" t="str">
        <v xml:space="preserve"> corby</v>
      </c>
      <c r="P320" t="str">
        <f t="shared" si="4"/>
        <v>corby</v>
      </c>
      <c r="U320" t="s">
        <v>1135</v>
      </c>
    </row>
    <row r="321" spans="15:21">
      <c r="O321" t="str">
        <v>schapelle corby</v>
      </c>
      <c r="P321" t="str">
        <f t="shared" si="4"/>
        <v>schapelle corby</v>
      </c>
      <c r="U321">
        <v>2</v>
      </c>
    </row>
    <row r="322" spans="15:21">
      <c r="O322" t="str">
        <v xml:space="preserve"> australia</v>
      </c>
      <c r="P322" t="str">
        <f t="shared" si="4"/>
        <v>australia</v>
      </c>
      <c r="U322" t="s">
        <v>1135</v>
      </c>
    </row>
    <row r="323" spans="15:21">
      <c r="O323" t="str">
        <v xml:space="preserve"> corby</v>
      </c>
      <c r="P323" t="str">
        <f t="shared" ref="P323:P386" si="5">TRIM(O323)</f>
        <v>corby</v>
      </c>
      <c r="U323" t="s">
        <v>1135</v>
      </c>
    </row>
    <row r="324" spans="15:21">
      <c r="O324" t="str">
        <v xml:space="preserve"> law </v>
      </c>
      <c r="P324" t="str">
        <f t="shared" si="5"/>
        <v>law</v>
      </c>
      <c r="U324" t="s">
        <v>1135</v>
      </c>
    </row>
    <row r="325" spans="15:21">
      <c r="O325" t="str">
        <v>schapelle corby</v>
      </c>
      <c r="P325" t="str">
        <f t="shared" si="5"/>
        <v>schapelle corby</v>
      </c>
      <c r="U325" t="s">
        <v>1135</v>
      </c>
    </row>
    <row r="326" spans="15:21">
      <c r="O326" t="str">
        <v xml:space="preserve"> corby</v>
      </c>
      <c r="P326" t="str">
        <f t="shared" si="5"/>
        <v>corby</v>
      </c>
      <c r="U326">
        <v>1</v>
      </c>
    </row>
    <row r="327" spans="15:21">
      <c r="O327" t="str">
        <v>schapelle corby</v>
      </c>
      <c r="P327" t="str">
        <f t="shared" si="5"/>
        <v>schapelle corby</v>
      </c>
      <c r="U327" t="s">
        <v>1135</v>
      </c>
    </row>
    <row r="328" spans="15:21">
      <c r="O328" t="str">
        <v xml:space="preserve"> australia</v>
      </c>
      <c r="P328" t="str">
        <f t="shared" si="5"/>
        <v>australia</v>
      </c>
      <c r="U328">
        <v>2</v>
      </c>
    </row>
    <row r="329" spans="15:21">
      <c r="O329" t="str">
        <v xml:space="preserve"> corby</v>
      </c>
      <c r="P329" t="str">
        <f t="shared" si="5"/>
        <v>corby</v>
      </c>
      <c r="U329" t="s">
        <v>1135</v>
      </c>
    </row>
    <row r="330" spans="15:21">
      <c r="O330" t="str">
        <v>schapelle corby</v>
      </c>
      <c r="P330" t="str">
        <f t="shared" si="5"/>
        <v>schapelle corby</v>
      </c>
      <c r="U330">
        <v>1</v>
      </c>
    </row>
    <row r="331" spans="15:21">
      <c r="O331" t="str">
        <v xml:space="preserve"> australia</v>
      </c>
      <c r="P331" t="str">
        <f t="shared" si="5"/>
        <v>australia</v>
      </c>
      <c r="U331">
        <v>3</v>
      </c>
    </row>
    <row r="332" spans="15:21">
      <c r="O332" t="str">
        <v xml:space="preserve"> convicted drug smuggler</v>
      </c>
      <c r="P332" t="str">
        <f t="shared" si="5"/>
        <v>convicted drug smuggler</v>
      </c>
      <c r="U332">
        <v>2</v>
      </c>
    </row>
    <row r="333" spans="15:21">
      <c r="O333" t="str">
        <v xml:space="preserve"> drug smuggler</v>
      </c>
      <c r="P333" t="str">
        <f t="shared" si="5"/>
        <v>drug smuggler</v>
      </c>
      <c r="U333">
        <v>1</v>
      </c>
    </row>
    <row r="334" spans="15:21">
      <c r="O334" t="str">
        <v xml:space="preserve"> corby</v>
      </c>
      <c r="P334" t="str">
        <f t="shared" si="5"/>
        <v>corby</v>
      </c>
      <c r="U334" t="s">
        <v>1135</v>
      </c>
    </row>
    <row r="335" spans="15:21">
      <c r="O335" t="str">
        <v xml:space="preserve"> convicted</v>
      </c>
      <c r="P335" t="str">
        <f t="shared" si="5"/>
        <v>convicted</v>
      </c>
      <c r="U335">
        <v>4</v>
      </c>
    </row>
    <row r="336" spans="15:21">
      <c r="O336" t="str">
        <v>schapelle corby</v>
      </c>
      <c r="P336" t="str">
        <f t="shared" si="5"/>
        <v>schapelle corby</v>
      </c>
      <c r="U336">
        <v>3</v>
      </c>
    </row>
    <row r="337" spans="15:21">
      <c r="O337" t="str">
        <v xml:space="preserve"> australia</v>
      </c>
      <c r="P337" t="str">
        <f t="shared" si="5"/>
        <v>australia</v>
      </c>
      <c r="U337">
        <v>1</v>
      </c>
    </row>
    <row r="338" spans="15:21">
      <c r="O338" t="str">
        <v xml:space="preserve"> corby</v>
      </c>
      <c r="P338" t="str">
        <f t="shared" si="5"/>
        <v>corby</v>
      </c>
      <c r="U338">
        <v>1</v>
      </c>
    </row>
    <row r="339" spans="15:21">
      <c r="O339" t="str">
        <v>schapelle corby</v>
      </c>
      <c r="P339" t="str">
        <f t="shared" si="5"/>
        <v>schapelle corby</v>
      </c>
      <c r="U339">
        <v>1</v>
      </c>
    </row>
    <row r="340" spans="15:21">
      <c r="O340" t="str">
        <v xml:space="preserve"> australia</v>
      </c>
      <c r="P340" t="str">
        <f t="shared" si="5"/>
        <v>australia</v>
      </c>
      <c r="U340">
        <v>1</v>
      </c>
    </row>
    <row r="341" spans="15:21">
      <c r="O341" t="str">
        <v xml:space="preserve"> corby</v>
      </c>
      <c r="P341" t="str">
        <f t="shared" si="5"/>
        <v>corby</v>
      </c>
      <c r="U341">
        <v>3</v>
      </c>
    </row>
    <row r="342" spans="15:21">
      <c r="O342" t="str">
        <v>schapelle corby</v>
      </c>
      <c r="P342" t="str">
        <f t="shared" si="5"/>
        <v>schapelle corby</v>
      </c>
      <c r="U342">
        <v>3</v>
      </c>
    </row>
    <row r="343" spans="15:21">
      <c r="O343" t="str">
        <v xml:space="preserve"> australia</v>
      </c>
      <c r="P343" t="str">
        <f t="shared" si="5"/>
        <v>australia</v>
      </c>
      <c r="U343">
        <v>5</v>
      </c>
    </row>
    <row r="344" spans="15:21">
      <c r="O344" t="str">
        <v xml:space="preserve"> corby</v>
      </c>
      <c r="P344" t="str">
        <f t="shared" si="5"/>
        <v>corby</v>
      </c>
      <c r="U344">
        <v>5</v>
      </c>
    </row>
    <row r="345" spans="15:21">
      <c r="O345" t="str">
        <v>schapelle corby</v>
      </c>
      <c r="P345" t="str">
        <f t="shared" si="5"/>
        <v>schapelle corby</v>
      </c>
      <c r="U345">
        <v>1</v>
      </c>
    </row>
    <row r="346" spans="15:21">
      <c r="O346" t="str">
        <v xml:space="preserve"> corby</v>
      </c>
      <c r="P346" t="str">
        <f t="shared" si="5"/>
        <v>corby</v>
      </c>
      <c r="U346">
        <v>2</v>
      </c>
    </row>
    <row r="347" spans="15:21">
      <c r="O347" t="str">
        <v>schapelle corby</v>
      </c>
      <c r="P347" t="str">
        <f t="shared" si="5"/>
        <v>schapelle corby</v>
      </c>
      <c r="U347" t="s">
        <v>1135</v>
      </c>
    </row>
    <row r="348" spans="15:21">
      <c r="O348" t="str">
        <v xml:space="preserve"> corby</v>
      </c>
      <c r="P348" t="str">
        <f t="shared" si="5"/>
        <v>corby</v>
      </c>
      <c r="U348">
        <v>2</v>
      </c>
    </row>
    <row r="349" spans="15:21">
      <c r="O349" t="str">
        <v>schapelle corby</v>
      </c>
      <c r="P349" t="str">
        <f t="shared" si="5"/>
        <v>schapelle corby</v>
      </c>
      <c r="U349">
        <v>2</v>
      </c>
    </row>
    <row r="350" spans="15:21">
      <c r="O350" t="str">
        <v xml:space="preserve"> corby</v>
      </c>
      <c r="P350" t="str">
        <f t="shared" si="5"/>
        <v>corby</v>
      </c>
      <c r="U350" t="s">
        <v>1135</v>
      </c>
    </row>
    <row r="351" spans="15:21">
      <c r="O351" t="str">
        <v>schapelle corby</v>
      </c>
      <c r="P351" t="str">
        <f t="shared" si="5"/>
        <v>schapelle corby</v>
      </c>
      <c r="U351">
        <v>1</v>
      </c>
    </row>
    <row r="352" spans="15:21">
      <c r="O352" t="str">
        <v xml:space="preserve"> corby</v>
      </c>
      <c r="P352" t="str">
        <f t="shared" si="5"/>
        <v>corby</v>
      </c>
      <c r="U352" t="s">
        <v>1135</v>
      </c>
    </row>
    <row r="353" spans="15:21">
      <c r="O353" t="str">
        <v>schapelle corby</v>
      </c>
      <c r="P353" t="str">
        <f t="shared" si="5"/>
        <v>schapelle corby</v>
      </c>
      <c r="U353">
        <v>3</v>
      </c>
    </row>
    <row r="354" spans="15:21">
      <c r="O354" t="str">
        <v xml:space="preserve"> corby</v>
      </c>
      <c r="P354" t="str">
        <f t="shared" si="5"/>
        <v>corby</v>
      </c>
      <c r="U354" t="s">
        <v>1135</v>
      </c>
    </row>
    <row r="355" spans="15:21">
      <c r="O355" t="str">
        <v>schapelle corby</v>
      </c>
      <c r="P355" t="str">
        <f t="shared" si="5"/>
        <v>schapelle corby</v>
      </c>
      <c r="U355" t="s">
        <v>1135</v>
      </c>
    </row>
    <row r="356" spans="15:21">
      <c r="O356" t="str">
        <v xml:space="preserve"> australia</v>
      </c>
      <c r="P356" t="str">
        <f t="shared" si="5"/>
        <v>australia</v>
      </c>
      <c r="U356" t="s">
        <v>1135</v>
      </c>
    </row>
    <row r="357" spans="15:21">
      <c r="O357" t="str">
        <v xml:space="preserve"> convicted drug smuggler</v>
      </c>
      <c r="P357" t="str">
        <f t="shared" si="5"/>
        <v>convicted drug smuggler</v>
      </c>
      <c r="U357" t="s">
        <v>1135</v>
      </c>
    </row>
    <row r="358" spans="15:21">
      <c r="O358" t="str">
        <v xml:space="preserve"> drug smuggler</v>
      </c>
      <c r="P358" t="str">
        <f t="shared" si="5"/>
        <v>drug smuggler</v>
      </c>
      <c r="U358">
        <v>2</v>
      </c>
    </row>
    <row r="359" spans="15:21">
      <c r="O359" t="str">
        <v xml:space="preserve"> corby</v>
      </c>
      <c r="P359" t="str">
        <f t="shared" si="5"/>
        <v>corby</v>
      </c>
      <c r="U359" t="s">
        <v>1135</v>
      </c>
    </row>
    <row r="360" spans="15:21">
      <c r="O360" t="str">
        <v xml:space="preserve"> convicted</v>
      </c>
      <c r="P360" t="str">
        <f t="shared" si="5"/>
        <v>convicted</v>
      </c>
      <c r="U360" t="s">
        <v>1135</v>
      </c>
    </row>
    <row r="361" spans="15:21">
      <c r="O361" t="str">
        <v>schapelle corby</v>
      </c>
      <c r="P361" t="str">
        <f t="shared" si="5"/>
        <v>schapelle corby</v>
      </c>
      <c r="U361">
        <v>5</v>
      </c>
    </row>
    <row r="362" spans="15:21">
      <c r="O362" t="str">
        <v xml:space="preserve"> corby</v>
      </c>
      <c r="P362" t="str">
        <f t="shared" si="5"/>
        <v>corby</v>
      </c>
      <c r="U362">
        <v>1</v>
      </c>
    </row>
    <row r="363" spans="15:21">
      <c r="O363" t="str">
        <v>schapelle corby</v>
      </c>
      <c r="P363" t="str">
        <f t="shared" si="5"/>
        <v>schapelle corby</v>
      </c>
      <c r="U363" t="s">
        <v>1135</v>
      </c>
    </row>
    <row r="364" spans="15:21">
      <c r="O364" t="str">
        <v xml:space="preserve"> australia</v>
      </c>
      <c r="P364" t="str">
        <f t="shared" si="5"/>
        <v>australia</v>
      </c>
      <c r="U364" t="s">
        <v>1135</v>
      </c>
    </row>
    <row r="365" spans="15:21">
      <c r="O365" t="str">
        <v xml:space="preserve"> corby</v>
      </c>
      <c r="P365" t="str">
        <f t="shared" si="5"/>
        <v>corby</v>
      </c>
      <c r="U365" t="s">
        <v>1135</v>
      </c>
    </row>
    <row r="366" spans="15:21">
      <c r="O366" t="str">
        <v>schapelle corby</v>
      </c>
      <c r="P366" t="str">
        <f t="shared" si="5"/>
        <v>schapelle corby</v>
      </c>
      <c r="U366" t="s">
        <v>1135</v>
      </c>
    </row>
    <row r="367" spans="15:21">
      <c r="O367" t="str">
        <v xml:space="preserve"> corby</v>
      </c>
      <c r="P367" t="str">
        <f t="shared" si="5"/>
        <v>corby</v>
      </c>
      <c r="U367">
        <v>1</v>
      </c>
    </row>
    <row r="368" spans="15:21">
      <c r="O368" t="str">
        <v>schapelle corby</v>
      </c>
      <c r="P368" t="str">
        <f t="shared" si="5"/>
        <v>schapelle corby</v>
      </c>
      <c r="U368" t="s">
        <v>1135</v>
      </c>
    </row>
    <row r="369" spans="15:21">
      <c r="O369" t="str">
        <v xml:space="preserve"> smuggling</v>
      </c>
      <c r="P369" t="str">
        <f t="shared" si="5"/>
        <v>smuggling</v>
      </c>
      <c r="U369" t="s">
        <v>1135</v>
      </c>
    </row>
    <row r="370" spans="15:21">
      <c r="O370" t="str">
        <v xml:space="preserve"> australia</v>
      </c>
      <c r="P370" t="str">
        <f t="shared" si="5"/>
        <v>australia</v>
      </c>
      <c r="U370" t="s">
        <v>1135</v>
      </c>
    </row>
    <row r="371" spans="15:21">
      <c r="O371" t="str">
        <v xml:space="preserve"> corby</v>
      </c>
      <c r="P371" t="str">
        <f t="shared" si="5"/>
        <v>corby</v>
      </c>
      <c r="U371" t="s">
        <v>1135</v>
      </c>
    </row>
    <row r="372" spans="15:21">
      <c r="O372" t="str">
        <v>schapelle corby</v>
      </c>
      <c r="P372" t="str">
        <f t="shared" si="5"/>
        <v>schapelle corby</v>
      </c>
      <c r="U372">
        <v>1</v>
      </c>
    </row>
    <row r="373" spans="15:21">
      <c r="O373" t="str">
        <v xml:space="preserve"> corby</v>
      </c>
      <c r="P373" t="str">
        <f t="shared" si="5"/>
        <v>corby</v>
      </c>
      <c r="U373">
        <v>3</v>
      </c>
    </row>
    <row r="374" spans="15:21">
      <c r="O374" t="str">
        <v>schapelle corby</v>
      </c>
      <c r="P374" t="str">
        <f t="shared" si="5"/>
        <v>schapelle corby</v>
      </c>
      <c r="U374" t="s">
        <v>1135</v>
      </c>
    </row>
    <row r="375" spans="15:21">
      <c r="O375" t="str">
        <v xml:space="preserve"> drug smuggler</v>
      </c>
      <c r="P375" t="str">
        <f t="shared" si="5"/>
        <v>drug smuggler</v>
      </c>
      <c r="U375" t="s">
        <v>1135</v>
      </c>
    </row>
    <row r="376" spans="15:21">
      <c r="O376" t="str">
        <v xml:space="preserve"> af</v>
      </c>
      <c r="P376" t="str">
        <f t="shared" si="5"/>
        <v>af</v>
      </c>
      <c r="U376">
        <v>1</v>
      </c>
    </row>
    <row r="377" spans="15:21">
      <c r="O377" t="str">
        <v xml:space="preserve"> corby</v>
      </c>
      <c r="P377" t="str">
        <f t="shared" si="5"/>
        <v>corby</v>
      </c>
      <c r="U377">
        <v>2</v>
      </c>
    </row>
    <row r="378" spans="15:21">
      <c r="O378" t="str">
        <v>schapelle corby</v>
      </c>
      <c r="P378" t="str">
        <f t="shared" si="5"/>
        <v>schapelle corby</v>
      </c>
      <c r="U378">
        <v>1</v>
      </c>
    </row>
    <row r="379" spans="15:21">
      <c r="O379" t="str">
        <v xml:space="preserve"> australia</v>
      </c>
      <c r="P379" t="str">
        <f t="shared" si="5"/>
        <v>australia</v>
      </c>
      <c r="U379" t="s">
        <v>1135</v>
      </c>
    </row>
    <row r="380" spans="15:21">
      <c r="O380" t="str">
        <v xml:space="preserve"> corby</v>
      </c>
      <c r="P380" t="str">
        <f t="shared" si="5"/>
        <v>corby</v>
      </c>
      <c r="U380" t="s">
        <v>1135</v>
      </c>
    </row>
    <row r="381" spans="15:21">
      <c r="O381" t="str">
        <v>schapelle corby</v>
      </c>
      <c r="P381" t="str">
        <f t="shared" si="5"/>
        <v>schapelle corby</v>
      </c>
      <c r="U381">
        <v>2</v>
      </c>
    </row>
    <row r="382" spans="15:21">
      <c r="O382" t="str">
        <v xml:space="preserve"> australia</v>
      </c>
      <c r="P382" t="str">
        <f t="shared" si="5"/>
        <v>australia</v>
      </c>
      <c r="U382" t="s">
        <v>1135</v>
      </c>
    </row>
    <row r="383" spans="15:21">
      <c r="O383" t="str">
        <v xml:space="preserve"> convicted drug smuggler</v>
      </c>
      <c r="P383" t="str">
        <f t="shared" si="5"/>
        <v>convicted drug smuggler</v>
      </c>
      <c r="U383" t="s">
        <v>1135</v>
      </c>
    </row>
    <row r="384" spans="15:21">
      <c r="O384" t="str">
        <v xml:space="preserve"> drug smuggler</v>
      </c>
      <c r="P384" t="str">
        <f t="shared" si="5"/>
        <v>drug smuggler</v>
      </c>
      <c r="U384" t="s">
        <v>1135</v>
      </c>
    </row>
    <row r="385" spans="15:21">
      <c r="O385" t="str">
        <v xml:space="preserve"> corby</v>
      </c>
      <c r="P385" t="str">
        <f t="shared" si="5"/>
        <v>corby</v>
      </c>
      <c r="U385" t="s">
        <v>1135</v>
      </c>
    </row>
    <row r="386" spans="15:21">
      <c r="O386" t="str">
        <v xml:space="preserve"> convicted</v>
      </c>
      <c r="P386" t="str">
        <f t="shared" si="5"/>
        <v>convicted</v>
      </c>
      <c r="U386" t="s">
        <v>1135</v>
      </c>
    </row>
    <row r="387" spans="15:21">
      <c r="O387" t="str">
        <v>schapelle corby</v>
      </c>
      <c r="P387" t="str">
        <f t="shared" ref="P387:P450" si="6">TRIM(O387)</f>
        <v>schapelle corby</v>
      </c>
      <c r="U387">
        <v>1</v>
      </c>
    </row>
    <row r="388" spans="15:21">
      <c r="O388" t="str">
        <v xml:space="preserve"> australia</v>
      </c>
      <c r="P388" t="str">
        <f t="shared" si="6"/>
        <v>australia</v>
      </c>
      <c r="U388" t="s">
        <v>1135</v>
      </c>
    </row>
    <row r="389" spans="15:21">
      <c r="O389" t="str">
        <v xml:space="preserve"> corby</v>
      </c>
      <c r="P389" t="str">
        <f t="shared" si="6"/>
        <v>corby</v>
      </c>
      <c r="U389" t="s">
        <v>1135</v>
      </c>
    </row>
    <row r="390" spans="15:21">
      <c r="O390" t="str">
        <v>schapelle corby</v>
      </c>
      <c r="P390" t="str">
        <f t="shared" si="6"/>
        <v>schapelle corby</v>
      </c>
      <c r="U390" t="s">
        <v>1135</v>
      </c>
    </row>
    <row r="391" spans="15:21">
      <c r="O391" t="str">
        <v xml:space="preserve"> corby</v>
      </c>
      <c r="P391" t="str">
        <f t="shared" si="6"/>
        <v>corby</v>
      </c>
      <c r="U391" t="s">
        <v>1135</v>
      </c>
    </row>
    <row r="392" spans="15:21">
      <c r="O392" t="str">
        <v>schapelle corby</v>
      </c>
      <c r="P392" t="str">
        <f t="shared" si="6"/>
        <v>schapelle corby</v>
      </c>
      <c r="U392" t="s">
        <v>1135</v>
      </c>
    </row>
    <row r="393" spans="15:21">
      <c r="O393" t="str">
        <v xml:space="preserve"> australia</v>
      </c>
      <c r="P393" t="str">
        <f t="shared" si="6"/>
        <v>australia</v>
      </c>
      <c r="U393" t="s">
        <v>1135</v>
      </c>
    </row>
    <row r="394" spans="15:21">
      <c r="O394" t="str">
        <v xml:space="preserve"> corby</v>
      </c>
      <c r="P394" t="str">
        <f t="shared" si="6"/>
        <v>corby</v>
      </c>
      <c r="U394" t="s">
        <v>1135</v>
      </c>
    </row>
    <row r="395" spans="15:21">
      <c r="O395" t="str">
        <v>schapelle corby</v>
      </c>
      <c r="P395" t="str">
        <f t="shared" si="6"/>
        <v>schapelle corby</v>
      </c>
      <c r="U395">
        <v>3</v>
      </c>
    </row>
    <row r="396" spans="15:21">
      <c r="O396" t="str">
        <v xml:space="preserve"> corby</v>
      </c>
      <c r="P396" t="str">
        <f t="shared" si="6"/>
        <v>corby</v>
      </c>
      <c r="U396">
        <v>5</v>
      </c>
    </row>
    <row r="397" spans="15:21">
      <c r="O397" t="str">
        <v>schapelle corby</v>
      </c>
      <c r="P397" t="str">
        <f t="shared" si="6"/>
        <v>schapelle corby</v>
      </c>
      <c r="U397">
        <v>1</v>
      </c>
    </row>
    <row r="398" spans="15:21">
      <c r="O398" t="str">
        <v xml:space="preserve"> corby</v>
      </c>
      <c r="P398" t="str">
        <f t="shared" si="6"/>
        <v>corby</v>
      </c>
      <c r="U398">
        <v>1</v>
      </c>
    </row>
    <row r="399" spans="15:21">
      <c r="O399" t="str">
        <v xml:space="preserve"> innocent</v>
      </c>
      <c r="P399" t="str">
        <f t="shared" si="6"/>
        <v>innocent</v>
      </c>
      <c r="U399">
        <v>3</v>
      </c>
    </row>
    <row r="400" spans="15:21">
      <c r="O400" t="str">
        <v>schapelle corby</v>
      </c>
      <c r="P400" t="str">
        <f t="shared" si="6"/>
        <v>schapelle corby</v>
      </c>
      <c r="U400">
        <v>3</v>
      </c>
    </row>
    <row r="401" spans="15:21">
      <c r="O401" t="str">
        <v xml:space="preserve"> australia</v>
      </c>
      <c r="P401" t="str">
        <f t="shared" si="6"/>
        <v>australia</v>
      </c>
      <c r="U401">
        <v>1</v>
      </c>
    </row>
    <row r="402" spans="15:21">
      <c r="O402" t="str">
        <v xml:space="preserve"> drugs</v>
      </c>
      <c r="P402" t="str">
        <f t="shared" si="6"/>
        <v>drugs</v>
      </c>
      <c r="U402" t="s">
        <v>1135</v>
      </c>
    </row>
    <row r="403" spans="15:21">
      <c r="O403" t="str">
        <v xml:space="preserve"> drug smuggler</v>
      </c>
      <c r="P403" t="str">
        <f t="shared" si="6"/>
        <v>drug smuggler</v>
      </c>
      <c r="U403">
        <v>1</v>
      </c>
    </row>
    <row r="404" spans="15:21">
      <c r="O404" t="str">
        <v xml:space="preserve"> corby</v>
      </c>
      <c r="P404" t="str">
        <f t="shared" si="6"/>
        <v>corby</v>
      </c>
      <c r="U404" t="s">
        <v>1135</v>
      </c>
    </row>
    <row r="405" spans="15:21">
      <c r="O405" t="str">
        <v>schapelle corby</v>
      </c>
      <c r="P405" t="str">
        <f t="shared" si="6"/>
        <v>schapelle corby</v>
      </c>
      <c r="U405" t="s">
        <v>1135</v>
      </c>
    </row>
    <row r="406" spans="15:21">
      <c r="O406" t="str">
        <v xml:space="preserve"> australia</v>
      </c>
      <c r="P406" t="str">
        <f t="shared" si="6"/>
        <v>australia</v>
      </c>
      <c r="U406" t="s">
        <v>1135</v>
      </c>
    </row>
    <row r="407" spans="15:21">
      <c r="O407" t="str">
        <v xml:space="preserve"> corby</v>
      </c>
      <c r="P407" t="str">
        <f t="shared" si="6"/>
        <v>corby</v>
      </c>
      <c r="U407" t="s">
        <v>1135</v>
      </c>
    </row>
    <row r="408" spans="15:21">
      <c r="O408" t="str">
        <v>af</v>
      </c>
      <c r="P408" t="str">
        <f t="shared" si="6"/>
        <v>af</v>
      </c>
      <c r="U408" t="s">
        <v>1135</v>
      </c>
    </row>
    <row r="409" spans="15:21">
      <c r="O409" t="str">
        <v xml:space="preserve"> corby</v>
      </c>
      <c r="P409" t="str">
        <f t="shared" si="6"/>
        <v>corby</v>
      </c>
      <c r="U409">
        <v>1</v>
      </c>
    </row>
    <row r="410" spans="15:21">
      <c r="O410" t="str">
        <v xml:space="preserve"> AFP</v>
      </c>
      <c r="P410" t="str">
        <f t="shared" si="6"/>
        <v>AFP</v>
      </c>
      <c r="U410" t="s">
        <v>1135</v>
      </c>
    </row>
    <row r="411" spans="15:21">
      <c r="O411" t="str">
        <v>schapelle corby</v>
      </c>
      <c r="P411" t="str">
        <f t="shared" si="6"/>
        <v>schapelle corby</v>
      </c>
      <c r="U411" t="s">
        <v>1135</v>
      </c>
    </row>
    <row r="412" spans="15:21">
      <c r="O412" t="str">
        <v xml:space="preserve"> australia</v>
      </c>
      <c r="P412" t="str">
        <f t="shared" si="6"/>
        <v>australia</v>
      </c>
      <c r="U412" t="s">
        <v>1135</v>
      </c>
    </row>
    <row r="413" spans="15:21">
      <c r="O413" t="str">
        <v xml:space="preserve"> corby</v>
      </c>
      <c r="P413" t="str">
        <f t="shared" si="6"/>
        <v>corby</v>
      </c>
      <c r="U413" t="s">
        <v>1135</v>
      </c>
    </row>
    <row r="414" spans="15:21">
      <c r="O414" t="str">
        <v>schapelle corby</v>
      </c>
      <c r="P414" t="str">
        <f t="shared" si="6"/>
        <v>schapelle corby</v>
      </c>
      <c r="U414">
        <v>1</v>
      </c>
    </row>
    <row r="415" spans="15:21">
      <c r="O415" t="str">
        <v xml:space="preserve"> convicted drug smuggler</v>
      </c>
      <c r="P415" t="str">
        <f t="shared" si="6"/>
        <v>convicted drug smuggler</v>
      </c>
      <c r="U415">
        <v>3</v>
      </c>
    </row>
    <row r="416" spans="15:21">
      <c r="O416" t="str">
        <v xml:space="preserve"> drug smuggler</v>
      </c>
      <c r="P416" t="str">
        <f t="shared" si="6"/>
        <v>drug smuggler</v>
      </c>
      <c r="U416" t="s">
        <v>1135</v>
      </c>
    </row>
    <row r="417" spans="15:21">
      <c r="O417" t="str">
        <v xml:space="preserve"> corby</v>
      </c>
      <c r="P417" t="str">
        <f t="shared" si="6"/>
        <v>corby</v>
      </c>
      <c r="U417" t="s">
        <v>1135</v>
      </c>
    </row>
    <row r="418" spans="15:21">
      <c r="O418" t="str">
        <v xml:space="preserve"> convicted</v>
      </c>
      <c r="P418" t="str">
        <f t="shared" si="6"/>
        <v>convicted</v>
      </c>
      <c r="U418" t="s">
        <v>1135</v>
      </c>
    </row>
    <row r="419" spans="15:21">
      <c r="O419" t="str">
        <v>schapelle corby</v>
      </c>
      <c r="P419" t="str">
        <f t="shared" si="6"/>
        <v>schapelle corby</v>
      </c>
      <c r="U419" t="s">
        <v>1135</v>
      </c>
    </row>
    <row r="420" spans="15:21">
      <c r="O420" t="str">
        <v xml:space="preserve"> convicted drug smuggler</v>
      </c>
      <c r="P420" t="str">
        <f t="shared" si="6"/>
        <v>convicted drug smuggler</v>
      </c>
      <c r="U420">
        <v>2</v>
      </c>
    </row>
    <row r="421" spans="15:21">
      <c r="O421" t="str">
        <v xml:space="preserve"> drug smuggler</v>
      </c>
      <c r="P421" t="str">
        <f t="shared" si="6"/>
        <v>drug smuggler</v>
      </c>
      <c r="U421" t="s">
        <v>1135</v>
      </c>
    </row>
    <row r="422" spans="15:21">
      <c r="O422" t="str">
        <v xml:space="preserve"> corby</v>
      </c>
      <c r="P422" t="str">
        <f t="shared" si="6"/>
        <v>corby</v>
      </c>
      <c r="U422" t="s">
        <v>1135</v>
      </c>
    </row>
    <row r="423" spans="15:21">
      <c r="O423" t="str">
        <v xml:space="preserve"> convicted</v>
      </c>
      <c r="P423" t="str">
        <f t="shared" si="6"/>
        <v>convicted</v>
      </c>
      <c r="U423">
        <v>8</v>
      </c>
    </row>
    <row r="424" spans="15:21">
      <c r="O424" t="str">
        <v>schapelle corby</v>
      </c>
      <c r="P424" t="str">
        <f t="shared" si="6"/>
        <v>schapelle corby</v>
      </c>
      <c r="U424" t="s">
        <v>1135</v>
      </c>
    </row>
    <row r="425" spans="15:21">
      <c r="O425" t="str">
        <v xml:space="preserve"> corby</v>
      </c>
      <c r="P425" t="str">
        <f t="shared" si="6"/>
        <v>corby</v>
      </c>
      <c r="U425">
        <v>1</v>
      </c>
    </row>
    <row r="426" spans="15:21">
      <c r="O426" t="str">
        <v>schapelle corby</v>
      </c>
      <c r="P426" t="str">
        <f t="shared" si="6"/>
        <v>schapelle corby</v>
      </c>
      <c r="U426" t="s">
        <v>1135</v>
      </c>
    </row>
    <row r="427" spans="15:21">
      <c r="O427" t="str">
        <v xml:space="preserve"> australia</v>
      </c>
      <c r="P427" t="str">
        <f t="shared" si="6"/>
        <v>australia</v>
      </c>
      <c r="U427" t="s">
        <v>1135</v>
      </c>
    </row>
    <row r="428" spans="15:21">
      <c r="O428" t="str">
        <v xml:space="preserve"> jail</v>
      </c>
      <c r="P428" t="str">
        <f t="shared" si="6"/>
        <v>jail</v>
      </c>
      <c r="U428" t="s">
        <v>1135</v>
      </c>
    </row>
    <row r="429" spans="15:21">
      <c r="O429" t="str">
        <v xml:space="preserve"> af</v>
      </c>
      <c r="P429" t="str">
        <f t="shared" si="6"/>
        <v>af</v>
      </c>
      <c r="U429" t="s">
        <v>1135</v>
      </c>
    </row>
    <row r="430" spans="15:21">
      <c r="O430" t="str">
        <v xml:space="preserve"> corby</v>
      </c>
      <c r="P430" t="str">
        <f t="shared" si="6"/>
        <v>corby</v>
      </c>
      <c r="U430" t="s">
        <v>1135</v>
      </c>
    </row>
    <row r="431" spans="15:21">
      <c r="O431" t="str">
        <v xml:space="preserve"> sentence </v>
      </c>
      <c r="P431" t="str">
        <f t="shared" si="6"/>
        <v>sentence</v>
      </c>
      <c r="U431" t="s">
        <v>1135</v>
      </c>
    </row>
    <row r="432" spans="15:21">
      <c r="O432" t="str">
        <v>schapelle corby</v>
      </c>
      <c r="P432" t="str">
        <f t="shared" si="6"/>
        <v>schapelle corby</v>
      </c>
      <c r="U432">
        <v>1</v>
      </c>
    </row>
    <row r="433" spans="15:21">
      <c r="O433" t="str">
        <v xml:space="preserve"> corby</v>
      </c>
      <c r="P433" t="str">
        <f t="shared" si="6"/>
        <v>corby</v>
      </c>
      <c r="U433">
        <v>3</v>
      </c>
    </row>
    <row r="434" spans="15:21">
      <c r="O434" t="str">
        <v>schapelle corby</v>
      </c>
      <c r="P434" t="str">
        <f t="shared" si="6"/>
        <v>schapelle corby</v>
      </c>
      <c r="U434" t="s">
        <v>1135</v>
      </c>
    </row>
    <row r="435" spans="15:21">
      <c r="O435" t="str">
        <v xml:space="preserve"> australia</v>
      </c>
      <c r="P435" t="str">
        <f t="shared" si="6"/>
        <v>australia</v>
      </c>
      <c r="U435">
        <v>3</v>
      </c>
    </row>
    <row r="436" spans="15:21">
      <c r="O436" t="str">
        <v xml:space="preserve"> corby</v>
      </c>
      <c r="P436" t="str">
        <f t="shared" si="6"/>
        <v>corby</v>
      </c>
      <c r="U436">
        <v>2</v>
      </c>
    </row>
    <row r="437" spans="15:21">
      <c r="O437" t="str">
        <v>schapelle corby</v>
      </c>
      <c r="P437" t="str">
        <f t="shared" si="6"/>
        <v>schapelle corby</v>
      </c>
      <c r="U437" t="s">
        <v>1135</v>
      </c>
    </row>
    <row r="438" spans="15:21">
      <c r="O438" t="str">
        <v xml:space="preserve"> corby</v>
      </c>
      <c r="P438" t="str">
        <f t="shared" si="6"/>
        <v>corby</v>
      </c>
      <c r="U438">
        <v>5</v>
      </c>
    </row>
    <row r="439" spans="15:21">
      <c r="O439" t="str">
        <v>schapelle corby</v>
      </c>
      <c r="P439" t="str">
        <f t="shared" si="6"/>
        <v>schapelle corby</v>
      </c>
      <c r="U439" t="s">
        <v>1135</v>
      </c>
    </row>
    <row r="440" spans="15:21">
      <c r="O440" t="str">
        <v xml:space="preserve"> corby</v>
      </c>
      <c r="P440" t="str">
        <f t="shared" si="6"/>
        <v>corby</v>
      </c>
      <c r="U440" t="s">
        <v>1135</v>
      </c>
    </row>
    <row r="441" spans="15:21">
      <c r="O441" t="str">
        <v>schapelle corby</v>
      </c>
      <c r="P441" t="str">
        <f t="shared" si="6"/>
        <v>schapelle corby</v>
      </c>
      <c r="U441" t="s">
        <v>1135</v>
      </c>
    </row>
    <row r="442" spans="15:21">
      <c r="O442" t="str">
        <v xml:space="preserve"> corby</v>
      </c>
      <c r="P442" t="str">
        <f t="shared" si="6"/>
        <v>corby</v>
      </c>
      <c r="U442" t="s">
        <v>1135</v>
      </c>
    </row>
    <row r="443" spans="15:21">
      <c r="O443" t="str">
        <v>schapelle corby</v>
      </c>
      <c r="P443" t="str">
        <f t="shared" si="6"/>
        <v>schapelle corby</v>
      </c>
      <c r="U443">
        <v>1</v>
      </c>
    </row>
    <row r="444" spans="15:21">
      <c r="O444" t="str">
        <v xml:space="preserve"> mercedes</v>
      </c>
      <c r="P444" t="str">
        <f t="shared" si="6"/>
        <v>mercedes</v>
      </c>
      <c r="U444" t="s">
        <v>1135</v>
      </c>
    </row>
    <row r="445" spans="15:21">
      <c r="O445" t="str">
        <v xml:space="preserve"> corby</v>
      </c>
      <c r="P445" t="str">
        <f t="shared" si="6"/>
        <v>corby</v>
      </c>
      <c r="U445" t="s">
        <v>1135</v>
      </c>
    </row>
    <row r="446" spans="15:21">
      <c r="O446" t="str">
        <v>schapelle corby</v>
      </c>
      <c r="P446" t="str">
        <f t="shared" si="6"/>
        <v>schapelle corby</v>
      </c>
      <c r="U446" t="s">
        <v>1135</v>
      </c>
    </row>
    <row r="447" spans="15:21">
      <c r="O447" t="str">
        <v xml:space="preserve"> corby</v>
      </c>
      <c r="P447" t="str">
        <f t="shared" si="6"/>
        <v>corby</v>
      </c>
      <c r="U447">
        <v>1</v>
      </c>
    </row>
    <row r="448" spans="15:21">
      <c r="O448" t="str">
        <v xml:space="preserve"> innocent</v>
      </c>
      <c r="P448" t="str">
        <f t="shared" si="6"/>
        <v>innocent</v>
      </c>
      <c r="U448">
        <v>2</v>
      </c>
    </row>
    <row r="449" spans="15:21">
      <c r="O449" t="str">
        <v>schapelle corby</v>
      </c>
      <c r="P449" t="str">
        <f t="shared" si="6"/>
        <v>schapelle corby</v>
      </c>
      <c r="U449">
        <v>10</v>
      </c>
    </row>
    <row r="450" spans="15:21">
      <c r="O450" t="str">
        <v xml:space="preserve"> corby</v>
      </c>
      <c r="P450" t="str">
        <f t="shared" si="6"/>
        <v>corby</v>
      </c>
      <c r="U450" t="s">
        <v>1135</v>
      </c>
    </row>
    <row r="451" spans="15:21">
      <c r="O451" t="str">
        <v xml:space="preserve"> law </v>
      </c>
      <c r="P451" t="str">
        <f t="shared" ref="P451:P514" si="7">TRIM(O451)</f>
        <v>law</v>
      </c>
      <c r="U451" t="s">
        <v>1135</v>
      </c>
    </row>
    <row r="452" spans="15:21">
      <c r="O452" t="str">
        <v>schapelle corby</v>
      </c>
      <c r="P452" t="str">
        <f t="shared" si="7"/>
        <v>schapelle corby</v>
      </c>
      <c r="U452" t="s">
        <v>1135</v>
      </c>
    </row>
    <row r="453" spans="15:21">
      <c r="O453" t="str">
        <v xml:space="preserve"> corby</v>
      </c>
      <c r="P453" t="str">
        <f t="shared" si="7"/>
        <v>corby</v>
      </c>
      <c r="U453" t="s">
        <v>1135</v>
      </c>
    </row>
    <row r="454" spans="15:21">
      <c r="O454" t="str">
        <v>schapelle corby</v>
      </c>
      <c r="P454" t="str">
        <f t="shared" si="7"/>
        <v>schapelle corby</v>
      </c>
      <c r="U454">
        <v>1</v>
      </c>
    </row>
    <row r="455" spans="15:21">
      <c r="O455" t="str">
        <v xml:space="preserve"> corby</v>
      </c>
      <c r="P455" t="str">
        <f t="shared" si="7"/>
        <v>corby</v>
      </c>
      <c r="U455">
        <v>2</v>
      </c>
    </row>
    <row r="456" spans="15:21">
      <c r="O456" t="str">
        <v>schapelle corby</v>
      </c>
      <c r="P456" t="str">
        <f t="shared" si="7"/>
        <v>schapelle corby</v>
      </c>
      <c r="U456">
        <v>9</v>
      </c>
    </row>
    <row r="457" spans="15:21">
      <c r="O457" t="str">
        <v xml:space="preserve"> jail</v>
      </c>
      <c r="P457" t="str">
        <f t="shared" si="7"/>
        <v>jail</v>
      </c>
      <c r="U457" t="s">
        <v>1135</v>
      </c>
    </row>
    <row r="458" spans="15:21">
      <c r="O458" t="str">
        <v xml:space="preserve"> corby</v>
      </c>
      <c r="P458" t="str">
        <f t="shared" si="7"/>
        <v>corby</v>
      </c>
      <c r="U458" t="s">
        <v>1135</v>
      </c>
    </row>
    <row r="459" spans="15:21">
      <c r="O459" t="str">
        <v xml:space="preserve"> sentenced</v>
      </c>
      <c r="P459" t="str">
        <f t="shared" si="7"/>
        <v>sentenced</v>
      </c>
      <c r="U459" t="s">
        <v>1135</v>
      </c>
    </row>
    <row r="460" spans="15:21">
      <c r="O460" t="str">
        <v>af</v>
      </c>
      <c r="P460" t="str">
        <f t="shared" si="7"/>
        <v>af</v>
      </c>
      <c r="U460">
        <v>1</v>
      </c>
    </row>
    <row r="461" spans="15:21">
      <c r="O461" t="str">
        <v>australian</v>
      </c>
      <c r="P461" t="str">
        <f t="shared" si="7"/>
        <v>australian</v>
      </c>
      <c r="U461">
        <v>1</v>
      </c>
    </row>
    <row r="462" spans="15:21">
      <c r="O462" t="str">
        <v xml:space="preserve"> australia</v>
      </c>
      <c r="P462" t="str">
        <f t="shared" si="7"/>
        <v>australia</v>
      </c>
      <c r="U462">
        <v>1</v>
      </c>
    </row>
    <row r="463" spans="15:21">
      <c r="O463" t="str">
        <v xml:space="preserve"> af</v>
      </c>
      <c r="P463" t="str">
        <f t="shared" si="7"/>
        <v>af</v>
      </c>
      <c r="U463" t="s">
        <v>1135</v>
      </c>
    </row>
    <row r="464" spans="15:21">
      <c r="O464" t="str">
        <v xml:space="preserve"> AFP</v>
      </c>
      <c r="P464" t="str">
        <f t="shared" si="7"/>
        <v>AFP</v>
      </c>
      <c r="U464">
        <v>1</v>
      </c>
    </row>
    <row r="465" spans="15:21">
      <c r="O465" t="str">
        <v xml:space="preserve"> guilty</v>
      </c>
      <c r="P465" t="str">
        <f t="shared" si="7"/>
        <v>guilty</v>
      </c>
      <c r="U465">
        <v>5</v>
      </c>
    </row>
    <row r="466" spans="15:21">
      <c r="O466" t="str">
        <v>australia</v>
      </c>
      <c r="P466" t="str">
        <f t="shared" si="7"/>
        <v>australia</v>
      </c>
      <c r="U466" t="s">
        <v>1135</v>
      </c>
    </row>
    <row r="467" spans="15:21">
      <c r="O467" t="str">
        <v xml:space="preserve"> af</v>
      </c>
      <c r="P467" t="str">
        <f t="shared" si="7"/>
        <v>af</v>
      </c>
      <c r="U467" t="s">
        <v>1135</v>
      </c>
    </row>
    <row r="468" spans="15:21">
      <c r="O468" t="str">
        <v xml:space="preserve"> AFP</v>
      </c>
      <c r="P468" t="str">
        <f t="shared" si="7"/>
        <v>AFP</v>
      </c>
      <c r="U468" t="s">
        <v>1135</v>
      </c>
    </row>
    <row r="469" spans="15:21">
      <c r="O469" t="str">
        <v xml:space="preserve"> guilty</v>
      </c>
      <c r="P469" t="str">
        <f t="shared" si="7"/>
        <v>guilty</v>
      </c>
      <c r="U469">
        <v>1</v>
      </c>
    </row>
    <row r="470" spans="15:21">
      <c r="O470" t="str">
        <v>criminal</v>
      </c>
      <c r="P470" t="str">
        <f t="shared" si="7"/>
        <v>criminal</v>
      </c>
      <c r="U470" t="s">
        <v>1135</v>
      </c>
    </row>
    <row r="471" spans="15:21">
      <c r="O471" t="str">
        <v xml:space="preserve"> af</v>
      </c>
      <c r="P471" t="str">
        <f t="shared" si="7"/>
        <v>af</v>
      </c>
      <c r="U471" t="s">
        <v>1135</v>
      </c>
    </row>
    <row r="472" spans="15:21">
      <c r="O472" t="str">
        <v xml:space="preserve"> AFP</v>
      </c>
      <c r="P472" t="str">
        <f t="shared" si="7"/>
        <v>AFP</v>
      </c>
      <c r="U472" t="s">
        <v>1135</v>
      </c>
    </row>
    <row r="473" spans="15:21">
      <c r="O473" t="str">
        <v xml:space="preserve"> arrested</v>
      </c>
      <c r="P473" t="str">
        <f t="shared" si="7"/>
        <v>arrested</v>
      </c>
      <c r="U473" t="s">
        <v>1135</v>
      </c>
    </row>
    <row r="474" spans="15:21">
      <c r="O474" t="str">
        <v>australia</v>
      </c>
      <c r="P474" t="str">
        <f t="shared" si="7"/>
        <v>australia</v>
      </c>
      <c r="U474" t="s">
        <v>1135</v>
      </c>
    </row>
    <row r="475" spans="15:21">
      <c r="O475" t="str">
        <v xml:space="preserve"> af</v>
      </c>
      <c r="P475" t="str">
        <f t="shared" si="7"/>
        <v>af</v>
      </c>
      <c r="U475" t="s">
        <v>1135</v>
      </c>
    </row>
    <row r="476" spans="15:21">
      <c r="O476" t="str">
        <v xml:space="preserve"> AFP</v>
      </c>
      <c r="P476" t="str">
        <f t="shared" si="7"/>
        <v>AFP</v>
      </c>
      <c r="U476" t="s">
        <v>1135</v>
      </c>
    </row>
    <row r="477" spans="15:21">
      <c r="O477" t="str">
        <v>drug smuggler</v>
      </c>
      <c r="P477" t="str">
        <f t="shared" si="7"/>
        <v>drug smuggler</v>
      </c>
      <c r="U477" t="s">
        <v>1135</v>
      </c>
    </row>
    <row r="478" spans="15:21">
      <c r="O478" t="str">
        <v>guilty</v>
      </c>
      <c r="P478" t="str">
        <f t="shared" si="7"/>
        <v>guilty</v>
      </c>
      <c r="U478" t="s">
        <v>1135</v>
      </c>
    </row>
    <row r="479" spans="15:21">
      <c r="O479" t="str">
        <v>guilty</v>
      </c>
      <c r="P479" t="str">
        <f t="shared" si="7"/>
        <v>guilty</v>
      </c>
      <c r="U479">
        <v>1</v>
      </c>
    </row>
    <row r="480" spans="15:21">
      <c r="O480" t="str">
        <v>australian</v>
      </c>
      <c r="P480" t="str">
        <f t="shared" si="7"/>
        <v>australian</v>
      </c>
      <c r="U480">
        <v>1</v>
      </c>
    </row>
    <row r="481" spans="15:21">
      <c r="O481" t="str">
        <v xml:space="preserve"> australia</v>
      </c>
      <c r="P481" t="str">
        <f t="shared" si="7"/>
        <v>australia</v>
      </c>
      <c r="U481" t="s">
        <v>1135</v>
      </c>
    </row>
    <row r="482" spans="15:21">
      <c r="O482" t="str">
        <v>bogan</v>
      </c>
      <c r="P482" t="str">
        <f t="shared" si="7"/>
        <v>bogan</v>
      </c>
      <c r="U482" t="s">
        <v>1135</v>
      </c>
    </row>
    <row r="483" spans="15:21">
      <c r="O483" t="str">
        <v>innocent</v>
      </c>
      <c r="P483" t="str">
        <f t="shared" si="7"/>
        <v>innocent</v>
      </c>
      <c r="U483" t="s">
        <v>1135</v>
      </c>
    </row>
    <row r="484" spans="15:21">
      <c r="O484" t="str">
        <v>guilty</v>
      </c>
      <c r="P484" t="str">
        <f t="shared" si="7"/>
        <v>guilty</v>
      </c>
      <c r="U484" t="s">
        <v>1135</v>
      </c>
    </row>
    <row r="485" spans="15:21">
      <c r="O485" t="str">
        <v xml:space="preserve"> arrested</v>
      </c>
      <c r="P485" t="str">
        <f t="shared" si="7"/>
        <v>arrested</v>
      </c>
      <c r="U485">
        <v>5</v>
      </c>
    </row>
    <row r="486" spans="15:21">
      <c r="O486" t="str">
        <v>drugs</v>
      </c>
      <c r="P486" t="str">
        <f t="shared" si="7"/>
        <v>drugs</v>
      </c>
      <c r="U486">
        <v>11</v>
      </c>
    </row>
    <row r="487" spans="15:21">
      <c r="O487" t="str">
        <v>australian</v>
      </c>
      <c r="P487" t="str">
        <f t="shared" si="7"/>
        <v>australian</v>
      </c>
      <c r="U487">
        <v>8</v>
      </c>
    </row>
    <row r="488" spans="15:21">
      <c r="O488" t="str">
        <v xml:space="preserve"> australia</v>
      </c>
      <c r="P488" t="str">
        <f t="shared" si="7"/>
        <v>australia</v>
      </c>
      <c r="U488">
        <v>4</v>
      </c>
    </row>
    <row r="489" spans="15:21">
      <c r="O489" t="str">
        <v>schapelle corby</v>
      </c>
      <c r="P489" t="str">
        <f t="shared" si="7"/>
        <v>schapelle corby</v>
      </c>
      <c r="U489">
        <v>8</v>
      </c>
    </row>
    <row r="490" spans="15:21">
      <c r="O490" t="str">
        <v xml:space="preserve"> corby</v>
      </c>
      <c r="P490" t="str">
        <f t="shared" si="7"/>
        <v>corby</v>
      </c>
      <c r="U490">
        <v>7</v>
      </c>
    </row>
    <row r="491" spans="15:21">
      <c r="O491" t="str">
        <v>convicted drug smuggler</v>
      </c>
      <c r="P491" t="str">
        <f t="shared" si="7"/>
        <v>convicted drug smuggler</v>
      </c>
      <c r="U491" t="s">
        <v>1135</v>
      </c>
    </row>
    <row r="492" spans="15:21">
      <c r="O492" t="str">
        <v xml:space="preserve"> drug smuggler</v>
      </c>
      <c r="P492" t="str">
        <f t="shared" si="7"/>
        <v>drug smuggler</v>
      </c>
      <c r="U492">
        <v>4</v>
      </c>
    </row>
    <row r="493" spans="15:21">
      <c r="O493" t="str">
        <v xml:space="preserve"> convicted</v>
      </c>
      <c r="P493" t="str">
        <f t="shared" si="7"/>
        <v>convicted</v>
      </c>
      <c r="U493">
        <v>13</v>
      </c>
    </row>
    <row r="494" spans="15:21">
      <c r="O494" t="str">
        <v>jail</v>
      </c>
      <c r="P494" t="str">
        <f t="shared" si="7"/>
        <v>jail</v>
      </c>
      <c r="U494">
        <v>7</v>
      </c>
    </row>
    <row r="495" spans="15:21">
      <c r="O495" t="str">
        <v xml:space="preserve"> bogan</v>
      </c>
      <c r="P495" t="str">
        <f t="shared" si="7"/>
        <v>bogan</v>
      </c>
      <c r="U495">
        <v>8</v>
      </c>
    </row>
    <row r="496" spans="15:21">
      <c r="O496" t="str">
        <v xml:space="preserve"> trash </v>
      </c>
      <c r="P496" t="str">
        <f t="shared" si="7"/>
        <v>trash</v>
      </c>
      <c r="U496">
        <v>7</v>
      </c>
    </row>
    <row r="497" spans="15:21">
      <c r="O497" t="str">
        <v>australia</v>
      </c>
      <c r="P497" t="str">
        <f t="shared" si="7"/>
        <v>australia</v>
      </c>
      <c r="U497">
        <v>8</v>
      </c>
    </row>
    <row r="498" spans="15:21">
      <c r="O498" t="str">
        <v xml:space="preserve"> bitch</v>
      </c>
      <c r="P498" t="str">
        <f t="shared" si="7"/>
        <v>bitch</v>
      </c>
    </row>
    <row r="499" spans="15:21">
      <c r="O499" t="str">
        <v xml:space="preserve"> innocent</v>
      </c>
      <c r="P499" t="str">
        <f t="shared" si="7"/>
        <v>innocent</v>
      </c>
    </row>
    <row r="500" spans="15:21">
      <c r="O500" t="str">
        <v>australia</v>
      </c>
      <c r="P500" t="str">
        <f t="shared" si="7"/>
        <v>australia</v>
      </c>
    </row>
    <row r="501" spans="15:21">
      <c r="O501" t="str">
        <v xml:space="preserve"> drugs</v>
      </c>
      <c r="P501" t="str">
        <f t="shared" si="7"/>
        <v>drugs</v>
      </c>
    </row>
    <row r="502" spans="15:21">
      <c r="O502" t="str">
        <v xml:space="preserve"> narcotics</v>
      </c>
      <c r="P502" t="str">
        <f t="shared" si="7"/>
        <v>narcotics</v>
      </c>
    </row>
    <row r="503" spans="15:21">
      <c r="O503" t="str">
        <v xml:space="preserve"> guilty</v>
      </c>
      <c r="P503" t="str">
        <f t="shared" si="7"/>
        <v>guilty</v>
      </c>
    </row>
    <row r="504" spans="15:21">
      <c r="O504" t="str">
        <v xml:space="preserve"> served</v>
      </c>
      <c r="P504" t="str">
        <f t="shared" si="7"/>
        <v>served</v>
      </c>
    </row>
    <row r="505" spans="15:21">
      <c r="O505" t="str">
        <v xml:space="preserve"> sentence </v>
      </c>
      <c r="P505" t="str">
        <f t="shared" si="7"/>
        <v>sentence</v>
      </c>
    </row>
    <row r="506" spans="15:21">
      <c r="O506" t="str">
        <v xml:space="preserve"> import</v>
      </c>
      <c r="P506" t="str">
        <f t="shared" si="7"/>
        <v>import</v>
      </c>
    </row>
    <row r="507" spans="15:21">
      <c r="O507" t="str">
        <v>cannabis</v>
      </c>
      <c r="P507" t="str">
        <f t="shared" si="7"/>
        <v>cannabis</v>
      </c>
    </row>
    <row r="508" spans="15:21">
      <c r="O508" t="str">
        <v xml:space="preserve"> cannabis</v>
      </c>
      <c r="P508" t="str">
        <f t="shared" si="7"/>
        <v>cannabis</v>
      </c>
    </row>
    <row r="509" spans="15:21">
      <c r="O509" t="str">
        <v>drugs</v>
      </c>
      <c r="P509" t="str">
        <f t="shared" si="7"/>
        <v>drugs</v>
      </c>
    </row>
    <row r="510" spans="15:21">
      <c r="O510" t="str">
        <v xml:space="preserve"> narcotics</v>
      </c>
      <c r="P510" t="str">
        <f t="shared" si="7"/>
        <v>narcotics</v>
      </c>
    </row>
    <row r="511" spans="15:21">
      <c r="O511" t="str">
        <v>schapelle corby</v>
      </c>
      <c r="P511" t="str">
        <f t="shared" si="7"/>
        <v>schapelle corby</v>
      </c>
    </row>
    <row r="512" spans="15:21">
      <c r="O512" t="str">
        <v xml:space="preserve"> australian</v>
      </c>
      <c r="P512" t="str">
        <f t="shared" si="7"/>
        <v>australian</v>
      </c>
    </row>
    <row r="513" spans="15:16">
      <c r="O513" t="str">
        <v xml:space="preserve"> australia</v>
      </c>
      <c r="P513" t="str">
        <f t="shared" si="7"/>
        <v>australia</v>
      </c>
    </row>
    <row r="514" spans="15:16">
      <c r="O514" t="str">
        <v xml:space="preserve"> drugs</v>
      </c>
      <c r="P514" t="str">
        <f t="shared" si="7"/>
        <v>drugs</v>
      </c>
    </row>
    <row r="515" spans="15:16">
      <c r="O515" t="str">
        <v xml:space="preserve"> corby</v>
      </c>
      <c r="P515" t="str">
        <f t="shared" ref="P515:P578" si="8">TRIM(O515)</f>
        <v>corby</v>
      </c>
    </row>
    <row r="516" spans="15:16">
      <c r="O516" t="str">
        <v xml:space="preserve"> guilty</v>
      </c>
      <c r="P516" t="str">
        <f t="shared" si="8"/>
        <v>guilty</v>
      </c>
    </row>
    <row r="517" spans="15:16">
      <c r="O517" t="str">
        <v xml:space="preserve"> innocent</v>
      </c>
      <c r="P517" t="str">
        <f t="shared" si="8"/>
        <v>innocent</v>
      </c>
    </row>
    <row r="518" spans="15:16">
      <c r="O518" t="str">
        <v>af</v>
      </c>
      <c r="P518" t="str">
        <f t="shared" si="8"/>
        <v>af</v>
      </c>
    </row>
    <row r="519" spans="15:16">
      <c r="O519" t="str">
        <v xml:space="preserve"> guilty</v>
      </c>
      <c r="P519" t="str">
        <f t="shared" si="8"/>
        <v>guilty</v>
      </c>
    </row>
    <row r="520" spans="15:16">
      <c r="O520" t="str">
        <v xml:space="preserve"> guilty af</v>
      </c>
      <c r="P520" t="str">
        <f t="shared" si="8"/>
        <v>guilty af</v>
      </c>
    </row>
    <row r="521" spans="15:16">
      <c r="O521" t="str">
        <v>dumb</v>
      </c>
      <c r="P521" t="str">
        <f t="shared" si="8"/>
        <v>dumb</v>
      </c>
    </row>
    <row r="522" spans="15:16">
      <c r="O522" t="str">
        <v xml:space="preserve"> bitch</v>
      </c>
      <c r="P522" t="str">
        <f t="shared" si="8"/>
        <v>bitch</v>
      </c>
    </row>
    <row r="523" spans="15:16">
      <c r="O523" t="str">
        <v xml:space="preserve"> served</v>
      </c>
      <c r="P523" t="str">
        <f t="shared" si="8"/>
        <v>served</v>
      </c>
    </row>
    <row r="524" spans="15:16">
      <c r="O524" t="str">
        <v>smuggling</v>
      </c>
      <c r="P524" t="str">
        <f t="shared" si="8"/>
        <v>smuggling</v>
      </c>
    </row>
    <row r="525" spans="15:16">
      <c r="O525" t="str">
        <v xml:space="preserve"> australia</v>
      </c>
      <c r="P525" t="str">
        <f t="shared" si="8"/>
        <v>australia</v>
      </c>
    </row>
    <row r="526" spans="15:16">
      <c r="O526" t="str">
        <v xml:space="preserve"> weed</v>
      </c>
      <c r="P526" t="str">
        <f t="shared" si="8"/>
        <v>weed</v>
      </c>
    </row>
    <row r="527" spans="15:16">
      <c r="O527" t="str">
        <v>australian</v>
      </c>
      <c r="P527" t="str">
        <f t="shared" si="8"/>
        <v>australian</v>
      </c>
    </row>
    <row r="528" spans="15:16">
      <c r="O528" t="str">
        <v xml:space="preserve"> australia</v>
      </c>
      <c r="P528" t="str">
        <f t="shared" si="8"/>
        <v>australia</v>
      </c>
    </row>
    <row r="529" spans="15:16">
      <c r="O529" t="str">
        <v>criminal</v>
      </c>
      <c r="P529" t="str">
        <f t="shared" si="8"/>
        <v>criminal</v>
      </c>
    </row>
    <row r="530" spans="15:16">
      <c r="O530" t="str">
        <v>drugs</v>
      </c>
      <c r="P530" t="str">
        <f t="shared" si="8"/>
        <v>drugs</v>
      </c>
    </row>
    <row r="531" spans="15:16">
      <c r="O531" t="str">
        <v xml:space="preserve"> father</v>
      </c>
      <c r="P531" t="str">
        <f t="shared" si="8"/>
        <v>father</v>
      </c>
    </row>
    <row r="532" spans="15:16">
      <c r="O532" t="str">
        <v>drugs</v>
      </c>
      <c r="P532" t="str">
        <f t="shared" si="8"/>
        <v>drugs</v>
      </c>
    </row>
    <row r="533" spans="15:16">
      <c r="O533" t="str">
        <v xml:space="preserve"> stupid</v>
      </c>
      <c r="P533" t="str">
        <f t="shared" si="8"/>
        <v>stupid</v>
      </c>
    </row>
    <row r="534" spans="15:16">
      <c r="O534" t="str">
        <v xml:space="preserve"> father</v>
      </c>
      <c r="P534" t="str">
        <f t="shared" si="8"/>
        <v>father</v>
      </c>
    </row>
    <row r="535" spans="15:16">
      <c r="O535" t="str">
        <v xml:space="preserve"> guilty</v>
      </c>
      <c r="P535" t="str">
        <f t="shared" si="8"/>
        <v>guilty</v>
      </c>
    </row>
    <row r="536" spans="15:16">
      <c r="O536" t="str">
        <v xml:space="preserve"> import</v>
      </c>
      <c r="P536" t="str">
        <f t="shared" si="8"/>
        <v>import</v>
      </c>
    </row>
    <row r="537" spans="15:16">
      <c r="O537" t="str">
        <v xml:space="preserve"> export</v>
      </c>
      <c r="P537" t="str">
        <f t="shared" si="8"/>
        <v>export</v>
      </c>
    </row>
    <row r="538" spans="15:16">
      <c r="O538" t="str">
        <v>idiot</v>
      </c>
      <c r="P538" t="str">
        <f t="shared" si="8"/>
        <v>idiot</v>
      </c>
    </row>
    <row r="539" spans="15:16">
      <c r="O539" t="str">
        <v xml:space="preserve"> guilty</v>
      </c>
      <c r="P539" t="str">
        <f t="shared" si="8"/>
        <v>guilty</v>
      </c>
    </row>
    <row r="540" spans="15:16">
      <c r="O540" t="str">
        <v>bogan</v>
      </c>
      <c r="P540" t="str">
        <f t="shared" si="8"/>
        <v>bogan</v>
      </c>
    </row>
    <row r="541" spans="15:16">
      <c r="O541" t="str">
        <v>bogan</v>
      </c>
      <c r="P541" t="str">
        <f t="shared" si="8"/>
        <v>bogan</v>
      </c>
    </row>
    <row r="542" spans="15:16">
      <c r="O542" t="str">
        <v>idiot</v>
      </c>
      <c r="P542" t="str">
        <f t="shared" si="8"/>
        <v>idiot</v>
      </c>
    </row>
    <row r="543" spans="15:16">
      <c r="O543" t="str">
        <v xml:space="preserve"> guilty</v>
      </c>
      <c r="P543" t="str">
        <f t="shared" si="8"/>
        <v>guilty</v>
      </c>
    </row>
    <row r="544" spans="15:16">
      <c r="O544" t="str">
        <v>australia</v>
      </c>
      <c r="P544" t="str">
        <f t="shared" si="8"/>
        <v>australia</v>
      </c>
    </row>
    <row r="545" spans="15:16">
      <c r="O545" t="str">
        <v xml:space="preserve"> corby</v>
      </c>
      <c r="P545" t="str">
        <f t="shared" si="8"/>
        <v>corby</v>
      </c>
    </row>
    <row r="546" spans="15:16">
      <c r="O546" t="str">
        <v>guilty</v>
      </c>
      <c r="P546" t="str">
        <f t="shared" si="8"/>
        <v>guilty</v>
      </c>
    </row>
    <row r="547" spans="15:16">
      <c r="O547" t="str">
        <v>australian</v>
      </c>
      <c r="P547" t="str">
        <f t="shared" si="8"/>
        <v>australian</v>
      </c>
    </row>
    <row r="548" spans="15:16">
      <c r="O548" t="str">
        <v xml:space="preserve"> australia</v>
      </c>
      <c r="P548" t="str">
        <f t="shared" si="8"/>
        <v>australia</v>
      </c>
    </row>
    <row r="549" spans="15:16">
      <c r="O549" t="str">
        <v xml:space="preserve"> criminal</v>
      </c>
      <c r="P549" t="str">
        <f t="shared" si="8"/>
        <v>criminal</v>
      </c>
    </row>
    <row r="550" spans="15:16">
      <c r="O550" t="str">
        <v>australian</v>
      </c>
      <c r="P550" t="str">
        <f t="shared" si="8"/>
        <v>australian</v>
      </c>
    </row>
    <row r="551" spans="15:16">
      <c r="O551" t="str">
        <v xml:space="preserve"> australia</v>
      </c>
      <c r="P551" t="str">
        <f t="shared" si="8"/>
        <v>australia</v>
      </c>
    </row>
    <row r="552" spans="15:16">
      <c r="O552" t="str">
        <v xml:space="preserve"> criminal</v>
      </c>
      <c r="P552" t="str">
        <f t="shared" si="8"/>
        <v>criminal</v>
      </c>
    </row>
    <row r="553" spans="15:16">
      <c r="O553" t="str">
        <v>australia</v>
      </c>
      <c r="P553" t="str">
        <f t="shared" si="8"/>
        <v>australia</v>
      </c>
    </row>
    <row r="554" spans="15:16">
      <c r="O554" t="str">
        <v xml:space="preserve"> criminal</v>
      </c>
      <c r="P554" t="str">
        <f t="shared" si="8"/>
        <v>criminal</v>
      </c>
    </row>
    <row r="555" spans="15:16">
      <c r="O555" t="str">
        <v>australia</v>
      </c>
      <c r="P555" t="str">
        <f t="shared" si="8"/>
        <v>australia</v>
      </c>
    </row>
    <row r="556" spans="15:16">
      <c r="O556" t="str">
        <v>criminal</v>
      </c>
      <c r="P556" t="str">
        <f t="shared" si="8"/>
        <v>criminal</v>
      </c>
    </row>
    <row r="557" spans="15:16">
      <c r="O557" t="str">
        <v xml:space="preserve"> af</v>
      </c>
      <c r="P557" t="str">
        <f t="shared" si="8"/>
        <v>af</v>
      </c>
    </row>
    <row r="558" spans="15:16">
      <c r="O558" t="str">
        <v>australia</v>
      </c>
      <c r="P558" t="str">
        <f t="shared" si="8"/>
        <v>australia</v>
      </c>
    </row>
    <row r="559" spans="15:16">
      <c r="O559" t="str">
        <v xml:space="preserve"> bogan</v>
      </c>
      <c r="P559" t="str">
        <f t="shared" si="8"/>
        <v>bogan</v>
      </c>
    </row>
    <row r="560" spans="15:16">
      <c r="O560" t="str">
        <v>australian</v>
      </c>
      <c r="P560" t="str">
        <f t="shared" si="8"/>
        <v>australian</v>
      </c>
    </row>
    <row r="561" spans="15:16">
      <c r="O561" t="str">
        <v xml:space="preserve"> australia</v>
      </c>
      <c r="P561" t="str">
        <f t="shared" si="8"/>
        <v>australia</v>
      </c>
    </row>
    <row r="562" spans="15:16">
      <c r="O562" t="str">
        <v xml:space="preserve"> criminal</v>
      </c>
      <c r="P562" t="str">
        <f t="shared" si="8"/>
        <v>criminal</v>
      </c>
    </row>
    <row r="563" spans="15:16">
      <c r="O563" t="str">
        <v>criminal</v>
      </c>
      <c r="P563" t="str">
        <f t="shared" si="8"/>
        <v>criminal</v>
      </c>
    </row>
    <row r="564" spans="15:16">
      <c r="O564" t="str">
        <v xml:space="preserve">indonesia </v>
      </c>
      <c r="P564" t="str">
        <f t="shared" si="8"/>
        <v>indonesia</v>
      </c>
    </row>
    <row r="565" spans="15:16">
      <c r="O565" t="str">
        <v xml:space="preserve"> australia</v>
      </c>
      <c r="P565" t="str">
        <f t="shared" si="8"/>
        <v>australia</v>
      </c>
    </row>
    <row r="566" spans="15:16">
      <c r="O566" t="str">
        <v xml:space="preserve"> marijuana </v>
      </c>
      <c r="P566" t="str">
        <f t="shared" si="8"/>
        <v>marijuana</v>
      </c>
    </row>
    <row r="567" spans="15:16">
      <c r="O567" t="str">
        <v xml:space="preserve"> brother</v>
      </c>
      <c r="P567" t="str">
        <f t="shared" si="8"/>
        <v>brother</v>
      </c>
    </row>
    <row r="568" spans="15:16">
      <c r="O568" t="str">
        <v xml:space="preserve"> disgusting</v>
      </c>
      <c r="P568" t="str">
        <f t="shared" si="8"/>
        <v>disgusting</v>
      </c>
    </row>
    <row r="569" spans="15:16">
      <c r="O569" t="str">
        <v xml:space="preserve"> guilty</v>
      </c>
      <c r="P569" t="str">
        <f t="shared" si="8"/>
        <v>guilty</v>
      </c>
    </row>
    <row r="570" spans="15:16">
      <c r="O570" t="str">
        <v>sister</v>
      </c>
      <c r="P570" t="str">
        <f t="shared" si="8"/>
        <v>sister</v>
      </c>
    </row>
    <row r="571" spans="15:16">
      <c r="O571" t="str">
        <v>mercedes</v>
      </c>
      <c r="P571" t="str">
        <f t="shared" si="8"/>
        <v>mercedes</v>
      </c>
    </row>
    <row r="572" spans="15:16">
      <c r="O572" t="str">
        <v>sister</v>
      </c>
      <c r="P572" t="str">
        <f t="shared" si="8"/>
        <v>sister</v>
      </c>
    </row>
    <row r="573" spans="15:16">
      <c r="O573" t="str">
        <v xml:space="preserve"> mercedes</v>
      </c>
      <c r="P573" t="str">
        <f t="shared" si="8"/>
        <v>mercedes</v>
      </c>
    </row>
    <row r="574" spans="15:16">
      <c r="O574" t="str">
        <v xml:space="preserve"> bogan</v>
      </c>
      <c r="P574" t="str">
        <f t="shared" si="8"/>
        <v>bogan</v>
      </c>
    </row>
    <row r="575" spans="15:16">
      <c r="O575" t="str">
        <v>af</v>
      </c>
      <c r="P575" t="str">
        <f t="shared" si="8"/>
        <v>af</v>
      </c>
    </row>
    <row r="576" spans="15:16">
      <c r="O576" t="str">
        <v xml:space="preserve"> Mercedes Corby</v>
      </c>
      <c r="P576" t="str">
        <f t="shared" si="8"/>
        <v>Mercedes Corby</v>
      </c>
    </row>
    <row r="577" spans="15:16">
      <c r="O577" t="str">
        <v xml:space="preserve"> mercedes</v>
      </c>
      <c r="P577" t="str">
        <f t="shared" si="8"/>
        <v>mercedes</v>
      </c>
    </row>
    <row r="578" spans="15:16">
      <c r="O578" t="str">
        <v xml:space="preserve"> corby</v>
      </c>
      <c r="P578" t="str">
        <f t="shared" si="8"/>
        <v>corby</v>
      </c>
    </row>
    <row r="579" spans="15:16">
      <c r="O579" t="str">
        <v>af</v>
      </c>
      <c r="P579" t="str">
        <f t="shared" ref="P579:P642" si="9">TRIM(O579)</f>
        <v>af</v>
      </c>
    </row>
    <row r="580" spans="15:16">
      <c r="O580" t="str">
        <v xml:space="preserve"> mercedes</v>
      </c>
      <c r="P580" t="str">
        <f t="shared" si="9"/>
        <v>mercedes</v>
      </c>
    </row>
    <row r="581" spans="15:16">
      <c r="O581" t="str">
        <v xml:space="preserve"> bogan</v>
      </c>
      <c r="P581" t="str">
        <f t="shared" si="9"/>
        <v>bogan</v>
      </c>
    </row>
    <row r="582" spans="15:16">
      <c r="O582" t="str">
        <v>af</v>
      </c>
      <c r="P582" t="str">
        <f t="shared" si="9"/>
        <v>af</v>
      </c>
    </row>
    <row r="583" spans="15:16">
      <c r="O583" t="str">
        <v>mercedes</v>
      </c>
      <c r="P583" t="str">
        <f t="shared" si="9"/>
        <v>mercedes</v>
      </c>
    </row>
    <row r="584" spans="15:16">
      <c r="O584" t="str">
        <v xml:space="preserve"> sucks</v>
      </c>
      <c r="P584" t="str">
        <f t="shared" si="9"/>
        <v>sucks</v>
      </c>
    </row>
    <row r="585" spans="15:16">
      <c r="O585" t="str">
        <v>af</v>
      </c>
      <c r="P585" t="str">
        <f t="shared" si="9"/>
        <v>af</v>
      </c>
    </row>
    <row r="586" spans="15:16">
      <c r="O586" t="str">
        <v xml:space="preserve"> mercedes</v>
      </c>
      <c r="P586" t="str">
        <f t="shared" si="9"/>
        <v>mercedes</v>
      </c>
    </row>
    <row r="587" spans="15:16">
      <c r="O587" t="str">
        <v>af</v>
      </c>
      <c r="P587" t="str">
        <f t="shared" si="9"/>
        <v>af</v>
      </c>
    </row>
    <row r="588" spans="15:16">
      <c r="O588" t="str">
        <v xml:space="preserve"> mercedes</v>
      </c>
      <c r="P588" t="str">
        <f t="shared" si="9"/>
        <v>mercedes</v>
      </c>
    </row>
    <row r="589" spans="15:16">
      <c r="O589" t="str">
        <v>mercedes</v>
      </c>
      <c r="P589" t="str">
        <f t="shared" si="9"/>
        <v>mercedes</v>
      </c>
    </row>
    <row r="590" spans="15:16">
      <c r="O590" t="str">
        <v>mercedes</v>
      </c>
      <c r="P590" t="str">
        <f t="shared" si="9"/>
        <v>mercedes</v>
      </c>
    </row>
    <row r="591" spans="15:16">
      <c r="O591" t="str">
        <v>bogan</v>
      </c>
      <c r="P591" t="str">
        <f t="shared" si="9"/>
        <v>bogan</v>
      </c>
    </row>
    <row r="592" spans="15:16">
      <c r="O592" t="str">
        <v>guilty</v>
      </c>
      <c r="P592" t="str">
        <f t="shared" si="9"/>
        <v>guilty</v>
      </c>
    </row>
    <row r="593" spans="15:16">
      <c r="O593" t="str">
        <v xml:space="preserve"> charged</v>
      </c>
      <c r="P593" t="str">
        <f t="shared" si="9"/>
        <v>charged</v>
      </c>
    </row>
    <row r="594" spans="15:16">
      <c r="O594" t="str">
        <v>brother</v>
      </c>
      <c r="P594" t="str">
        <f t="shared" si="9"/>
        <v>brother</v>
      </c>
    </row>
    <row r="595" spans="15:16">
      <c r="O595" t="str">
        <v xml:space="preserve"> guilty</v>
      </c>
      <c r="P595" t="str">
        <f t="shared" si="9"/>
        <v>guilty</v>
      </c>
    </row>
    <row r="596" spans="15:16">
      <c r="O596" t="str">
        <v>sister</v>
      </c>
      <c r="P596" t="str">
        <f t="shared" si="9"/>
        <v>sister</v>
      </c>
    </row>
    <row r="597" spans="15:16">
      <c r="O597" t="str">
        <v xml:space="preserve"> bogan</v>
      </c>
      <c r="P597" t="str">
        <f t="shared" si="9"/>
        <v>bogan</v>
      </c>
    </row>
    <row r="598" spans="15:16">
      <c r="O598" t="str">
        <v>dumb</v>
      </c>
      <c r="P598" t="str">
        <f t="shared" si="9"/>
        <v>dumb</v>
      </c>
    </row>
    <row r="599" spans="15:16">
      <c r="O599" t="str">
        <v xml:space="preserve"> innocent</v>
      </c>
      <c r="P599" t="str">
        <f t="shared" si="9"/>
        <v>innocent</v>
      </c>
    </row>
    <row r="600" spans="15:16">
      <c r="O600" t="str">
        <v>australian</v>
      </c>
      <c r="P600" t="str">
        <f t="shared" si="9"/>
        <v>australian</v>
      </c>
    </row>
    <row r="601" spans="15:16">
      <c r="O601" t="str">
        <v xml:space="preserve"> australia</v>
      </c>
      <c r="P601" t="str">
        <f t="shared" si="9"/>
        <v>australia</v>
      </c>
    </row>
    <row r="602" spans="15:16">
      <c r="O602" t="str">
        <v xml:space="preserve"> criminal</v>
      </c>
      <c r="P602" t="str">
        <f t="shared" si="9"/>
        <v>criminal</v>
      </c>
    </row>
    <row r="603" spans="15:16">
      <c r="O603" t="str">
        <v xml:space="preserve"> brother</v>
      </c>
      <c r="P603" t="str">
        <f t="shared" si="9"/>
        <v>brother</v>
      </c>
    </row>
    <row r="604" spans="15:16">
      <c r="O604" t="str">
        <v xml:space="preserve"> Corrupt</v>
      </c>
      <c r="P604" t="str">
        <f t="shared" si="9"/>
        <v>Corrupt</v>
      </c>
    </row>
    <row r="605" spans="15:16">
      <c r="O605" t="str">
        <v xml:space="preserve"> guilty</v>
      </c>
      <c r="P605" t="str">
        <f t="shared" si="9"/>
        <v>guilty</v>
      </c>
    </row>
    <row r="606" spans="15:16">
      <c r="O606" t="str">
        <v xml:space="preserve"> served</v>
      </c>
      <c r="P606" t="str">
        <f t="shared" si="9"/>
        <v>served</v>
      </c>
    </row>
    <row r="607" spans="15:16">
      <c r="O607" t="str">
        <v xml:space="preserve"> sentence </v>
      </c>
      <c r="P607" t="str">
        <f t="shared" si="9"/>
        <v>sentence</v>
      </c>
    </row>
    <row r="608" spans="15:16">
      <c r="O608" t="str">
        <v>australian</v>
      </c>
      <c r="P608" t="str">
        <f t="shared" si="9"/>
        <v>australian</v>
      </c>
    </row>
    <row r="609" spans="15:16">
      <c r="O609" t="str">
        <v xml:space="preserve"> indonesia </v>
      </c>
      <c r="P609" t="str">
        <f t="shared" si="9"/>
        <v>indonesia</v>
      </c>
    </row>
    <row r="610" spans="15:16">
      <c r="O610" t="str">
        <v xml:space="preserve"> australia</v>
      </c>
      <c r="P610" t="str">
        <f t="shared" si="9"/>
        <v>australia</v>
      </c>
    </row>
    <row r="611" spans="15:16">
      <c r="O611" t="str">
        <v xml:space="preserve"> criminal</v>
      </c>
      <c r="P611" t="str">
        <f t="shared" si="9"/>
        <v>criminal</v>
      </c>
    </row>
    <row r="612" spans="15:16">
      <c r="O612" t="str">
        <v xml:space="preserve"> possession</v>
      </c>
      <c r="P612" t="str">
        <f t="shared" si="9"/>
        <v>possession</v>
      </c>
    </row>
    <row r="613" spans="15:16">
      <c r="O613" t="str">
        <v xml:space="preserve"> marijuana </v>
      </c>
      <c r="P613" t="str">
        <f t="shared" si="9"/>
        <v>marijuana</v>
      </c>
    </row>
    <row r="614" spans="15:16">
      <c r="O614" t="str">
        <v xml:space="preserve"> narcotics</v>
      </c>
      <c r="P614" t="str">
        <f t="shared" si="9"/>
        <v>narcotics</v>
      </c>
    </row>
    <row r="615" spans="15:16">
      <c r="O615" t="str">
        <v xml:space="preserve"> sentence </v>
      </c>
      <c r="P615" t="str">
        <f t="shared" si="9"/>
        <v>sentence</v>
      </c>
    </row>
    <row r="616" spans="15:16">
      <c r="O616" t="str">
        <v xml:space="preserve"> Indonesian law</v>
      </c>
      <c r="P616" t="str">
        <f t="shared" si="9"/>
        <v>Indonesian law</v>
      </c>
    </row>
    <row r="617" spans="15:16">
      <c r="O617" t="str">
        <v xml:space="preserve"> law </v>
      </c>
      <c r="P617" t="str">
        <f t="shared" si="9"/>
        <v>law</v>
      </c>
    </row>
    <row r="618" spans="15:16">
      <c r="O618" t="str">
        <v xml:space="preserve"> import</v>
      </c>
      <c r="P618" t="str">
        <f t="shared" si="9"/>
        <v>import</v>
      </c>
    </row>
    <row r="619" spans="15:16">
      <c r="O619" t="str">
        <v xml:space="preserve"> export</v>
      </c>
      <c r="P619" t="str">
        <f t="shared" si="9"/>
        <v>export</v>
      </c>
    </row>
    <row r="620" spans="15:16">
      <c r="O620" t="str">
        <v>corby</v>
      </c>
      <c r="P620" t="str">
        <f t="shared" si="9"/>
        <v>corby</v>
      </c>
    </row>
    <row r="621" spans="15:16">
      <c r="O621" t="str">
        <v>mercedes</v>
      </c>
      <c r="P621" t="str">
        <f t="shared" si="9"/>
        <v>mercedes</v>
      </c>
    </row>
    <row r="622" spans="15:16">
      <c r="O622" t="str">
        <v>bogan</v>
      </c>
      <c r="P622" t="str">
        <f t="shared" si="9"/>
        <v>bogan</v>
      </c>
    </row>
    <row r="623" spans="15:16">
      <c r="O623" t="str">
        <v>bogan</v>
      </c>
      <c r="P623" t="str">
        <f t="shared" si="9"/>
        <v>bogan</v>
      </c>
    </row>
    <row r="624" spans="15:16">
      <c r="O624" t="str">
        <v>sister</v>
      </c>
      <c r="P624" t="str">
        <f t="shared" si="9"/>
        <v>sister</v>
      </c>
    </row>
    <row r="625" spans="15:16">
      <c r="O625" t="str">
        <v>brother</v>
      </c>
      <c r="P625" t="str">
        <f t="shared" si="9"/>
        <v>brother</v>
      </c>
    </row>
    <row r="626" spans="15:16">
      <c r="O626" t="str">
        <v>australian</v>
      </c>
      <c r="P626" t="str">
        <f t="shared" si="9"/>
        <v>australian</v>
      </c>
    </row>
    <row r="627" spans="15:16">
      <c r="O627" t="str">
        <v xml:space="preserve"> australia</v>
      </c>
      <c r="P627" t="str">
        <f t="shared" si="9"/>
        <v>australia</v>
      </c>
    </row>
    <row r="628" spans="15:16">
      <c r="O628" t="str">
        <v xml:space="preserve"> af</v>
      </c>
      <c r="P628" t="str">
        <f t="shared" si="9"/>
        <v>af</v>
      </c>
    </row>
    <row r="629" spans="15:16">
      <c r="O629" t="str">
        <v>schapelle corby</v>
      </c>
      <c r="P629" t="str">
        <f t="shared" si="9"/>
        <v>schapelle corby</v>
      </c>
    </row>
    <row r="630" spans="15:16">
      <c r="O630" t="str">
        <v xml:space="preserve"> sister</v>
      </c>
      <c r="P630" t="str">
        <f t="shared" si="9"/>
        <v>sister</v>
      </c>
    </row>
    <row r="631" spans="15:16">
      <c r="O631" t="str">
        <v xml:space="preserve"> corby</v>
      </c>
      <c r="P631" t="str">
        <f t="shared" si="9"/>
        <v>corby</v>
      </c>
    </row>
    <row r="632" spans="15:16">
      <c r="O632" t="str">
        <v xml:space="preserve"> brother</v>
      </c>
      <c r="P632" t="str">
        <f t="shared" si="9"/>
        <v>brother</v>
      </c>
    </row>
    <row r="633" spans="15:16">
      <c r="O633" t="str">
        <v>whole family</v>
      </c>
      <c r="P633" t="str">
        <f t="shared" si="9"/>
        <v>whole family</v>
      </c>
    </row>
    <row r="634" spans="15:16">
      <c r="O634" t="str">
        <v xml:space="preserve"> trashy</v>
      </c>
      <c r="P634" t="str">
        <f t="shared" si="9"/>
        <v>trashy</v>
      </c>
    </row>
    <row r="635" spans="15:16">
      <c r="O635" t="str">
        <v xml:space="preserve"> guilty</v>
      </c>
      <c r="P635" t="str">
        <f t="shared" si="9"/>
        <v>guilty</v>
      </c>
    </row>
    <row r="636" spans="15:16">
      <c r="O636" t="str">
        <v>australia</v>
      </c>
      <c r="P636" t="str">
        <f t="shared" si="9"/>
        <v>australia</v>
      </c>
    </row>
    <row r="637" spans="15:16">
      <c r="O637" t="str">
        <v xml:space="preserve"> marijuana </v>
      </c>
      <c r="P637" t="str">
        <f t="shared" si="9"/>
        <v>marijuana</v>
      </c>
    </row>
    <row r="638" spans="15:16">
      <c r="O638" t="str">
        <v xml:space="preserve"> brother</v>
      </c>
      <c r="P638" t="str">
        <f t="shared" si="9"/>
        <v>brother</v>
      </c>
    </row>
    <row r="639" spans="15:16">
      <c r="O639" t="str">
        <v xml:space="preserve"> disgusting</v>
      </c>
      <c r="P639" t="str">
        <f t="shared" si="9"/>
        <v>disgusting</v>
      </c>
    </row>
    <row r="640" spans="15:16">
      <c r="O640" t="str">
        <v xml:space="preserve"> served</v>
      </c>
      <c r="P640" t="str">
        <f t="shared" si="9"/>
        <v>served</v>
      </c>
    </row>
    <row r="641" spans="15:16">
      <c r="O641" t="str">
        <v xml:space="preserve"> sentence </v>
      </c>
      <c r="P641" t="str">
        <f t="shared" si="9"/>
        <v>sentence</v>
      </c>
    </row>
    <row r="642" spans="15:16">
      <c r="O642" t="str">
        <v>af</v>
      </c>
      <c r="P642" t="str">
        <f t="shared" si="9"/>
        <v>af</v>
      </c>
    </row>
    <row r="643" spans="15:16">
      <c r="O643" t="str">
        <v xml:space="preserve"> disgusting</v>
      </c>
      <c r="P643" t="str">
        <f t="shared" ref="P643:P706" si="10">TRIM(O643)</f>
        <v>disgusting</v>
      </c>
    </row>
    <row r="644" spans="15:16">
      <c r="O644" t="str">
        <v xml:space="preserve"> served</v>
      </c>
      <c r="P644" t="str">
        <f t="shared" si="10"/>
        <v>served</v>
      </c>
    </row>
    <row r="645" spans="15:16">
      <c r="O645" t="str">
        <v xml:space="preserve"> charged</v>
      </c>
      <c r="P645" t="str">
        <f t="shared" si="10"/>
        <v>charged</v>
      </c>
    </row>
    <row r="646" spans="15:16">
      <c r="O646" t="str">
        <v>Mercedes Corby</v>
      </c>
      <c r="P646" t="str">
        <f t="shared" si="10"/>
        <v>Mercedes Corby</v>
      </c>
    </row>
    <row r="647" spans="15:16">
      <c r="O647" t="str">
        <v xml:space="preserve"> mercedes</v>
      </c>
      <c r="P647" t="str">
        <f t="shared" si="10"/>
        <v>mercedes</v>
      </c>
    </row>
    <row r="648" spans="15:16">
      <c r="O648" t="str">
        <v xml:space="preserve"> corby</v>
      </c>
      <c r="P648" t="str">
        <f t="shared" si="10"/>
        <v>corby</v>
      </c>
    </row>
    <row r="649" spans="15:16">
      <c r="O649" t="str">
        <v>guilty</v>
      </c>
      <c r="P649" t="str">
        <f t="shared" si="10"/>
        <v>guilty</v>
      </c>
    </row>
    <row r="650" spans="15:16">
      <c r="O650" t="str">
        <v>af</v>
      </c>
      <c r="P650" t="str">
        <f t="shared" si="10"/>
        <v>af</v>
      </c>
    </row>
    <row r="651" spans="15:16">
      <c r="O651" t="str">
        <v>trafficker</v>
      </c>
      <c r="P651" t="str">
        <f t="shared" si="10"/>
        <v>trafficker</v>
      </c>
    </row>
    <row r="652" spans="15:16">
      <c r="O652" t="str">
        <v xml:space="preserve"> af</v>
      </c>
      <c r="P652" t="str">
        <f t="shared" si="10"/>
        <v>af</v>
      </c>
    </row>
    <row r="653" spans="15:16">
      <c r="O653" t="str">
        <v>sister</v>
      </c>
      <c r="P653" t="str">
        <f t="shared" si="10"/>
        <v>sister</v>
      </c>
    </row>
    <row r="654" spans="15:16">
      <c r="O654" t="str">
        <v>whole family</v>
      </c>
      <c r="P654" t="str">
        <f t="shared" si="10"/>
        <v>whole family</v>
      </c>
    </row>
    <row r="655" spans="15:16">
      <c r="O655" t="str">
        <v xml:space="preserve"> guilty</v>
      </c>
      <c r="P655" t="str">
        <f t="shared" si="10"/>
        <v>guilty</v>
      </c>
    </row>
    <row r="656" spans="15:16">
      <c r="O656" t="str">
        <v>weed</v>
      </c>
      <c r="P656" t="str">
        <f t="shared" si="10"/>
        <v>weed</v>
      </c>
    </row>
    <row r="657" spans="15:16">
      <c r="O657" t="str">
        <v xml:space="preserve"> brother</v>
      </c>
      <c r="P657" t="str">
        <f t="shared" si="10"/>
        <v>brother</v>
      </c>
    </row>
    <row r="658" spans="15:16">
      <c r="O658" t="str">
        <v>drug dealers</v>
      </c>
      <c r="P658" t="str">
        <f t="shared" si="10"/>
        <v>drug dealers</v>
      </c>
    </row>
    <row r="659" spans="15:16">
      <c r="O659" t="str">
        <v xml:space="preserve"> whole family</v>
      </c>
      <c r="P659" t="str">
        <f t="shared" si="10"/>
        <v>whole family</v>
      </c>
    </row>
    <row r="660" spans="15:16">
      <c r="O660" t="str">
        <v xml:space="preserve">marijuana </v>
      </c>
      <c r="P660" t="str">
        <f t="shared" si="10"/>
        <v>marijuana</v>
      </c>
    </row>
    <row r="661" spans="15:16">
      <c r="O661" t="str">
        <v xml:space="preserve"> brother</v>
      </c>
      <c r="P661" t="str">
        <f t="shared" si="10"/>
        <v>brother</v>
      </c>
    </row>
    <row r="662" spans="15:16">
      <c r="O662" t="str">
        <v xml:space="preserve"> father</v>
      </c>
      <c r="P662" t="str">
        <f t="shared" si="10"/>
        <v>father</v>
      </c>
    </row>
    <row r="663" spans="15:16">
      <c r="O663" t="str">
        <v xml:space="preserve"> feral</v>
      </c>
      <c r="P663" t="str">
        <f t="shared" si="10"/>
        <v>feral</v>
      </c>
    </row>
    <row r="664" spans="15:16">
      <c r="O664" t="str">
        <v>drugs</v>
      </c>
      <c r="P664" t="str">
        <f t="shared" si="10"/>
        <v>drugs</v>
      </c>
    </row>
    <row r="665" spans="15:16">
      <c r="O665" t="str">
        <v xml:space="preserve"> sister</v>
      </c>
      <c r="P665" t="str">
        <f t="shared" si="10"/>
        <v>sister</v>
      </c>
    </row>
    <row r="666" spans="15:16">
      <c r="O666" t="str">
        <v xml:space="preserve"> bogan</v>
      </c>
      <c r="P666" t="str">
        <f t="shared" si="10"/>
        <v>bogan</v>
      </c>
    </row>
    <row r="667" spans="15:16">
      <c r="O667" t="str">
        <v xml:space="preserve"> parole</v>
      </c>
      <c r="P667" t="str">
        <f t="shared" si="10"/>
        <v>parole</v>
      </c>
    </row>
    <row r="668" spans="15:16">
      <c r="O668" t="str">
        <v>convicted drug smuggler</v>
      </c>
      <c r="P668" t="str">
        <f t="shared" si="10"/>
        <v>convicted drug smuggler</v>
      </c>
    </row>
    <row r="669" spans="15:16">
      <c r="O669" t="str">
        <v xml:space="preserve"> drug smuggler</v>
      </c>
      <c r="P669" t="str">
        <f t="shared" si="10"/>
        <v>drug smuggler</v>
      </c>
    </row>
    <row r="670" spans="15:16">
      <c r="O670" t="str">
        <v xml:space="preserve"> af</v>
      </c>
      <c r="P670" t="str">
        <f t="shared" si="10"/>
        <v>af</v>
      </c>
    </row>
    <row r="671" spans="15:16">
      <c r="O671" t="str">
        <v xml:space="preserve"> convicted</v>
      </c>
      <c r="P671" t="str">
        <f t="shared" si="10"/>
        <v>convicted</v>
      </c>
    </row>
    <row r="672" spans="15:16">
      <c r="O672" t="str">
        <v>bogan</v>
      </c>
      <c r="P672" t="str">
        <f t="shared" si="10"/>
        <v>bogan</v>
      </c>
    </row>
    <row r="673" spans="15:16">
      <c r="O673" t="str">
        <v>corby</v>
      </c>
      <c r="P673" t="str">
        <f t="shared" si="10"/>
        <v>corby</v>
      </c>
    </row>
    <row r="674" spans="15:16">
      <c r="O674" t="str">
        <v xml:space="preserve"> law </v>
      </c>
      <c r="P674" t="str">
        <f t="shared" si="10"/>
        <v>law</v>
      </c>
    </row>
    <row r="675" spans="15:16">
      <c r="O675" t="str">
        <v>bogan</v>
      </c>
      <c r="P675" t="str">
        <f t="shared" si="10"/>
        <v>bogan</v>
      </c>
    </row>
    <row r="676" spans="15:16">
      <c r="O676" t="str">
        <v>bogan</v>
      </c>
      <c r="P676" t="str">
        <f t="shared" si="10"/>
        <v>bogan</v>
      </c>
    </row>
    <row r="677" spans="15:16">
      <c r="O677" t="str">
        <v xml:space="preserve"> redneck</v>
      </c>
      <c r="P677" t="str">
        <f t="shared" si="10"/>
        <v>redneck</v>
      </c>
    </row>
    <row r="678" spans="15:16">
      <c r="O678" t="str">
        <v>mercedes</v>
      </c>
      <c r="P678" t="str">
        <f t="shared" si="10"/>
        <v>mercedes</v>
      </c>
    </row>
    <row r="679" spans="15:16">
      <c r="O679" t="str">
        <v>Mercedes Corby</v>
      </c>
      <c r="P679" t="str">
        <f t="shared" si="10"/>
        <v>Mercedes Corby</v>
      </c>
    </row>
    <row r="680" spans="15:16">
      <c r="O680" t="str">
        <v xml:space="preserve"> mercedes</v>
      </c>
      <c r="P680" t="str">
        <f t="shared" si="10"/>
        <v>mercedes</v>
      </c>
    </row>
    <row r="681" spans="15:16">
      <c r="O681" t="str">
        <v xml:space="preserve"> corby</v>
      </c>
      <c r="P681" t="str">
        <f t="shared" si="10"/>
        <v>corby</v>
      </c>
    </row>
    <row r="682" spans="15:16">
      <c r="O682" t="str">
        <v>af</v>
      </c>
      <c r="P682" t="str">
        <f t="shared" si="10"/>
        <v>af</v>
      </c>
    </row>
    <row r="683" spans="15:16">
      <c r="O683" t="str">
        <v xml:space="preserve"> Corrupt</v>
      </c>
      <c r="P683" t="str">
        <f t="shared" si="10"/>
        <v>Corrupt</v>
      </c>
    </row>
    <row r="684" spans="15:16">
      <c r="O684" t="str">
        <v>set up</v>
      </c>
      <c r="P684" t="str">
        <f t="shared" si="10"/>
        <v>set up</v>
      </c>
    </row>
    <row r="685" spans="15:16">
      <c r="O685" t="str">
        <v>smuggling</v>
      </c>
      <c r="P685" t="str">
        <f t="shared" si="10"/>
        <v>smuggling</v>
      </c>
    </row>
    <row r="686" spans="15:16">
      <c r="O686" t="str">
        <v xml:space="preserve"> weed</v>
      </c>
      <c r="P686" t="str">
        <f t="shared" si="10"/>
        <v>weed</v>
      </c>
    </row>
    <row r="687" spans="15:16">
      <c r="O687" t="str">
        <v xml:space="preserve"> moron</v>
      </c>
      <c r="P687" t="str">
        <f t="shared" si="10"/>
        <v>moron</v>
      </c>
    </row>
    <row r="688" spans="15:16">
      <c r="O688" t="str">
        <v xml:space="preserve"> served</v>
      </c>
      <c r="P688" t="str">
        <f t="shared" si="10"/>
        <v>served</v>
      </c>
    </row>
    <row r="689" spans="15:16">
      <c r="O689" t="str">
        <v>smuggling</v>
      </c>
      <c r="P689" t="str">
        <f t="shared" si="10"/>
        <v>smuggling</v>
      </c>
    </row>
    <row r="690" spans="15:16">
      <c r="O690" t="str">
        <v xml:space="preserve"> drugs</v>
      </c>
      <c r="P690" t="str">
        <f t="shared" si="10"/>
        <v>drugs</v>
      </c>
    </row>
    <row r="691" spans="15:16">
      <c r="O691" t="str">
        <v xml:space="preserve"> stupid</v>
      </c>
      <c r="P691" t="str">
        <f t="shared" si="10"/>
        <v>stupid</v>
      </c>
    </row>
    <row r="692" spans="15:16">
      <c r="O692" t="str">
        <v>dumb</v>
      </c>
      <c r="P692" t="str">
        <f t="shared" si="10"/>
        <v>dumb</v>
      </c>
    </row>
    <row r="693" spans="15:16">
      <c r="O693" t="str">
        <v>drugs</v>
      </c>
      <c r="P693" t="str">
        <f t="shared" si="10"/>
        <v>drugs</v>
      </c>
    </row>
    <row r="694" spans="15:16">
      <c r="O694" t="str">
        <v>criminal</v>
      </c>
      <c r="P694" t="str">
        <f t="shared" si="10"/>
        <v>criminal</v>
      </c>
    </row>
    <row r="695" spans="15:16">
      <c r="O695" t="str">
        <v>proof</v>
      </c>
      <c r="P695" t="str">
        <f t="shared" si="10"/>
        <v>proof</v>
      </c>
    </row>
    <row r="696" spans="15:16">
      <c r="O696" t="str">
        <v>trafficker</v>
      </c>
      <c r="P696" t="str">
        <f t="shared" si="10"/>
        <v>trafficker</v>
      </c>
    </row>
    <row r="697" spans="15:16">
      <c r="O697" t="str">
        <v xml:space="preserve"> af</v>
      </c>
      <c r="P697" t="str">
        <f t="shared" si="10"/>
        <v>af</v>
      </c>
    </row>
    <row r="698" spans="15:16">
      <c r="O698" t="str">
        <v xml:space="preserve"> AFP</v>
      </c>
      <c r="P698" t="str">
        <f t="shared" si="10"/>
        <v>AFP</v>
      </c>
    </row>
    <row r="699" spans="15:16">
      <c r="O699" t="str">
        <v>af</v>
      </c>
      <c r="P699" t="str">
        <f t="shared" si="10"/>
        <v>af</v>
      </c>
    </row>
    <row r="700" spans="15:16">
      <c r="O700" t="str">
        <v xml:space="preserve"> AFP</v>
      </c>
      <c r="P700" t="str">
        <f t="shared" si="10"/>
        <v>AFP</v>
      </c>
    </row>
    <row r="701" spans="15:16">
      <c r="O701" t="str">
        <v xml:space="preserve"> arrested</v>
      </c>
      <c r="P701" t="str">
        <f t="shared" si="10"/>
        <v>arrested</v>
      </c>
    </row>
    <row r="702" spans="15:16">
      <c r="O702" t="str">
        <v>australian</v>
      </c>
      <c r="P702" t="str">
        <f t="shared" si="10"/>
        <v>australian</v>
      </c>
    </row>
    <row r="703" spans="15:16">
      <c r="O703" t="str">
        <v xml:space="preserve"> australia</v>
      </c>
      <c r="P703" t="str">
        <f t="shared" si="10"/>
        <v>australia</v>
      </c>
    </row>
    <row r="704" spans="15:16">
      <c r="O704" t="str">
        <v xml:space="preserve"> af</v>
      </c>
      <c r="P704" t="str">
        <f t="shared" si="10"/>
        <v>af</v>
      </c>
    </row>
    <row r="705" spans="15:16">
      <c r="O705" t="str">
        <v xml:space="preserve"> AFP</v>
      </c>
      <c r="P705" t="str">
        <f t="shared" si="10"/>
        <v>AFP</v>
      </c>
    </row>
    <row r="706" spans="15:16">
      <c r="O706" t="str">
        <v xml:space="preserve"> law </v>
      </c>
      <c r="P706" t="str">
        <f t="shared" si="10"/>
        <v>law</v>
      </c>
    </row>
    <row r="707" spans="15:16">
      <c r="O707" t="str">
        <v>australian</v>
      </c>
      <c r="P707" t="str">
        <f t="shared" ref="P707:P770" si="11">TRIM(O707)</f>
        <v>australian</v>
      </c>
    </row>
    <row r="708" spans="15:16">
      <c r="O708" t="str">
        <v xml:space="preserve"> australia</v>
      </c>
      <c r="P708" t="str">
        <f t="shared" si="11"/>
        <v>australia</v>
      </c>
    </row>
    <row r="709" spans="15:16">
      <c r="O709" t="str">
        <v xml:space="preserve"> criminal</v>
      </c>
      <c r="P709" t="str">
        <f t="shared" si="11"/>
        <v>criminal</v>
      </c>
    </row>
    <row r="710" spans="15:16">
      <c r="O710" t="str">
        <v xml:space="preserve"> law </v>
      </c>
      <c r="P710" t="str">
        <f t="shared" si="11"/>
        <v>law</v>
      </c>
    </row>
    <row r="711" spans="15:16">
      <c r="O711" t="str">
        <v xml:space="preserve"> import</v>
      </c>
      <c r="P711" t="str">
        <f t="shared" si="11"/>
        <v>import</v>
      </c>
    </row>
    <row r="712" spans="15:16">
      <c r="O712" t="str">
        <v>idiot</v>
      </c>
      <c r="P712" t="str">
        <f t="shared" si="11"/>
        <v>idiot</v>
      </c>
    </row>
    <row r="713" spans="15:16">
      <c r="O713" t="str">
        <v>idiot</v>
      </c>
      <c r="P713" t="str">
        <f t="shared" si="11"/>
        <v>idiot</v>
      </c>
    </row>
    <row r="714" spans="15:16">
      <c r="O714" t="str">
        <v xml:space="preserve"> idiots</v>
      </c>
      <c r="P714" t="str">
        <f t="shared" si="11"/>
        <v>idiots</v>
      </c>
    </row>
    <row r="715" spans="15:16">
      <c r="O715" t="str">
        <v>af</v>
      </c>
      <c r="P715" t="str">
        <f t="shared" si="11"/>
        <v>af</v>
      </c>
    </row>
    <row r="716" spans="15:16">
      <c r="O716" t="str">
        <v xml:space="preserve"> AFP</v>
      </c>
      <c r="P716" t="str">
        <f t="shared" si="11"/>
        <v>AFP</v>
      </c>
    </row>
    <row r="717" spans="15:16">
      <c r="O717" t="str">
        <v>af</v>
      </c>
      <c r="P717" t="str">
        <f t="shared" si="11"/>
        <v>af</v>
      </c>
    </row>
    <row r="718" spans="15:16">
      <c r="O718" t="str">
        <v xml:space="preserve"> AFP</v>
      </c>
      <c r="P718" t="str">
        <f t="shared" si="11"/>
        <v>AFP</v>
      </c>
    </row>
    <row r="719" spans="15:16">
      <c r="O719" t="str">
        <v>af</v>
      </c>
      <c r="P719" t="str">
        <f t="shared" si="11"/>
        <v>af</v>
      </c>
    </row>
    <row r="720" spans="15:16">
      <c r="O720" t="str">
        <v>australia</v>
      </c>
      <c r="P720" t="str">
        <f t="shared" si="11"/>
        <v>australia</v>
      </c>
    </row>
    <row r="721" spans="15:16">
      <c r="O721" t="str">
        <v xml:space="preserve"> drugs</v>
      </c>
      <c r="P721" t="str">
        <f t="shared" si="11"/>
        <v>drugs</v>
      </c>
    </row>
    <row r="722" spans="15:16">
      <c r="O722" t="str">
        <v xml:space="preserve"> corby</v>
      </c>
      <c r="P722" t="str">
        <f t="shared" si="11"/>
        <v>corby</v>
      </c>
    </row>
    <row r="723" spans="15:16">
      <c r="O723" t="str">
        <v>media circus</v>
      </c>
      <c r="P723" t="str">
        <f t="shared" si="11"/>
        <v>media circus</v>
      </c>
    </row>
    <row r="724" spans="15:16">
      <c r="O724" t="str">
        <v xml:space="preserve"> australia</v>
      </c>
      <c r="P724" t="str">
        <f t="shared" si="11"/>
        <v>australia</v>
      </c>
    </row>
    <row r="725" spans="15:16">
      <c r="O725" t="str">
        <v>boogie board</v>
      </c>
      <c r="P725" t="str">
        <f t="shared" si="11"/>
        <v>boogie board</v>
      </c>
    </row>
    <row r="726" spans="15:16">
      <c r="O726" t="str">
        <v xml:space="preserve"> drugs</v>
      </c>
      <c r="P726" t="str">
        <f t="shared" si="11"/>
        <v>drugs</v>
      </c>
    </row>
    <row r="727" spans="15:16">
      <c r="O727" t="str">
        <v xml:space="preserve"> bribed</v>
      </c>
      <c r="P727" t="str">
        <f t="shared" si="11"/>
        <v>bribed</v>
      </c>
    </row>
    <row r="728" spans="15:16">
      <c r="O728" t="str">
        <v xml:space="preserve"> bribe </v>
      </c>
      <c r="P728" t="str">
        <f t="shared" si="11"/>
        <v>bribe</v>
      </c>
    </row>
    <row r="729" spans="15:16">
      <c r="O729" t="str">
        <v xml:space="preserve"> corby</v>
      </c>
      <c r="P729" t="str">
        <f t="shared" si="11"/>
        <v>corby</v>
      </c>
    </row>
    <row r="730" spans="15:16">
      <c r="O730" t="str">
        <v xml:space="preserve">bribe </v>
      </c>
      <c r="P730" t="str">
        <f t="shared" si="11"/>
        <v>bribe</v>
      </c>
    </row>
    <row r="731" spans="15:16">
      <c r="O731" t="str">
        <v>guilty</v>
      </c>
      <c r="P731" t="str">
        <f t="shared" si="11"/>
        <v>guilty</v>
      </c>
    </row>
    <row r="732" spans="15:16">
      <c r="O732" t="str">
        <v>weed</v>
      </c>
      <c r="P732" t="str">
        <f t="shared" si="11"/>
        <v>weed</v>
      </c>
    </row>
    <row r="733" spans="15:16">
      <c r="O733" t="str">
        <v>drugs</v>
      </c>
      <c r="P733" t="str">
        <f t="shared" si="11"/>
        <v>drugs</v>
      </c>
    </row>
    <row r="734" spans="15:16">
      <c r="O734" t="str">
        <v xml:space="preserve"> stupid</v>
      </c>
      <c r="P734" t="str">
        <f t="shared" si="11"/>
        <v>stupid</v>
      </c>
    </row>
    <row r="735" spans="15:16">
      <c r="O735" t="str">
        <v xml:space="preserve"> import</v>
      </c>
      <c r="P735" t="str">
        <f t="shared" si="11"/>
        <v>import</v>
      </c>
    </row>
    <row r="736" spans="15:16">
      <c r="O736" t="str">
        <v>idiot</v>
      </c>
      <c r="P736" t="str">
        <f t="shared" si="11"/>
        <v>idiot</v>
      </c>
    </row>
    <row r="737" spans="15:16">
      <c r="O737" t="str">
        <v>idiot</v>
      </c>
      <c r="P737" t="str">
        <f t="shared" si="11"/>
        <v>idiot</v>
      </c>
    </row>
    <row r="738" spans="15:16">
      <c r="O738" t="str">
        <v xml:space="preserve"> idiots</v>
      </c>
      <c r="P738" t="str">
        <f t="shared" si="11"/>
        <v>idiots</v>
      </c>
    </row>
    <row r="739" spans="15:16">
      <c r="O739" t="str">
        <v>drugs</v>
      </c>
      <c r="P739" t="str">
        <f t="shared" si="11"/>
        <v>drugs</v>
      </c>
    </row>
    <row r="740" spans="15:16">
      <c r="O740" t="str">
        <v>dumb</v>
      </c>
      <c r="P740" t="str">
        <f t="shared" si="11"/>
        <v>dumb</v>
      </c>
    </row>
    <row r="741" spans="15:16">
      <c r="O741" t="str">
        <v xml:space="preserve"> brother</v>
      </c>
      <c r="P741" t="str">
        <f t="shared" si="11"/>
        <v>brother</v>
      </c>
    </row>
    <row r="742" spans="15:16">
      <c r="O742" t="str">
        <v>stupid</v>
      </c>
      <c r="P742" t="str">
        <f t="shared" si="11"/>
        <v>stupid</v>
      </c>
    </row>
    <row r="743" spans="15:16">
      <c r="O743" t="str">
        <v>australia</v>
      </c>
      <c r="P743" t="str">
        <f t="shared" si="11"/>
        <v>australia</v>
      </c>
    </row>
    <row r="744" spans="15:16">
      <c r="O744" t="str">
        <v xml:space="preserve"> corby</v>
      </c>
      <c r="P744" t="str">
        <f t="shared" si="11"/>
        <v>corby</v>
      </c>
    </row>
    <row r="745" spans="15:16">
      <c r="O745" t="str">
        <v xml:space="preserve"> bogan</v>
      </c>
      <c r="P745" t="str">
        <f t="shared" si="11"/>
        <v>bogan</v>
      </c>
    </row>
    <row r="746" spans="15:16">
      <c r="O746" t="str">
        <v>af</v>
      </c>
      <c r="P746" t="str">
        <f t="shared" si="11"/>
        <v>af</v>
      </c>
    </row>
    <row r="747" spans="15:16">
      <c r="O747" t="str">
        <v xml:space="preserve"> bogan</v>
      </c>
      <c r="P747" t="str">
        <f t="shared" si="11"/>
        <v>bogan</v>
      </c>
    </row>
    <row r="748" spans="15:16">
      <c r="O748" t="str">
        <v xml:space="preserve"> redneck</v>
      </c>
      <c r="P748" t="str">
        <f t="shared" si="11"/>
        <v>redneck</v>
      </c>
    </row>
    <row r="749" spans="15:16">
      <c r="O749" t="str">
        <v xml:space="preserve"> white trash</v>
      </c>
      <c r="P749" t="str">
        <f t="shared" si="11"/>
        <v>white trash</v>
      </c>
    </row>
    <row r="750" spans="15:16">
      <c r="O750" t="str">
        <v xml:space="preserve"> trash </v>
      </c>
      <c r="P750" t="str">
        <f t="shared" si="11"/>
        <v>trash</v>
      </c>
    </row>
    <row r="751" spans="15:16">
      <c r="O751" t="str">
        <v>af</v>
      </c>
      <c r="P751" t="str">
        <f t="shared" si="11"/>
        <v>af</v>
      </c>
    </row>
    <row r="752" spans="15:16">
      <c r="O752" t="str">
        <v>af</v>
      </c>
      <c r="P752" t="str">
        <f t="shared" si="11"/>
        <v>af</v>
      </c>
    </row>
    <row r="753" spans="15:16">
      <c r="O753" t="str">
        <v>australian</v>
      </c>
      <c r="P753" t="str">
        <f t="shared" si="11"/>
        <v>australian</v>
      </c>
    </row>
    <row r="754" spans="15:16">
      <c r="O754" t="str">
        <v xml:space="preserve"> australia</v>
      </c>
      <c r="P754" t="str">
        <f t="shared" si="11"/>
        <v>australia</v>
      </c>
    </row>
    <row r="755" spans="15:16">
      <c r="O755" t="str">
        <v xml:space="preserve"> bogan</v>
      </c>
      <c r="P755" t="str">
        <f t="shared" si="11"/>
        <v>bogan</v>
      </c>
    </row>
    <row r="756" spans="15:16">
      <c r="O756" t="str">
        <v>australian</v>
      </c>
      <c r="P756" t="str">
        <f t="shared" si="11"/>
        <v>australian</v>
      </c>
    </row>
    <row r="757" spans="15:16">
      <c r="O757" t="str">
        <v xml:space="preserve"> australia</v>
      </c>
      <c r="P757" t="str">
        <f t="shared" si="11"/>
        <v>australia</v>
      </c>
    </row>
    <row r="758" spans="15:16">
      <c r="O758" t="str">
        <v xml:space="preserve"> af</v>
      </c>
      <c r="P758" t="str">
        <f t="shared" si="11"/>
        <v>af</v>
      </c>
    </row>
    <row r="759" spans="15:16">
      <c r="O759" t="str">
        <v>af</v>
      </c>
      <c r="P759" t="str">
        <f t="shared" si="11"/>
        <v>af</v>
      </c>
    </row>
    <row r="760" spans="15:16">
      <c r="O760" t="str">
        <v>australia</v>
      </c>
      <c r="P760" t="str">
        <f t="shared" si="11"/>
        <v>australia</v>
      </c>
    </row>
    <row r="761" spans="15:16">
      <c r="O761" t="str">
        <v>australia</v>
      </c>
      <c r="P761" t="str">
        <f t="shared" si="11"/>
        <v>australia</v>
      </c>
    </row>
    <row r="762" spans="15:16">
      <c r="O762" t="str">
        <v>bogan</v>
      </c>
      <c r="P762" t="str">
        <f t="shared" si="11"/>
        <v>bogan</v>
      </c>
    </row>
    <row r="763" spans="15:16">
      <c r="O763" t="str">
        <v>australia</v>
      </c>
      <c r="P763" t="str">
        <f t="shared" si="11"/>
        <v>australia</v>
      </c>
    </row>
    <row r="764" spans="15:16">
      <c r="O764" t="str">
        <v xml:space="preserve"> bogan</v>
      </c>
      <c r="P764" t="str">
        <f t="shared" si="11"/>
        <v>bogan</v>
      </c>
    </row>
    <row r="765" spans="15:16">
      <c r="O765" t="str">
        <v xml:space="preserve"> bitch</v>
      </c>
      <c r="P765" t="str">
        <f t="shared" si="11"/>
        <v>bitch</v>
      </c>
    </row>
    <row r="766" spans="15:16">
      <c r="O766" t="str">
        <v>australia</v>
      </c>
      <c r="P766" t="str">
        <f t="shared" si="11"/>
        <v>australia</v>
      </c>
    </row>
    <row r="767" spans="15:16">
      <c r="O767" t="str">
        <v xml:space="preserve"> af</v>
      </c>
      <c r="P767" t="str">
        <f t="shared" si="11"/>
        <v>af</v>
      </c>
    </row>
    <row r="768" spans="15:16">
      <c r="O768" t="str">
        <v>australian</v>
      </c>
      <c r="P768" t="str">
        <f t="shared" si="11"/>
        <v>australian</v>
      </c>
    </row>
    <row r="769" spans="15:16">
      <c r="O769" t="str">
        <v xml:space="preserve"> smuggling</v>
      </c>
      <c r="P769" t="str">
        <f t="shared" si="11"/>
        <v>smuggling</v>
      </c>
    </row>
    <row r="770" spans="15:16">
      <c r="O770" t="str">
        <v xml:space="preserve"> indonesia </v>
      </c>
      <c r="P770" t="str">
        <f t="shared" si="11"/>
        <v>indonesia</v>
      </c>
    </row>
    <row r="771" spans="15:16">
      <c r="O771" t="str">
        <v xml:space="preserve"> australia</v>
      </c>
      <c r="P771" t="str">
        <f t="shared" ref="P771:P834" si="12">TRIM(O771)</f>
        <v>australia</v>
      </c>
    </row>
    <row r="772" spans="15:16">
      <c r="O772" t="str">
        <v xml:space="preserve"> af</v>
      </c>
      <c r="P772" t="str">
        <f t="shared" si="12"/>
        <v>af</v>
      </c>
    </row>
    <row r="773" spans="15:16">
      <c r="O773" t="str">
        <v xml:space="preserve"> corby</v>
      </c>
      <c r="P773" t="str">
        <f t="shared" si="12"/>
        <v>corby</v>
      </c>
    </row>
    <row r="774" spans="15:16">
      <c r="O774" t="str">
        <v xml:space="preserve"> parole</v>
      </c>
      <c r="P774" t="str">
        <f t="shared" si="12"/>
        <v>parole</v>
      </c>
    </row>
    <row r="775" spans="15:16">
      <c r="O775" t="str">
        <v xml:space="preserve"> convicted</v>
      </c>
      <c r="P775" t="str">
        <f t="shared" si="12"/>
        <v>convicted</v>
      </c>
    </row>
    <row r="776" spans="15:16">
      <c r="O776" t="str">
        <v>australia</v>
      </c>
      <c r="P776" t="str">
        <f t="shared" si="12"/>
        <v>australia</v>
      </c>
    </row>
    <row r="777" spans="15:16">
      <c r="O777" t="str">
        <v>bogan</v>
      </c>
      <c r="P777" t="str">
        <f t="shared" si="12"/>
        <v>bogan</v>
      </c>
    </row>
    <row r="778" spans="15:16">
      <c r="O778" t="str">
        <v xml:space="preserve">indonesia </v>
      </c>
      <c r="P778" t="str">
        <f t="shared" si="12"/>
        <v>indonesia</v>
      </c>
    </row>
    <row r="779" spans="15:16">
      <c r="O779" t="str">
        <v xml:space="preserve"> australia</v>
      </c>
      <c r="P779" t="str">
        <f t="shared" si="12"/>
        <v>australia</v>
      </c>
    </row>
    <row r="780" spans="15:16">
      <c r="O780" t="str">
        <v xml:space="preserve"> corby</v>
      </c>
      <c r="P780" t="str">
        <f t="shared" si="12"/>
        <v>corby</v>
      </c>
    </row>
    <row r="781" spans="15:16">
      <c r="O781" t="str">
        <v>weed</v>
      </c>
      <c r="P781" t="str">
        <f t="shared" si="12"/>
        <v>weed</v>
      </c>
    </row>
    <row r="782" spans="15:16">
      <c r="O782" t="str">
        <v xml:space="preserve"> dumb</v>
      </c>
      <c r="P782" t="str">
        <f t="shared" si="12"/>
        <v>dumb</v>
      </c>
    </row>
    <row r="783" spans="15:16">
      <c r="O783" t="str">
        <v xml:space="preserve"> bitch</v>
      </c>
      <c r="P783" t="str">
        <f t="shared" si="12"/>
        <v>bitch</v>
      </c>
    </row>
    <row r="784" spans="15:16">
      <c r="O784" t="str">
        <v>boogie board</v>
      </c>
      <c r="P784" t="str">
        <f t="shared" si="12"/>
        <v>boogie board</v>
      </c>
    </row>
    <row r="785" spans="15:16">
      <c r="O785" t="str">
        <v xml:space="preserve"> weed</v>
      </c>
      <c r="P785" t="str">
        <f t="shared" si="12"/>
        <v>weed</v>
      </c>
    </row>
    <row r="786" spans="15:16">
      <c r="O786" t="str">
        <v>drugs</v>
      </c>
      <c r="P786" t="str">
        <f t="shared" si="12"/>
        <v>drugs</v>
      </c>
    </row>
    <row r="787" spans="15:16">
      <c r="O787" t="str">
        <v xml:space="preserve"> af</v>
      </c>
      <c r="P787" t="str">
        <f t="shared" si="12"/>
        <v>af</v>
      </c>
    </row>
    <row r="788" spans="15:16">
      <c r="O788" t="str">
        <v xml:space="preserve"> sentenced</v>
      </c>
      <c r="P788" t="str">
        <f t="shared" si="12"/>
        <v>sentenced</v>
      </c>
    </row>
    <row r="789" spans="15:16">
      <c r="O789" t="str">
        <v xml:space="preserve"> arrested</v>
      </c>
      <c r="P789" t="str">
        <f t="shared" si="12"/>
        <v>arrested</v>
      </c>
    </row>
    <row r="790" spans="15:16">
      <c r="O790" t="str">
        <v xml:space="preserve"> parole</v>
      </c>
      <c r="P790" t="str">
        <f t="shared" si="12"/>
        <v>parole</v>
      </c>
    </row>
    <row r="791" spans="15:16">
      <c r="O791" t="str">
        <v>af</v>
      </c>
      <c r="P791" t="str">
        <f t="shared" si="12"/>
        <v>af</v>
      </c>
    </row>
    <row r="792" spans="15:16">
      <c r="O792" t="str">
        <v>fucked</v>
      </c>
      <c r="P792" t="str">
        <f t="shared" si="12"/>
        <v>fucked</v>
      </c>
    </row>
    <row r="793" spans="15:16">
      <c r="O793" t="str">
        <v>af</v>
      </c>
      <c r="P793" t="str">
        <f t="shared" si="12"/>
        <v>af</v>
      </c>
    </row>
    <row r="794" spans="15:16">
      <c r="O794" t="str">
        <v xml:space="preserve"> parole</v>
      </c>
      <c r="P794" t="str">
        <f t="shared" si="12"/>
        <v>parole</v>
      </c>
    </row>
    <row r="795" spans="15:16">
      <c r="O795" t="str">
        <v>australian</v>
      </c>
      <c r="P795" t="str">
        <f t="shared" si="12"/>
        <v>australian</v>
      </c>
    </row>
    <row r="796" spans="15:16">
      <c r="O796" t="str">
        <v xml:space="preserve"> smuggling</v>
      </c>
      <c r="P796" t="str">
        <f t="shared" si="12"/>
        <v>smuggling</v>
      </c>
    </row>
    <row r="797" spans="15:16">
      <c r="O797" t="str">
        <v xml:space="preserve"> australia</v>
      </c>
      <c r="P797" t="str">
        <f t="shared" si="12"/>
        <v>australia</v>
      </c>
    </row>
    <row r="798" spans="15:16">
      <c r="O798" t="str">
        <v xml:space="preserve"> drugs</v>
      </c>
      <c r="P798" t="str">
        <f t="shared" si="12"/>
        <v>drugs</v>
      </c>
    </row>
    <row r="799" spans="15:16">
      <c r="O799" t="str">
        <v xml:space="preserve"> drug trafficking</v>
      </c>
      <c r="P799" t="str">
        <f t="shared" si="12"/>
        <v>drug trafficking</v>
      </c>
    </row>
    <row r="800" spans="15:16">
      <c r="O800" t="str">
        <v xml:space="preserve"> idiot</v>
      </c>
      <c r="P800" t="str">
        <f t="shared" si="12"/>
        <v>idiot</v>
      </c>
    </row>
    <row r="801" spans="15:16">
      <c r="O801" t="str">
        <v xml:space="preserve"> stupid</v>
      </c>
      <c r="P801" t="str">
        <f t="shared" si="12"/>
        <v>stupid</v>
      </c>
    </row>
    <row r="802" spans="15:16">
      <c r="O802" t="str">
        <v xml:space="preserve"> af</v>
      </c>
      <c r="P802" t="str">
        <f t="shared" si="12"/>
        <v>af</v>
      </c>
    </row>
    <row r="803" spans="15:16">
      <c r="O803" t="str">
        <v xml:space="preserve"> innocent</v>
      </c>
      <c r="P803" t="str">
        <f t="shared" si="12"/>
        <v>innocent</v>
      </c>
    </row>
    <row r="804" spans="15:16">
      <c r="O804" t="str">
        <v xml:space="preserve"> parole</v>
      </c>
      <c r="P804" t="str">
        <f t="shared" si="12"/>
        <v>parole</v>
      </c>
    </row>
    <row r="805" spans="15:16">
      <c r="O805" t="str">
        <v>boogie board</v>
      </c>
      <c r="P805" t="str">
        <f t="shared" si="12"/>
        <v>boogie board</v>
      </c>
    </row>
    <row r="806" spans="15:16">
      <c r="O806" t="str">
        <v>boogie board</v>
      </c>
      <c r="P806" t="str">
        <f t="shared" si="12"/>
        <v>boogie board</v>
      </c>
    </row>
    <row r="807" spans="15:16">
      <c r="O807" t="str">
        <v xml:space="preserve"> marijuana </v>
      </c>
      <c r="P807" t="str">
        <f t="shared" si="12"/>
        <v>marijuana</v>
      </c>
    </row>
    <row r="808" spans="15:16">
      <c r="O808" t="str">
        <v>boogie board</v>
      </c>
      <c r="P808" t="str">
        <f t="shared" si="12"/>
        <v>boogie board</v>
      </c>
    </row>
    <row r="809" spans="15:16">
      <c r="O809" t="str">
        <v xml:space="preserve"> australian</v>
      </c>
      <c r="P809" t="str">
        <f t="shared" si="12"/>
        <v>australian</v>
      </c>
    </row>
    <row r="810" spans="15:16">
      <c r="O810" t="str">
        <v xml:space="preserve"> smuggling</v>
      </c>
      <c r="P810" t="str">
        <f t="shared" si="12"/>
        <v>smuggling</v>
      </c>
    </row>
    <row r="811" spans="15:16">
      <c r="O811" t="str">
        <v xml:space="preserve"> australia</v>
      </c>
      <c r="P811" t="str">
        <f t="shared" si="12"/>
        <v>australia</v>
      </c>
    </row>
    <row r="812" spans="15:16">
      <c r="O812" t="str">
        <v xml:space="preserve"> drugs</v>
      </c>
      <c r="P812" t="str">
        <f t="shared" si="12"/>
        <v>drugs</v>
      </c>
    </row>
    <row r="813" spans="15:16">
      <c r="O813" t="str">
        <v xml:space="preserve"> af</v>
      </c>
      <c r="P813" t="str">
        <f t="shared" si="12"/>
        <v>af</v>
      </c>
    </row>
    <row r="814" spans="15:16">
      <c r="O814" t="str">
        <v xml:space="preserve"> sister</v>
      </c>
      <c r="P814" t="str">
        <f t="shared" si="12"/>
        <v>sister</v>
      </c>
    </row>
    <row r="815" spans="15:16">
      <c r="O815" t="str">
        <v xml:space="preserve"> sisters</v>
      </c>
      <c r="P815" t="str">
        <f t="shared" si="12"/>
        <v>sisters</v>
      </c>
    </row>
    <row r="816" spans="15:16">
      <c r="O816" t="str">
        <v xml:space="preserve"> guilty</v>
      </c>
      <c r="P816" t="str">
        <f t="shared" si="12"/>
        <v>guilty</v>
      </c>
    </row>
    <row r="817" spans="15:16">
      <c r="O817" t="str">
        <v>proof</v>
      </c>
      <c r="P817" t="str">
        <f t="shared" si="12"/>
        <v>proof</v>
      </c>
    </row>
    <row r="818" spans="15:16">
      <c r="O818" t="str">
        <v>guilty</v>
      </c>
      <c r="P818" t="str">
        <f t="shared" si="12"/>
        <v>guilty</v>
      </c>
    </row>
    <row r="819" spans="15:16">
      <c r="O819" t="str">
        <v>proof</v>
      </c>
      <c r="P819" t="str">
        <f t="shared" si="12"/>
        <v>proof</v>
      </c>
    </row>
    <row r="820" spans="15:16">
      <c r="O820" t="str">
        <v>guilty</v>
      </c>
      <c r="P820" t="str">
        <f t="shared" si="12"/>
        <v>guilty</v>
      </c>
    </row>
    <row r="821" spans="15:16">
      <c r="O821" t="str">
        <v>possession</v>
      </c>
      <c r="P821" t="str">
        <f t="shared" si="12"/>
        <v>possession</v>
      </c>
    </row>
    <row r="822" spans="15:16">
      <c r="O822" t="str">
        <v xml:space="preserve"> corby</v>
      </c>
      <c r="P822" t="str">
        <f t="shared" si="12"/>
        <v>corby</v>
      </c>
    </row>
    <row r="823" spans="15:16">
      <c r="O823" t="str">
        <v xml:space="preserve"> guilty</v>
      </c>
      <c r="P823" t="str">
        <f t="shared" si="12"/>
        <v>guilty</v>
      </c>
    </row>
    <row r="824" spans="15:16">
      <c r="O824" t="str">
        <v xml:space="preserve"> arrested</v>
      </c>
      <c r="P824" t="str">
        <f t="shared" si="12"/>
        <v>arrested</v>
      </c>
    </row>
    <row r="825" spans="15:16">
      <c r="O825" t="str">
        <v xml:space="preserve"> law </v>
      </c>
      <c r="P825" t="str">
        <f t="shared" si="12"/>
        <v>law</v>
      </c>
    </row>
    <row r="826" spans="15:16">
      <c r="O826" t="str">
        <v>af</v>
      </c>
      <c r="P826" t="str">
        <f t="shared" si="12"/>
        <v>af</v>
      </c>
    </row>
    <row r="827" spans="15:16">
      <c r="O827" t="str">
        <v>fucked</v>
      </c>
      <c r="P827" t="str">
        <f t="shared" si="12"/>
        <v>fucked</v>
      </c>
    </row>
    <row r="828" spans="15:16">
      <c r="O828" t="str">
        <v>af</v>
      </c>
      <c r="P828" t="str">
        <f t="shared" si="12"/>
        <v>af</v>
      </c>
    </row>
    <row r="829" spans="15:16">
      <c r="O829" t="str">
        <v>schapelle corby</v>
      </c>
      <c r="P829" t="str">
        <f t="shared" si="12"/>
        <v>schapelle corby</v>
      </c>
    </row>
    <row r="830" spans="15:16">
      <c r="O830" t="str">
        <v xml:space="preserve"> af</v>
      </c>
      <c r="P830" t="str">
        <f t="shared" si="12"/>
        <v>af</v>
      </c>
    </row>
    <row r="831" spans="15:16">
      <c r="O831" t="str">
        <v xml:space="preserve"> corby</v>
      </c>
      <c r="P831" t="str">
        <f t="shared" si="12"/>
        <v>corby</v>
      </c>
    </row>
    <row r="832" spans="15:16">
      <c r="O832" t="str">
        <v xml:space="preserve"> parole</v>
      </c>
      <c r="P832" t="str">
        <f t="shared" si="12"/>
        <v>parole</v>
      </c>
    </row>
    <row r="833" spans="15:16">
      <c r="O833" t="str">
        <v xml:space="preserve"> convicted</v>
      </c>
      <c r="P833" t="str">
        <f t="shared" si="12"/>
        <v>convicted</v>
      </c>
    </row>
    <row r="834" spans="15:16">
      <c r="O834" t="str">
        <v>schapelle corby</v>
      </c>
      <c r="P834" t="str">
        <f t="shared" si="12"/>
        <v>schapelle corby</v>
      </c>
    </row>
    <row r="835" spans="15:16">
      <c r="O835" t="str">
        <v xml:space="preserve"> boogie board</v>
      </c>
      <c r="P835" t="str">
        <f t="shared" ref="P835:P898" si="13">TRIM(O835)</f>
        <v>boogie board</v>
      </c>
    </row>
    <row r="836" spans="15:16">
      <c r="O836" t="str">
        <v xml:space="preserve"> australian</v>
      </c>
      <c r="P836" t="str">
        <f t="shared" si="13"/>
        <v>australian</v>
      </c>
    </row>
    <row r="837" spans="15:16">
      <c r="O837" t="str">
        <v xml:space="preserve"> indonesia </v>
      </c>
      <c r="P837" t="str">
        <f t="shared" si="13"/>
        <v>indonesia</v>
      </c>
    </row>
    <row r="838" spans="15:16">
      <c r="O838" t="str">
        <v xml:space="preserve"> australia</v>
      </c>
      <c r="P838" t="str">
        <f t="shared" si="13"/>
        <v>australia</v>
      </c>
    </row>
    <row r="839" spans="15:16">
      <c r="O839" t="str">
        <v xml:space="preserve"> trafficker</v>
      </c>
      <c r="P839" t="str">
        <f t="shared" si="13"/>
        <v>trafficker</v>
      </c>
    </row>
    <row r="840" spans="15:16">
      <c r="O840" t="str">
        <v xml:space="preserve"> marijuana </v>
      </c>
      <c r="P840" t="str">
        <f t="shared" si="13"/>
        <v>marijuana</v>
      </c>
    </row>
    <row r="841" spans="15:16">
      <c r="O841" t="str">
        <v xml:space="preserve"> jail</v>
      </c>
      <c r="P841" t="str">
        <f t="shared" si="13"/>
        <v>jail</v>
      </c>
    </row>
    <row r="842" spans="15:16">
      <c r="O842" t="str">
        <v xml:space="preserve"> af</v>
      </c>
      <c r="P842" t="str">
        <f t="shared" si="13"/>
        <v>af</v>
      </c>
    </row>
    <row r="843" spans="15:16">
      <c r="O843" t="str">
        <v xml:space="preserve"> corby</v>
      </c>
      <c r="P843" t="str">
        <f t="shared" si="13"/>
        <v>corby</v>
      </c>
    </row>
    <row r="844" spans="15:16">
      <c r="O844" t="str">
        <v xml:space="preserve"> sentenced</v>
      </c>
      <c r="P844" t="str">
        <f t="shared" si="13"/>
        <v>sentenced</v>
      </c>
    </row>
    <row r="845" spans="15:16">
      <c r="O845" t="str">
        <v>schapelle corby</v>
      </c>
      <c r="P845" t="str">
        <f t="shared" si="13"/>
        <v>schapelle corby</v>
      </c>
    </row>
    <row r="846" spans="15:16">
      <c r="O846" t="str">
        <v xml:space="preserve"> cannabis</v>
      </c>
      <c r="P846" t="str">
        <f t="shared" si="13"/>
        <v>cannabis</v>
      </c>
    </row>
    <row r="847" spans="15:16">
      <c r="O847" t="str">
        <v xml:space="preserve"> smuggling</v>
      </c>
      <c r="P847" t="str">
        <f t="shared" si="13"/>
        <v>smuggling</v>
      </c>
    </row>
    <row r="848" spans="15:16">
      <c r="O848" t="str">
        <v xml:space="preserve"> indonesia </v>
      </c>
      <c r="P848" t="str">
        <f t="shared" si="13"/>
        <v>indonesia</v>
      </c>
    </row>
    <row r="849" spans="15:16">
      <c r="O849" t="str">
        <v xml:space="preserve"> cannabis</v>
      </c>
      <c r="P849" t="str">
        <f t="shared" si="13"/>
        <v>cannabis</v>
      </c>
    </row>
    <row r="850" spans="15:16">
      <c r="O850" t="str">
        <v xml:space="preserve"> af</v>
      </c>
      <c r="P850" t="str">
        <f t="shared" si="13"/>
        <v>af</v>
      </c>
    </row>
    <row r="851" spans="15:16">
      <c r="O851" t="str">
        <v xml:space="preserve"> corby</v>
      </c>
      <c r="P851" t="str">
        <f t="shared" si="13"/>
        <v>corby</v>
      </c>
    </row>
    <row r="852" spans="15:16">
      <c r="O852" t="str">
        <v xml:space="preserve"> convicted</v>
      </c>
      <c r="P852" t="str">
        <f t="shared" si="13"/>
        <v>convicted</v>
      </c>
    </row>
    <row r="853" spans="15:16">
      <c r="O853" t="str">
        <v>schapelle corby</v>
      </c>
      <c r="P853" t="str">
        <f t="shared" si="13"/>
        <v>schapelle corby</v>
      </c>
    </row>
    <row r="854" spans="15:16">
      <c r="O854" t="str">
        <v xml:space="preserve"> scandal</v>
      </c>
      <c r="P854" t="str">
        <f t="shared" si="13"/>
        <v>scandal</v>
      </c>
    </row>
    <row r="855" spans="15:16">
      <c r="O855" t="str">
        <v xml:space="preserve"> sister</v>
      </c>
      <c r="P855" t="str">
        <f t="shared" si="13"/>
        <v>sister</v>
      </c>
    </row>
    <row r="856" spans="15:16">
      <c r="O856" t="str">
        <v xml:space="preserve"> corby</v>
      </c>
      <c r="P856" t="str">
        <f t="shared" si="13"/>
        <v>corby</v>
      </c>
    </row>
    <row r="857" spans="15:16">
      <c r="O857" t="str">
        <v>schapelle corby</v>
      </c>
      <c r="P857" t="str">
        <f t="shared" si="13"/>
        <v>schapelle corby</v>
      </c>
    </row>
    <row r="858" spans="15:16">
      <c r="O858" t="str">
        <v xml:space="preserve"> indonesia </v>
      </c>
      <c r="P858" t="str">
        <f t="shared" si="13"/>
        <v>indonesia</v>
      </c>
    </row>
    <row r="859" spans="15:16">
      <c r="O859" t="str">
        <v xml:space="preserve"> marijuana </v>
      </c>
      <c r="P859" t="str">
        <f t="shared" si="13"/>
        <v>marijuana</v>
      </c>
    </row>
    <row r="860" spans="15:16">
      <c r="O860" t="str">
        <v xml:space="preserve"> af</v>
      </c>
      <c r="P860" t="str">
        <f t="shared" si="13"/>
        <v>af</v>
      </c>
    </row>
    <row r="861" spans="15:16">
      <c r="O861" t="str">
        <v xml:space="preserve"> corby</v>
      </c>
      <c r="P861" t="str">
        <f t="shared" si="13"/>
        <v>corby</v>
      </c>
    </row>
    <row r="862" spans="15:16">
      <c r="O862" t="str">
        <v xml:space="preserve"> brother</v>
      </c>
      <c r="P862" t="str">
        <f t="shared" si="13"/>
        <v>brother</v>
      </c>
    </row>
    <row r="863" spans="15:16">
      <c r="O863" t="str">
        <v xml:space="preserve"> AFP</v>
      </c>
      <c r="P863" t="str">
        <f t="shared" si="13"/>
        <v>AFP</v>
      </c>
    </row>
    <row r="864" spans="15:16">
      <c r="O864" t="str">
        <v xml:space="preserve"> arrested</v>
      </c>
      <c r="P864" t="str">
        <f t="shared" si="13"/>
        <v>arrested</v>
      </c>
    </row>
    <row r="865" spans="15:16">
      <c r="O865" t="str">
        <v>schapelle corby</v>
      </c>
      <c r="P865" t="str">
        <f t="shared" si="13"/>
        <v>schapelle corby</v>
      </c>
    </row>
    <row r="866" spans="15:16">
      <c r="O866" t="str">
        <v xml:space="preserve"> boogie board</v>
      </c>
      <c r="P866" t="str">
        <f t="shared" si="13"/>
        <v>boogie board</v>
      </c>
    </row>
    <row r="867" spans="15:16">
      <c r="O867" t="str">
        <v xml:space="preserve"> australia</v>
      </c>
      <c r="P867" t="str">
        <f t="shared" si="13"/>
        <v>australia</v>
      </c>
    </row>
    <row r="868" spans="15:16">
      <c r="O868" t="str">
        <v xml:space="preserve"> marijuana </v>
      </c>
      <c r="P868" t="str">
        <f t="shared" si="13"/>
        <v>marijuana</v>
      </c>
    </row>
    <row r="869" spans="15:16">
      <c r="O869" t="str">
        <v xml:space="preserve"> corby</v>
      </c>
      <c r="P869" t="str">
        <f t="shared" si="13"/>
        <v>corby</v>
      </c>
    </row>
    <row r="870" spans="15:16">
      <c r="O870" t="str">
        <v xml:space="preserve"> guilty</v>
      </c>
      <c r="P870" t="str">
        <f t="shared" si="13"/>
        <v>guilty</v>
      </c>
    </row>
    <row r="871" spans="15:16">
      <c r="O871" t="str">
        <v xml:space="preserve"> import</v>
      </c>
      <c r="P871" t="str">
        <f t="shared" si="13"/>
        <v>import</v>
      </c>
    </row>
    <row r="872" spans="15:16">
      <c r="O872" t="str">
        <v>schapelle corby</v>
      </c>
      <c r="P872" t="str">
        <f t="shared" si="13"/>
        <v>schapelle corby</v>
      </c>
    </row>
    <row r="873" spans="15:16">
      <c r="O873" t="str">
        <v xml:space="preserve"> af</v>
      </c>
      <c r="P873" t="str">
        <f t="shared" si="13"/>
        <v>af</v>
      </c>
    </row>
    <row r="874" spans="15:16">
      <c r="O874" t="str">
        <v xml:space="preserve"> corby</v>
      </c>
      <c r="P874" t="str">
        <f t="shared" si="13"/>
        <v>corby</v>
      </c>
    </row>
    <row r="875" spans="15:16">
      <c r="O875" t="str">
        <v xml:space="preserve"> parole</v>
      </c>
      <c r="P875" t="str">
        <f t="shared" si="13"/>
        <v>parole</v>
      </c>
    </row>
    <row r="876" spans="15:16">
      <c r="O876" t="str">
        <v>schapelle corby</v>
      </c>
      <c r="P876" t="str">
        <f t="shared" si="13"/>
        <v>schapelle corby</v>
      </c>
    </row>
    <row r="877" spans="15:16">
      <c r="O877" t="str">
        <v xml:space="preserve"> australian</v>
      </c>
      <c r="P877" t="str">
        <f t="shared" si="13"/>
        <v>australian</v>
      </c>
    </row>
    <row r="878" spans="15:16">
      <c r="O878" t="str">
        <v xml:space="preserve"> cannabis</v>
      </c>
      <c r="P878" t="str">
        <f t="shared" si="13"/>
        <v>cannabis</v>
      </c>
    </row>
    <row r="879" spans="15:16">
      <c r="O879" t="str">
        <v xml:space="preserve"> smuggling</v>
      </c>
      <c r="P879" t="str">
        <f t="shared" si="13"/>
        <v>smuggling</v>
      </c>
    </row>
    <row r="880" spans="15:16">
      <c r="O880" t="str">
        <v xml:space="preserve"> conviction</v>
      </c>
      <c r="P880" t="str">
        <f t="shared" si="13"/>
        <v>conviction</v>
      </c>
    </row>
    <row r="881" spans="15:16">
      <c r="O881" t="str">
        <v xml:space="preserve"> australia</v>
      </c>
      <c r="P881" t="str">
        <f t="shared" si="13"/>
        <v>australia</v>
      </c>
    </row>
    <row r="882" spans="15:16">
      <c r="O882" t="str">
        <v xml:space="preserve"> criminal</v>
      </c>
      <c r="P882" t="str">
        <f t="shared" si="13"/>
        <v>criminal</v>
      </c>
    </row>
    <row r="883" spans="15:16">
      <c r="O883" t="str">
        <v xml:space="preserve"> marijuana </v>
      </c>
      <c r="P883" t="str">
        <f t="shared" si="13"/>
        <v>marijuana</v>
      </c>
    </row>
    <row r="884" spans="15:16">
      <c r="O884" t="str">
        <v xml:space="preserve"> cannabis</v>
      </c>
      <c r="P884" t="str">
        <f t="shared" si="13"/>
        <v>cannabis</v>
      </c>
    </row>
    <row r="885" spans="15:16">
      <c r="O885" t="str">
        <v xml:space="preserve"> corby</v>
      </c>
      <c r="P885" t="str">
        <f t="shared" si="13"/>
        <v>corby</v>
      </c>
    </row>
    <row r="886" spans="15:16">
      <c r="O886" t="str">
        <v xml:space="preserve"> conviction</v>
      </c>
      <c r="P886" t="str">
        <f t="shared" si="13"/>
        <v>conviction</v>
      </c>
    </row>
    <row r="887" spans="15:16">
      <c r="O887" t="str">
        <v xml:space="preserve"> convicted</v>
      </c>
      <c r="P887" t="str">
        <f t="shared" si="13"/>
        <v>convicted</v>
      </c>
    </row>
    <row r="888" spans="15:16">
      <c r="O888" t="str">
        <v xml:space="preserve"> import</v>
      </c>
      <c r="P888" t="str">
        <f t="shared" si="13"/>
        <v>import</v>
      </c>
    </row>
    <row r="889" spans="15:16">
      <c r="O889" t="str">
        <v>schapelle corby</v>
      </c>
      <c r="P889" t="str">
        <f t="shared" si="13"/>
        <v>schapelle corby</v>
      </c>
    </row>
    <row r="890" spans="15:16">
      <c r="O890" t="str">
        <v xml:space="preserve"> boogie board</v>
      </c>
      <c r="P890" t="str">
        <f t="shared" si="13"/>
        <v>boogie board</v>
      </c>
    </row>
    <row r="891" spans="15:16">
      <c r="O891" t="str">
        <v xml:space="preserve"> drugs</v>
      </c>
      <c r="P891" t="str">
        <f t="shared" si="13"/>
        <v>drugs</v>
      </c>
    </row>
    <row r="892" spans="15:16">
      <c r="O892" t="str">
        <v xml:space="preserve"> marijuana </v>
      </c>
      <c r="P892" t="str">
        <f t="shared" si="13"/>
        <v>marijuana</v>
      </c>
    </row>
    <row r="893" spans="15:16">
      <c r="O893" t="str">
        <v xml:space="preserve"> af</v>
      </c>
      <c r="P893" t="str">
        <f t="shared" si="13"/>
        <v>af</v>
      </c>
    </row>
    <row r="894" spans="15:16">
      <c r="O894" t="str">
        <v xml:space="preserve"> corby</v>
      </c>
      <c r="P894" t="str">
        <f t="shared" si="13"/>
        <v>corby</v>
      </c>
    </row>
    <row r="895" spans="15:16">
      <c r="O895" t="str">
        <v xml:space="preserve"> arrested</v>
      </c>
      <c r="P895" t="str">
        <f t="shared" si="13"/>
        <v>arrested</v>
      </c>
    </row>
    <row r="896" spans="15:16">
      <c r="O896" t="str">
        <v>schapelle corby</v>
      </c>
      <c r="P896" t="str">
        <f t="shared" si="13"/>
        <v>schapelle corby</v>
      </c>
    </row>
    <row r="897" spans="15:16">
      <c r="O897" t="str">
        <v xml:space="preserve"> australian</v>
      </c>
      <c r="P897" t="str">
        <f t="shared" si="13"/>
        <v>australian</v>
      </c>
    </row>
    <row r="898" spans="15:16">
      <c r="O898" t="str">
        <v xml:space="preserve"> australia</v>
      </c>
      <c r="P898" t="str">
        <f t="shared" si="13"/>
        <v>australia</v>
      </c>
    </row>
    <row r="899" spans="15:16">
      <c r="O899" t="str">
        <v xml:space="preserve"> criminal</v>
      </c>
      <c r="P899" t="str">
        <f t="shared" ref="P899:P918" si="14">TRIM(O899)</f>
        <v>criminal</v>
      </c>
    </row>
    <row r="900" spans="15:16">
      <c r="O900" t="str">
        <v xml:space="preserve"> marijuana </v>
      </c>
      <c r="P900" t="str">
        <f t="shared" si="14"/>
        <v>marijuana</v>
      </c>
    </row>
    <row r="901" spans="15:16">
      <c r="O901" t="str">
        <v xml:space="preserve"> corby</v>
      </c>
      <c r="P901" t="str">
        <f t="shared" si="14"/>
        <v>corby</v>
      </c>
    </row>
    <row r="902" spans="15:16">
      <c r="O902" t="str">
        <v xml:space="preserve"> sentenced</v>
      </c>
      <c r="P902" t="str">
        <f t="shared" si="14"/>
        <v>sentenced</v>
      </c>
    </row>
    <row r="903" spans="15:16">
      <c r="O903" t="str">
        <v xml:space="preserve"> convicted</v>
      </c>
      <c r="P903" t="str">
        <f t="shared" si="14"/>
        <v>convicted</v>
      </c>
    </row>
    <row r="904" spans="15:16">
      <c r="O904" t="str">
        <v>schapelle corby</v>
      </c>
      <c r="P904" t="str">
        <f t="shared" si="14"/>
        <v>schapelle corby</v>
      </c>
    </row>
    <row r="905" spans="15:16">
      <c r="O905" t="str">
        <v xml:space="preserve"> australia</v>
      </c>
      <c r="P905" t="str">
        <f t="shared" si="14"/>
        <v>australia</v>
      </c>
    </row>
    <row r="906" spans="15:16">
      <c r="O906" t="str">
        <v xml:space="preserve"> marijuana </v>
      </c>
      <c r="P906" t="str">
        <f t="shared" si="14"/>
        <v>marijuana</v>
      </c>
    </row>
    <row r="907" spans="15:16">
      <c r="O907" t="str">
        <v xml:space="preserve"> corby</v>
      </c>
      <c r="P907" t="str">
        <f t="shared" si="14"/>
        <v>corby</v>
      </c>
    </row>
    <row r="908" spans="15:16">
      <c r="O908" t="str">
        <v xml:space="preserve"> brother</v>
      </c>
      <c r="P908" t="str">
        <f t="shared" si="14"/>
        <v>brother</v>
      </c>
    </row>
    <row r="909" spans="15:16">
      <c r="O909" t="str">
        <v xml:space="preserve"> convicted</v>
      </c>
      <c r="P909" t="str">
        <f t="shared" si="14"/>
        <v>convicted</v>
      </c>
    </row>
    <row r="910" spans="15:16">
      <c r="O910" t="str">
        <v xml:space="preserve"> import</v>
      </c>
      <c r="P910" t="str">
        <f t="shared" si="14"/>
        <v>import</v>
      </c>
    </row>
    <row r="911" spans="15:16">
      <c r="O911" t="str">
        <v>schapelle corby</v>
      </c>
      <c r="P911" t="str">
        <f t="shared" si="14"/>
        <v>schapelle corby</v>
      </c>
    </row>
    <row r="912" spans="15:16">
      <c r="O912" t="str">
        <v xml:space="preserve"> cannabis</v>
      </c>
      <c r="P912" t="str">
        <f t="shared" si="14"/>
        <v>cannabis</v>
      </c>
    </row>
    <row r="913" spans="15:16">
      <c r="O913" t="str">
        <v xml:space="preserve"> smuggling</v>
      </c>
      <c r="P913" t="str">
        <f t="shared" si="14"/>
        <v>smuggling</v>
      </c>
    </row>
    <row r="914" spans="15:16">
      <c r="O914" t="str">
        <v xml:space="preserve"> drug smuggler</v>
      </c>
      <c r="P914" t="str">
        <f t="shared" si="14"/>
        <v>drug smuggler</v>
      </c>
    </row>
    <row r="915" spans="15:16">
      <c r="O915" t="str">
        <v xml:space="preserve"> cannabis</v>
      </c>
      <c r="P915" t="str">
        <f t="shared" si="14"/>
        <v>cannabis</v>
      </c>
    </row>
    <row r="916" spans="15:16">
      <c r="O916" t="str">
        <v xml:space="preserve"> scandal</v>
      </c>
      <c r="P916" t="str">
        <f t="shared" si="14"/>
        <v>scandal</v>
      </c>
    </row>
    <row r="917" spans="15:16">
      <c r="O917" t="str">
        <v xml:space="preserve"> corby</v>
      </c>
      <c r="P917" t="str">
        <f t="shared" si="14"/>
        <v>corby</v>
      </c>
    </row>
    <row r="918" spans="15:16">
      <c r="O918" t="str">
        <v xml:space="preserve"> convicted</v>
      </c>
      <c r="P918" t="str">
        <f t="shared" si="14"/>
        <v>convicted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3B7B-5445-49E1-B480-86739FE6DE4E}">
  <dimension ref="A1:AO919"/>
  <sheetViews>
    <sheetView topLeftCell="M1" workbookViewId="0">
      <selection activeCell="R14" sqref="R14:S24"/>
    </sheetView>
  </sheetViews>
  <sheetFormatPr defaultRowHeight="15"/>
  <cols>
    <col min="1" max="1" width="26.85546875" bestFit="1" customWidth="1"/>
    <col min="2" max="2" width="15.42578125" customWidth="1"/>
    <col min="3" max="3" width="12.42578125" customWidth="1"/>
    <col min="8" max="10" width="22.42578125" bestFit="1" customWidth="1"/>
    <col min="11" max="11" width="22.42578125" customWidth="1"/>
    <col min="18" max="18" width="21.85546875" customWidth="1"/>
    <col min="22" max="22" width="27" customWidth="1"/>
    <col min="23" max="23" width="22.85546875" customWidth="1"/>
    <col min="24" max="24" width="17.140625" customWidth="1"/>
    <col min="25" max="25" width="19.140625" bestFit="1" customWidth="1"/>
    <col min="26" max="26" width="18.7109375" bestFit="1" customWidth="1"/>
    <col min="27" max="27" width="19.7109375" bestFit="1" customWidth="1"/>
    <col min="28" max="28" width="12.42578125" bestFit="1" customWidth="1"/>
    <col min="29" max="29" width="14.28515625" bestFit="1" customWidth="1"/>
    <col min="30" max="30" width="17.7109375" bestFit="1" customWidth="1"/>
    <col min="31" max="31" width="14" bestFit="1" customWidth="1"/>
    <col min="32" max="32" width="19.140625" bestFit="1" customWidth="1"/>
    <col min="33" max="33" width="18.7109375" bestFit="1" customWidth="1"/>
    <col min="34" max="34" width="19.7109375" bestFit="1" customWidth="1"/>
    <col min="35" max="35" width="11.85546875" bestFit="1" customWidth="1"/>
    <col min="36" max="36" width="12.42578125" bestFit="1" customWidth="1"/>
    <col min="37" max="37" width="14.28515625" bestFit="1" customWidth="1"/>
    <col min="38" max="38" width="17.7109375" bestFit="1" customWidth="1"/>
    <col min="39" max="39" width="14" bestFit="1" customWidth="1"/>
    <col min="40" max="40" width="19.7109375" bestFit="1" customWidth="1"/>
    <col min="41" max="41" width="84.28515625" bestFit="1" customWidth="1"/>
  </cols>
  <sheetData>
    <row r="1" spans="1:41">
      <c r="V1" t="s">
        <v>1234</v>
      </c>
      <c r="W1" t="s">
        <v>957</v>
      </c>
      <c r="X1" t="s">
        <v>1235</v>
      </c>
      <c r="AO1" t="s">
        <v>957</v>
      </c>
    </row>
    <row r="2" spans="1:41">
      <c r="V2" t="s">
        <v>1043</v>
      </c>
      <c r="W2" t="s">
        <v>1041</v>
      </c>
      <c r="X2">
        <f>Z2</f>
        <v>0</v>
      </c>
      <c r="Z2">
        <f>IFERROR(_xlfn.XLOOKUP(TRIM(V2), M:M, O:O, "Not Found"), "Not Found")</f>
        <v>0</v>
      </c>
      <c r="AC2" s="9" t="s">
        <v>1236</v>
      </c>
      <c r="AD2" s="9" t="s">
        <v>1237</v>
      </c>
      <c r="AE2" t="s">
        <v>1114</v>
      </c>
      <c r="AG2" s="15" t="s">
        <v>6</v>
      </c>
      <c r="AH2" s="15" t="s">
        <v>7</v>
      </c>
      <c r="AI2" s="15" t="s">
        <v>8</v>
      </c>
      <c r="AJ2" s="15" t="s">
        <v>9</v>
      </c>
      <c r="AK2" s="15" t="s">
        <v>10</v>
      </c>
      <c r="AL2" s="15" t="s">
        <v>11</v>
      </c>
      <c r="AM2" s="15" t="s">
        <v>12</v>
      </c>
      <c r="AO2" t="s">
        <v>1238</v>
      </c>
    </row>
    <row r="3" spans="1:41">
      <c r="H3" t="s">
        <v>965</v>
      </c>
      <c r="I3" t="str">
        <f>TRIM(LOWER(H3))</f>
        <v>schapelle corby</v>
      </c>
      <c r="J3" t="str" cm="1">
        <f t="array" ref="J3:J919">_xlfn.TOCOL(H:H,3)</f>
        <v>schapelle corby</v>
      </c>
      <c r="K3" t="str">
        <f>IFERROR(_xlfn.XLOOKUP(TRIM(H3), M:M, N:N, "Not Found"), "Not Found")</f>
        <v>Case Related</v>
      </c>
      <c r="M3" t="s">
        <v>960</v>
      </c>
      <c r="N3" t="s">
        <v>961</v>
      </c>
      <c r="O3" t="s">
        <v>962</v>
      </c>
      <c r="V3" t="s">
        <v>1043</v>
      </c>
      <c r="W3" t="s">
        <v>1041</v>
      </c>
      <c r="X3">
        <f>Z3</f>
        <v>0</v>
      </c>
      <c r="Z3">
        <f>IFERROR(_xlfn.XLOOKUP(TRIM(V3), M:M, O:O, "Not Found"), "Not Found")</f>
        <v>0</v>
      </c>
      <c r="AC3" t="s">
        <v>1239</v>
      </c>
      <c r="AD3" t="s">
        <v>1237</v>
      </c>
      <c r="AE3" t="s">
        <v>1107</v>
      </c>
      <c r="AG3" s="15">
        <v>0</v>
      </c>
      <c r="AH3" s="15">
        <v>1</v>
      </c>
      <c r="AI3" s="15">
        <v>0</v>
      </c>
      <c r="AJ3" s="15">
        <v>0</v>
      </c>
      <c r="AK3" s="15">
        <v>0</v>
      </c>
      <c r="AL3" s="15">
        <v>0</v>
      </c>
      <c r="AM3" s="15">
        <v>0</v>
      </c>
      <c r="AO3" t="s">
        <v>1240</v>
      </c>
    </row>
    <row r="4" spans="1:41">
      <c r="B4" t="s">
        <v>1241</v>
      </c>
      <c r="C4" t="s">
        <v>1242</v>
      </c>
      <c r="H4" t="s">
        <v>992</v>
      </c>
      <c r="I4" t="str">
        <f t="shared" ref="I4:I67" si="0">TRIM(LOWER(H4))</f>
        <v>drug smuggler</v>
      </c>
      <c r="J4" t="str">
        <v>drug smuggler</v>
      </c>
      <c r="K4" t="str">
        <f>IFERROR(_xlfn.XLOOKUP(TRIM(H4), M:M, N:N, "Not Found"), "Not Found")</f>
        <v>Crime based</v>
      </c>
      <c r="M4" t="s">
        <v>965</v>
      </c>
      <c r="N4" t="s">
        <v>966</v>
      </c>
      <c r="O4">
        <v>0</v>
      </c>
      <c r="R4" t="s">
        <v>967</v>
      </c>
      <c r="S4">
        <v>318</v>
      </c>
      <c r="V4" t="s">
        <v>1043</v>
      </c>
      <c r="W4" t="s">
        <v>1041</v>
      </c>
      <c r="X4">
        <f>Z4</f>
        <v>0</v>
      </c>
      <c r="Z4">
        <f>IFERROR(_xlfn.XLOOKUP(TRIM(V4), M:M, O:O, "Not Found"), "Not Found")</f>
        <v>0</v>
      </c>
      <c r="AC4" t="s">
        <v>1239</v>
      </c>
      <c r="AD4" t="s">
        <v>1237</v>
      </c>
      <c r="AE4" t="s">
        <v>1107</v>
      </c>
      <c r="AG4" s="15">
        <v>0</v>
      </c>
      <c r="AH4" s="15">
        <v>0</v>
      </c>
      <c r="AI4" s="15">
        <v>0</v>
      </c>
      <c r="AJ4" s="15">
        <v>0</v>
      </c>
      <c r="AK4" s="15">
        <v>0</v>
      </c>
      <c r="AL4" s="15">
        <v>0</v>
      </c>
      <c r="AM4" s="15">
        <v>0</v>
      </c>
      <c r="AO4" t="s">
        <v>1240</v>
      </c>
    </row>
    <row r="5" spans="1:41">
      <c r="A5" t="s">
        <v>967</v>
      </c>
      <c r="B5">
        <v>318</v>
      </c>
      <c r="C5" s="3">
        <f>B5/$B$14*100</f>
        <v>34.678298800436202</v>
      </c>
      <c r="H5" t="s">
        <v>1028</v>
      </c>
      <c r="I5" t="str">
        <f t="shared" si="0"/>
        <v>corby</v>
      </c>
      <c r="J5" t="str">
        <v>corby</v>
      </c>
      <c r="K5" t="str">
        <f>IFERROR(_xlfn.XLOOKUP(TRIM(H5), M:M, N:N, "Not Found"), "Not Found")</f>
        <v>Familial based</v>
      </c>
      <c r="M5" t="s">
        <v>968</v>
      </c>
      <c r="N5" t="s">
        <v>966</v>
      </c>
      <c r="O5">
        <v>0</v>
      </c>
      <c r="R5" t="s">
        <v>969</v>
      </c>
      <c r="S5">
        <v>105</v>
      </c>
      <c r="V5" t="s">
        <v>1043</v>
      </c>
      <c r="W5" t="s">
        <v>1041</v>
      </c>
      <c r="X5">
        <f>Z5</f>
        <v>0</v>
      </c>
      <c r="Z5">
        <f>IFERROR(_xlfn.XLOOKUP(TRIM(V5), M:M, O:O, "Not Found"), "Not Found")</f>
        <v>0</v>
      </c>
      <c r="AC5" t="s">
        <v>1239</v>
      </c>
      <c r="AD5" t="s">
        <v>1237</v>
      </c>
      <c r="AE5" t="s">
        <v>1107</v>
      </c>
      <c r="AG5" s="15">
        <v>0</v>
      </c>
      <c r="AH5" s="15">
        <v>0</v>
      </c>
      <c r="AI5" s="15">
        <v>0</v>
      </c>
      <c r="AJ5" s="15">
        <v>0</v>
      </c>
      <c r="AK5" s="15">
        <v>0</v>
      </c>
      <c r="AL5" s="15">
        <v>0</v>
      </c>
      <c r="AM5" s="15">
        <v>0</v>
      </c>
      <c r="AO5" t="s">
        <v>1243</v>
      </c>
    </row>
    <row r="6" spans="1:41">
      <c r="A6" t="s">
        <v>969</v>
      </c>
      <c r="B6">
        <v>105</v>
      </c>
      <c r="C6" s="3">
        <f t="shared" ref="C6:C12" si="1">B6/$B$14*100</f>
        <v>11.450381679389313</v>
      </c>
      <c r="H6" t="s">
        <v>965</v>
      </c>
      <c r="I6" t="str">
        <f t="shared" si="0"/>
        <v>schapelle corby</v>
      </c>
      <c r="J6" t="str">
        <v>schapelle corby</v>
      </c>
      <c r="K6" t="str">
        <f>IFERROR(_xlfn.XLOOKUP(TRIM(H6), M:M, N:N, "Not Found"), "Not Found")</f>
        <v>Case Related</v>
      </c>
      <c r="M6" t="s">
        <v>970</v>
      </c>
      <c r="N6" t="s">
        <v>966</v>
      </c>
      <c r="O6">
        <v>0</v>
      </c>
      <c r="R6" t="s">
        <v>971</v>
      </c>
      <c r="S6">
        <v>81</v>
      </c>
      <c r="V6" t="s">
        <v>1043</v>
      </c>
      <c r="W6" t="s">
        <v>1041</v>
      </c>
      <c r="X6">
        <f>Z6</f>
        <v>0</v>
      </c>
      <c r="Z6">
        <f>IFERROR(_xlfn.XLOOKUP(TRIM(V6), M:M, O:O, "Not Found"), "Not Found")</f>
        <v>0</v>
      </c>
      <c r="AC6" t="s">
        <v>1244</v>
      </c>
      <c r="AD6" t="s">
        <v>1237</v>
      </c>
      <c r="AE6" t="s">
        <v>1114</v>
      </c>
      <c r="AG6" s="15">
        <v>0</v>
      </c>
      <c r="AH6" s="15">
        <v>0</v>
      </c>
      <c r="AI6" s="15">
        <v>1</v>
      </c>
      <c r="AJ6" s="15">
        <v>0</v>
      </c>
      <c r="AK6" s="15">
        <v>0</v>
      </c>
      <c r="AL6" s="15">
        <v>0</v>
      </c>
      <c r="AM6" s="15">
        <v>0</v>
      </c>
      <c r="AO6" t="s">
        <v>1245</v>
      </c>
    </row>
    <row r="7" spans="1:41">
      <c r="A7" t="s">
        <v>971</v>
      </c>
      <c r="B7">
        <v>81</v>
      </c>
      <c r="C7" s="3">
        <f t="shared" si="1"/>
        <v>8.8331515812431842</v>
      </c>
      <c r="H7" t="s">
        <v>1024</v>
      </c>
      <c r="I7" t="str">
        <f t="shared" si="0"/>
        <v>sister</v>
      </c>
      <c r="J7" t="str">
        <v>sister</v>
      </c>
      <c r="K7" t="str">
        <f>IFERROR(_xlfn.XLOOKUP(TRIM(H7), M:M, N:N, "Not Found"), "Not Found")</f>
        <v>Familial based</v>
      </c>
      <c r="M7" t="s">
        <v>972</v>
      </c>
      <c r="N7" t="s">
        <v>966</v>
      </c>
      <c r="O7">
        <v>0</v>
      </c>
      <c r="R7" t="s">
        <v>973</v>
      </c>
      <c r="S7">
        <v>231</v>
      </c>
      <c r="V7" t="s">
        <v>1043</v>
      </c>
      <c r="W7" t="s">
        <v>1041</v>
      </c>
      <c r="X7">
        <f>Z7</f>
        <v>0</v>
      </c>
      <c r="Z7">
        <f>IFERROR(_xlfn.XLOOKUP(TRIM(V7), M:M, O:O, "Not Found"), "Not Found")</f>
        <v>0</v>
      </c>
      <c r="AC7" t="s">
        <v>1236</v>
      </c>
      <c r="AD7" t="s">
        <v>1237</v>
      </c>
      <c r="AE7" t="s">
        <v>1114</v>
      </c>
      <c r="AG7" s="15">
        <v>0</v>
      </c>
      <c r="AH7" s="15">
        <v>0.5</v>
      </c>
      <c r="AI7" s="15">
        <v>0</v>
      </c>
      <c r="AJ7" s="15">
        <v>0</v>
      </c>
      <c r="AK7" s="15">
        <v>0</v>
      </c>
      <c r="AL7" s="15">
        <v>0</v>
      </c>
      <c r="AM7" s="15">
        <v>0</v>
      </c>
      <c r="AO7" t="s">
        <v>1240</v>
      </c>
    </row>
    <row r="8" spans="1:41">
      <c r="A8" t="s">
        <v>973</v>
      </c>
      <c r="B8">
        <v>231</v>
      </c>
      <c r="C8" s="3">
        <f t="shared" si="1"/>
        <v>25.190839694656486</v>
      </c>
      <c r="H8" t="s">
        <v>1025</v>
      </c>
      <c r="I8" t="str">
        <f t="shared" si="0"/>
        <v>sisters</v>
      </c>
      <c r="J8" t="str">
        <v>sisters</v>
      </c>
      <c r="K8" t="str">
        <f>IFERROR(_xlfn.XLOOKUP(TRIM(H8), M:M, N:N, "Not Found"), "Not Found")</f>
        <v>Familial based</v>
      </c>
      <c r="M8" t="s">
        <v>974</v>
      </c>
      <c r="N8" t="s">
        <v>966</v>
      </c>
      <c r="O8">
        <v>0</v>
      </c>
      <c r="R8" t="s">
        <v>975</v>
      </c>
      <c r="S8">
        <v>34</v>
      </c>
      <c r="V8" t="s">
        <v>1043</v>
      </c>
      <c r="W8" t="s">
        <v>1041</v>
      </c>
      <c r="X8">
        <f>Z8</f>
        <v>0</v>
      </c>
      <c r="Z8">
        <f>IFERROR(_xlfn.XLOOKUP(TRIM(V8), M:M, O:O, "Not Found"), "Not Found")</f>
        <v>0</v>
      </c>
      <c r="AC8" t="s">
        <v>1244</v>
      </c>
      <c r="AD8" t="s">
        <v>1237</v>
      </c>
      <c r="AE8" t="s">
        <v>1114</v>
      </c>
      <c r="AG8" s="15">
        <v>0</v>
      </c>
      <c r="AH8" s="15">
        <v>0</v>
      </c>
      <c r="AI8" s="15">
        <v>0</v>
      </c>
      <c r="AJ8" s="15">
        <v>0</v>
      </c>
      <c r="AK8" s="15">
        <v>0</v>
      </c>
      <c r="AL8" s="15">
        <v>0</v>
      </c>
      <c r="AM8" s="15">
        <v>0</v>
      </c>
      <c r="AO8" t="s">
        <v>1246</v>
      </c>
    </row>
    <row r="9" spans="1:41">
      <c r="A9" t="s">
        <v>975</v>
      </c>
      <c r="B9">
        <v>34</v>
      </c>
      <c r="C9" s="3">
        <f t="shared" si="1"/>
        <v>3.7077426390403492</v>
      </c>
      <c r="H9" t="s">
        <v>1028</v>
      </c>
      <c r="I9" t="str">
        <f t="shared" si="0"/>
        <v>corby</v>
      </c>
      <c r="J9" t="str">
        <v>corby</v>
      </c>
      <c r="K9" t="str">
        <f>IFERROR(_xlfn.XLOOKUP(TRIM(H9), M:M, N:N, "Not Found"), "Not Found")</f>
        <v>Familial based</v>
      </c>
      <c r="M9" t="s">
        <v>976</v>
      </c>
      <c r="N9" t="s">
        <v>966</v>
      </c>
      <c r="O9">
        <v>0</v>
      </c>
      <c r="R9" t="s">
        <v>977</v>
      </c>
      <c r="S9">
        <v>14</v>
      </c>
      <c r="V9" t="s">
        <v>1043</v>
      </c>
      <c r="W9" t="s">
        <v>1041</v>
      </c>
      <c r="X9">
        <f>Z9</f>
        <v>0</v>
      </c>
      <c r="Z9">
        <f>IFERROR(_xlfn.XLOOKUP(TRIM(V9), M:M, O:O, "Not Found"), "Not Found")</f>
        <v>0</v>
      </c>
      <c r="AC9" t="s">
        <v>1247</v>
      </c>
      <c r="AD9" t="s">
        <v>1237</v>
      </c>
      <c r="AE9" t="s">
        <v>1111</v>
      </c>
      <c r="AG9" s="15">
        <v>0</v>
      </c>
      <c r="AH9" s="15">
        <v>0</v>
      </c>
      <c r="AI9" s="15">
        <v>0</v>
      </c>
      <c r="AJ9" s="15">
        <v>0</v>
      </c>
      <c r="AK9" s="15">
        <v>0</v>
      </c>
      <c r="AL9" s="15">
        <v>0</v>
      </c>
      <c r="AM9" s="15">
        <v>0</v>
      </c>
      <c r="AO9" t="s">
        <v>1240</v>
      </c>
    </row>
    <row r="10" spans="1:41">
      <c r="A10" t="s">
        <v>977</v>
      </c>
      <c r="B10">
        <v>14</v>
      </c>
      <c r="C10" s="3">
        <f t="shared" si="1"/>
        <v>1.5267175572519083</v>
      </c>
      <c r="H10" t="s">
        <v>1029</v>
      </c>
      <c r="I10" t="str">
        <f t="shared" si="0"/>
        <v>brother</v>
      </c>
      <c r="J10" t="str">
        <v>brother</v>
      </c>
      <c r="K10" t="str">
        <f>IFERROR(_xlfn.XLOOKUP(TRIM(H10), M:M, N:N, "Not Found"), "Not Found")</f>
        <v>Familial based</v>
      </c>
      <c r="M10" t="s">
        <v>978</v>
      </c>
      <c r="N10" t="s">
        <v>966</v>
      </c>
      <c r="O10">
        <v>0</v>
      </c>
      <c r="R10" t="s">
        <v>979</v>
      </c>
      <c r="S10">
        <v>4</v>
      </c>
      <c r="V10" t="s">
        <v>1043</v>
      </c>
      <c r="W10" t="s">
        <v>1041</v>
      </c>
      <c r="X10">
        <f>Z10</f>
        <v>0</v>
      </c>
      <c r="Z10">
        <f>IFERROR(_xlfn.XLOOKUP(TRIM(V10), M:M, O:O, "Not Found"), "Not Found")</f>
        <v>0</v>
      </c>
      <c r="AC10" t="s">
        <v>1236</v>
      </c>
      <c r="AD10" t="s">
        <v>1237</v>
      </c>
      <c r="AE10" t="s">
        <v>1114</v>
      </c>
      <c r="AG10" s="15">
        <v>0</v>
      </c>
      <c r="AH10" s="15">
        <v>0</v>
      </c>
      <c r="AI10" s="15">
        <v>0</v>
      </c>
      <c r="AJ10" s="15">
        <v>0</v>
      </c>
      <c r="AK10" s="15">
        <v>0</v>
      </c>
      <c r="AL10" s="15">
        <v>0</v>
      </c>
      <c r="AM10" s="15">
        <v>0</v>
      </c>
      <c r="AO10" t="s">
        <v>1240</v>
      </c>
    </row>
    <row r="11" spans="1:41">
      <c r="A11" t="s">
        <v>979</v>
      </c>
      <c r="B11">
        <v>4</v>
      </c>
      <c r="C11" s="3">
        <f t="shared" si="1"/>
        <v>0.43620501635768816</v>
      </c>
      <c r="H11" t="s">
        <v>965</v>
      </c>
      <c r="I11" t="str">
        <f t="shared" si="0"/>
        <v>schapelle corby</v>
      </c>
      <c r="J11" t="str">
        <v>schapelle corby</v>
      </c>
      <c r="K11" t="str">
        <f>IFERROR(_xlfn.XLOOKUP(TRIM(H11), M:M, N:N, "Not Found"), "Not Found")</f>
        <v>Case Related</v>
      </c>
      <c r="M11" t="s">
        <v>980</v>
      </c>
      <c r="N11" t="s">
        <v>966</v>
      </c>
      <c r="O11">
        <v>0</v>
      </c>
      <c r="R11" t="s">
        <v>981</v>
      </c>
      <c r="S11">
        <v>105</v>
      </c>
      <c r="V11" t="s">
        <v>1043</v>
      </c>
      <c r="W11" t="s">
        <v>1041</v>
      </c>
      <c r="X11">
        <f>Z11</f>
        <v>0</v>
      </c>
      <c r="Z11">
        <f>IFERROR(_xlfn.XLOOKUP(TRIM(V11), M:M, O:O, "Not Found"), "Not Found")</f>
        <v>0</v>
      </c>
      <c r="AC11" t="s">
        <v>1239</v>
      </c>
      <c r="AD11" t="s">
        <v>1237</v>
      </c>
      <c r="AE11" t="s">
        <v>1107</v>
      </c>
      <c r="AG11" s="15">
        <v>0</v>
      </c>
      <c r="AH11" s="15">
        <v>0</v>
      </c>
      <c r="AI11" s="15">
        <v>0</v>
      </c>
      <c r="AJ11" s="15">
        <v>0</v>
      </c>
      <c r="AK11" s="15">
        <v>0</v>
      </c>
      <c r="AL11" s="15">
        <v>0</v>
      </c>
      <c r="AM11" s="15">
        <v>0</v>
      </c>
      <c r="AO11" t="s">
        <v>1240</v>
      </c>
    </row>
    <row r="12" spans="1:41">
      <c r="A12" t="s">
        <v>981</v>
      </c>
      <c r="B12">
        <v>105</v>
      </c>
      <c r="C12" s="3">
        <f t="shared" si="1"/>
        <v>11.450381679389313</v>
      </c>
      <c r="H12" t="s">
        <v>970</v>
      </c>
      <c r="I12" t="str">
        <f t="shared" si="0"/>
        <v>australian</v>
      </c>
      <c r="J12" t="str">
        <v>australian</v>
      </c>
      <c r="K12" t="str">
        <f>IFERROR(_xlfn.XLOOKUP(TRIM(H12), M:M, N:N, "Not Found"), "Not Found")</f>
        <v>Case Related</v>
      </c>
      <c r="M12" t="s">
        <v>982</v>
      </c>
      <c r="N12" t="s">
        <v>966</v>
      </c>
      <c r="O12">
        <v>0</v>
      </c>
      <c r="V12" t="s">
        <v>1043</v>
      </c>
      <c r="W12" t="s">
        <v>1041</v>
      </c>
      <c r="X12">
        <f>Z12</f>
        <v>0</v>
      </c>
      <c r="Z12">
        <f>IFERROR(_xlfn.XLOOKUP(TRIM(V12), M:M, O:O, "Not Found"), "Not Found")</f>
        <v>0</v>
      </c>
      <c r="AC12" t="s">
        <v>1248</v>
      </c>
      <c r="AD12" t="s">
        <v>1237</v>
      </c>
      <c r="AE12" t="s">
        <v>1108</v>
      </c>
      <c r="AG12" s="15">
        <v>0</v>
      </c>
      <c r="AH12" s="15">
        <v>0</v>
      </c>
      <c r="AI12" s="15">
        <v>0</v>
      </c>
      <c r="AJ12" s="15">
        <v>0</v>
      </c>
      <c r="AK12" s="15">
        <v>0</v>
      </c>
      <c r="AL12" s="15">
        <v>0</v>
      </c>
      <c r="AM12" s="15">
        <v>0</v>
      </c>
      <c r="AO12" t="s">
        <v>1246</v>
      </c>
    </row>
    <row r="13" spans="1:41">
      <c r="H13" t="s">
        <v>983</v>
      </c>
      <c r="I13" t="str">
        <f t="shared" si="0"/>
        <v>australia</v>
      </c>
      <c r="J13" t="str">
        <v>australia</v>
      </c>
      <c r="K13" t="str">
        <f>IFERROR(_xlfn.XLOOKUP(TRIM(H13), M:M, N:N, "Not Found"), "Not Found")</f>
        <v>Case Related</v>
      </c>
      <c r="M13" t="s">
        <v>983</v>
      </c>
      <c r="N13" t="s">
        <v>966</v>
      </c>
      <c r="O13">
        <v>0</v>
      </c>
      <c r="V13" t="s">
        <v>1043</v>
      </c>
      <c r="W13" t="s">
        <v>1041</v>
      </c>
      <c r="X13">
        <f>Z13</f>
        <v>0</v>
      </c>
      <c r="Z13">
        <f>IFERROR(_xlfn.XLOOKUP(TRIM(V13), M:M, O:O, "Not Found"), "Not Found")</f>
        <v>0</v>
      </c>
      <c r="AC13" t="s">
        <v>1236</v>
      </c>
      <c r="AD13" t="s">
        <v>1237</v>
      </c>
      <c r="AE13" t="s">
        <v>1114</v>
      </c>
      <c r="AG13" s="15">
        <v>0</v>
      </c>
      <c r="AH13" s="15">
        <v>0</v>
      </c>
      <c r="AI13" s="15">
        <v>0</v>
      </c>
      <c r="AJ13" s="15">
        <v>0</v>
      </c>
      <c r="AK13" s="15">
        <v>0</v>
      </c>
      <c r="AL13" s="15">
        <v>0</v>
      </c>
      <c r="AM13" s="15">
        <v>0</v>
      </c>
      <c r="AO13" t="s">
        <v>1240</v>
      </c>
    </row>
    <row r="14" spans="1:41">
      <c r="A14" t="s">
        <v>1249</v>
      </c>
      <c r="B14">
        <v>917</v>
      </c>
      <c r="C14" s="3">
        <f>SUM(C5:C12)</f>
        <v>97.273718647764454</v>
      </c>
      <c r="H14" t="s">
        <v>1028</v>
      </c>
      <c r="I14" t="str">
        <f t="shared" si="0"/>
        <v>corby</v>
      </c>
      <c r="J14" t="str">
        <v>corby</v>
      </c>
      <c r="K14" t="str">
        <f>IFERROR(_xlfn.XLOOKUP(TRIM(H14), M:M, N:N, "Not Found"), "Not Found")</f>
        <v>Familial based</v>
      </c>
      <c r="M14" t="s">
        <v>984</v>
      </c>
      <c r="N14" t="s">
        <v>985</v>
      </c>
      <c r="O14">
        <v>0</v>
      </c>
      <c r="S14" t="s">
        <v>1250</v>
      </c>
      <c r="V14" t="s">
        <v>1044</v>
      </c>
      <c r="W14" t="s">
        <v>1041</v>
      </c>
      <c r="X14">
        <f>Z14</f>
        <v>2</v>
      </c>
      <c r="Z14">
        <f>IFERROR(_xlfn.XLOOKUP(TRIM(V14), M:M, O:O, "Not Found"), "Not Found")</f>
        <v>2</v>
      </c>
      <c r="AC14" t="s">
        <v>1239</v>
      </c>
      <c r="AD14" t="s">
        <v>1237</v>
      </c>
      <c r="AE14" t="s">
        <v>1107</v>
      </c>
      <c r="AG14" s="15">
        <v>0</v>
      </c>
      <c r="AH14" s="15">
        <v>0</v>
      </c>
      <c r="AI14" s="15">
        <v>0</v>
      </c>
      <c r="AJ14" s="15">
        <v>0</v>
      </c>
      <c r="AK14" s="15">
        <v>0</v>
      </c>
      <c r="AL14" s="15">
        <v>0</v>
      </c>
      <c r="AM14" s="15">
        <v>0</v>
      </c>
      <c r="AO14" t="s">
        <v>1058</v>
      </c>
    </row>
    <row r="15" spans="1:41">
      <c r="C15">
        <f>C14+((B18/B14)*100)</f>
        <v>100</v>
      </c>
      <c r="H15" t="s">
        <v>965</v>
      </c>
      <c r="I15" t="str">
        <f t="shared" si="0"/>
        <v>schapelle corby</v>
      </c>
      <c r="J15" t="str">
        <v>schapelle corby</v>
      </c>
      <c r="K15" t="str">
        <f>IFERROR(_xlfn.XLOOKUP(TRIM(H15), M:M, N:N, "Not Found"), "Not Found")</f>
        <v>Case Related</v>
      </c>
      <c r="M15" t="s">
        <v>986</v>
      </c>
      <c r="N15" t="s">
        <v>985</v>
      </c>
      <c r="O15">
        <v>1</v>
      </c>
      <c r="R15" t="s">
        <v>1043</v>
      </c>
      <c r="S15">
        <f>COUNTA(V2:V13)</f>
        <v>12</v>
      </c>
      <c r="V15" t="s">
        <v>1044</v>
      </c>
      <c r="W15" t="s">
        <v>1041</v>
      </c>
      <c r="X15">
        <f>Z15</f>
        <v>2</v>
      </c>
      <c r="Z15">
        <f>IFERROR(_xlfn.XLOOKUP(TRIM(V15), M:M, O:O, "Not Found"), "Not Found")</f>
        <v>2</v>
      </c>
      <c r="AC15" t="s">
        <v>1248</v>
      </c>
      <c r="AD15" t="s">
        <v>1237</v>
      </c>
      <c r="AE15" t="s">
        <v>1108</v>
      </c>
      <c r="AG15" s="15">
        <v>0</v>
      </c>
      <c r="AH15" s="15">
        <v>0</v>
      </c>
      <c r="AI15" s="15">
        <v>0</v>
      </c>
      <c r="AJ15" s="15">
        <v>0</v>
      </c>
      <c r="AK15" s="15">
        <v>0</v>
      </c>
      <c r="AL15" s="15">
        <v>0</v>
      </c>
      <c r="AM15" s="15">
        <v>0</v>
      </c>
      <c r="AO15" t="s">
        <v>1240</v>
      </c>
    </row>
    <row r="16" spans="1:41">
      <c r="H16" t="s">
        <v>1020</v>
      </c>
      <c r="I16" t="str">
        <f t="shared" si="0"/>
        <v>af</v>
      </c>
      <c r="J16" t="str">
        <v>af</v>
      </c>
      <c r="K16" t="str">
        <f>IFERROR(_xlfn.XLOOKUP(TRIM(H16), M:M, N:N, "Not Found"), "Not Found")</f>
        <v>Intelligence based</v>
      </c>
      <c r="M16" t="s">
        <v>987</v>
      </c>
      <c r="N16" t="s">
        <v>985</v>
      </c>
      <c r="O16">
        <v>1</v>
      </c>
      <c r="R16" t="s">
        <v>983</v>
      </c>
      <c r="S16">
        <f>COUNTA(V16:V96)</f>
        <v>81</v>
      </c>
      <c r="V16" t="s">
        <v>983</v>
      </c>
      <c r="W16" t="s">
        <v>966</v>
      </c>
      <c r="X16">
        <f>Z16</f>
        <v>0</v>
      </c>
      <c r="Z16">
        <f>IFERROR(_xlfn.XLOOKUP(TRIM(V16), M:M, O:O, "Not Found"), "Not Found")</f>
        <v>0</v>
      </c>
      <c r="AC16" t="s">
        <v>1236</v>
      </c>
      <c r="AD16" t="s">
        <v>1237</v>
      </c>
      <c r="AE16" t="s">
        <v>1114</v>
      </c>
      <c r="AG16" s="15">
        <v>0</v>
      </c>
      <c r="AH16" s="15">
        <v>0</v>
      </c>
      <c r="AI16" s="15">
        <v>0</v>
      </c>
      <c r="AJ16" s="15">
        <v>0</v>
      </c>
      <c r="AK16" s="15">
        <v>0</v>
      </c>
      <c r="AL16" s="15">
        <v>0</v>
      </c>
      <c r="AM16" s="15">
        <v>0</v>
      </c>
      <c r="AO16" t="s">
        <v>1240</v>
      </c>
    </row>
    <row r="17" spans="1:41">
      <c r="A17" t="s">
        <v>1251</v>
      </c>
      <c r="B17">
        <v>496</v>
      </c>
      <c r="H17" t="s">
        <v>1028</v>
      </c>
      <c r="I17" t="str">
        <f t="shared" si="0"/>
        <v>corby</v>
      </c>
      <c r="J17" t="str">
        <v>corby</v>
      </c>
      <c r="K17" t="str">
        <f>IFERROR(_xlfn.XLOOKUP(TRIM(H17), M:M, N:N, "Not Found"), "Not Found")</f>
        <v>Familial based</v>
      </c>
      <c r="M17" t="s">
        <v>988</v>
      </c>
      <c r="N17" t="s">
        <v>985</v>
      </c>
      <c r="O17">
        <v>0</v>
      </c>
      <c r="R17" t="s">
        <v>970</v>
      </c>
      <c r="S17">
        <f>COUNTA(V97:V130)</f>
        <v>34</v>
      </c>
      <c r="V17" t="s">
        <v>983</v>
      </c>
      <c r="W17" t="s">
        <v>966</v>
      </c>
      <c r="X17">
        <f>Z17</f>
        <v>0</v>
      </c>
      <c r="Z17">
        <f>IFERROR(_xlfn.XLOOKUP(TRIM(V17), M:M, O:O, "Not Found"), "Not Found")</f>
        <v>0</v>
      </c>
      <c r="AC17" t="s">
        <v>1244</v>
      </c>
      <c r="AD17" t="s">
        <v>1237</v>
      </c>
      <c r="AE17" t="s">
        <v>1114</v>
      </c>
      <c r="AG17" s="15">
        <v>0</v>
      </c>
      <c r="AH17" s="15">
        <v>0</v>
      </c>
      <c r="AI17" s="15">
        <v>0</v>
      </c>
      <c r="AJ17" s="15">
        <v>0</v>
      </c>
      <c r="AK17" s="15">
        <v>0</v>
      </c>
      <c r="AL17" s="15">
        <v>0</v>
      </c>
      <c r="AM17" s="15">
        <v>0</v>
      </c>
      <c r="AO17" t="s">
        <v>1252</v>
      </c>
    </row>
    <row r="18" spans="1:41">
      <c r="A18" t="s">
        <v>1253</v>
      </c>
      <c r="B18">
        <v>25</v>
      </c>
      <c r="H18" t="s">
        <v>965</v>
      </c>
      <c r="I18" t="str">
        <f t="shared" si="0"/>
        <v>schapelle corby</v>
      </c>
      <c r="J18" t="str">
        <v>schapelle corby</v>
      </c>
      <c r="K18" t="str">
        <f>IFERROR(_xlfn.XLOOKUP(TRIM(H18), M:M, N:N, "Not Found"), "Not Found")</f>
        <v>Case Related</v>
      </c>
      <c r="M18" t="s">
        <v>989</v>
      </c>
      <c r="N18" t="s">
        <v>985</v>
      </c>
      <c r="O18">
        <v>1</v>
      </c>
      <c r="R18" t="s">
        <v>965</v>
      </c>
      <c r="S18">
        <f>COUNTA(V168:V332)</f>
        <v>165</v>
      </c>
      <c r="V18" t="s">
        <v>983</v>
      </c>
      <c r="W18" t="s">
        <v>966</v>
      </c>
      <c r="X18">
        <f>Z18</f>
        <v>0</v>
      </c>
      <c r="Z18">
        <f>IFERROR(_xlfn.XLOOKUP(TRIM(V18), M:M, O:O, "Not Found"), "Not Found")</f>
        <v>0</v>
      </c>
      <c r="AC18" t="s">
        <v>1248</v>
      </c>
      <c r="AD18" t="s">
        <v>1237</v>
      </c>
      <c r="AE18" t="s">
        <v>1108</v>
      </c>
      <c r="AG18" s="15">
        <v>0</v>
      </c>
      <c r="AH18" s="15">
        <v>0</v>
      </c>
      <c r="AI18" s="15">
        <v>1</v>
      </c>
      <c r="AJ18" s="15">
        <v>0</v>
      </c>
      <c r="AK18" s="15">
        <v>0</v>
      </c>
      <c r="AL18" s="15">
        <v>0</v>
      </c>
      <c r="AM18" s="15">
        <v>0</v>
      </c>
      <c r="AO18" t="s">
        <v>1240</v>
      </c>
    </row>
    <row r="19" spans="1:41">
      <c r="H19" t="s">
        <v>970</v>
      </c>
      <c r="I19" t="str">
        <f t="shared" si="0"/>
        <v>australian</v>
      </c>
      <c r="J19" t="str">
        <v>australian</v>
      </c>
      <c r="K19" t="str">
        <f>IFERROR(_xlfn.XLOOKUP(TRIM(H19), M:M, N:N, "Not Found"), "Not Found")</f>
        <v>Case Related</v>
      </c>
      <c r="M19" t="s">
        <v>990</v>
      </c>
      <c r="N19" t="s">
        <v>985</v>
      </c>
      <c r="O19">
        <v>2</v>
      </c>
      <c r="R19" t="s">
        <v>1031</v>
      </c>
      <c r="S19">
        <f>COUNTA(V349:V371)</f>
        <v>23</v>
      </c>
      <c r="V19" t="s">
        <v>983</v>
      </c>
      <c r="W19" t="s">
        <v>966</v>
      </c>
      <c r="X19">
        <f>Z19</f>
        <v>0</v>
      </c>
      <c r="Z19">
        <f>IFERROR(_xlfn.XLOOKUP(TRIM(V19), M:M, O:O, "Not Found"), "Not Found")</f>
        <v>0</v>
      </c>
      <c r="AC19" t="s">
        <v>1236</v>
      </c>
      <c r="AD19" t="s">
        <v>1237</v>
      </c>
      <c r="AE19" t="s">
        <v>1114</v>
      </c>
      <c r="AG19" s="15">
        <v>0</v>
      </c>
      <c r="AH19" s="15">
        <v>0</v>
      </c>
      <c r="AI19" s="15">
        <v>0</v>
      </c>
      <c r="AJ19" s="15">
        <v>0</v>
      </c>
      <c r="AK19" s="15">
        <v>0</v>
      </c>
      <c r="AL19" s="15">
        <v>0</v>
      </c>
      <c r="AM19" s="15">
        <v>0</v>
      </c>
      <c r="AO19" t="s">
        <v>1254</v>
      </c>
    </row>
    <row r="20" spans="1:41">
      <c r="H20" t="s">
        <v>974</v>
      </c>
      <c r="I20" t="str">
        <f t="shared" si="0"/>
        <v>smuggling</v>
      </c>
      <c r="J20" t="str">
        <v>smuggling</v>
      </c>
      <c r="K20" t="str">
        <f>IFERROR(_xlfn.XLOOKUP(TRIM(H20), M:M, N:N, "Not Found"), "Not Found")</f>
        <v>Case Related</v>
      </c>
      <c r="M20" t="s">
        <v>991</v>
      </c>
      <c r="N20" t="s">
        <v>985</v>
      </c>
      <c r="O20">
        <v>1</v>
      </c>
      <c r="R20" t="s">
        <v>988</v>
      </c>
      <c r="S20">
        <f>COUNTA(V385:V395)</f>
        <v>11</v>
      </c>
      <c r="V20" t="s">
        <v>983</v>
      </c>
      <c r="W20" t="s">
        <v>966</v>
      </c>
      <c r="X20">
        <f>Z20</f>
        <v>0</v>
      </c>
      <c r="Z20">
        <f>IFERROR(_xlfn.XLOOKUP(TRIM(V20), M:M, O:O, "Not Found"), "Not Found")</f>
        <v>0</v>
      </c>
      <c r="AC20" t="s">
        <v>1248</v>
      </c>
      <c r="AD20" t="s">
        <v>1237</v>
      </c>
      <c r="AE20" t="s">
        <v>1108</v>
      </c>
      <c r="AG20" s="15">
        <v>0</v>
      </c>
      <c r="AH20" s="15">
        <v>0</v>
      </c>
      <c r="AI20" s="15">
        <v>3</v>
      </c>
      <c r="AJ20" s="15">
        <v>0</v>
      </c>
      <c r="AK20" s="15">
        <v>3</v>
      </c>
      <c r="AL20" s="15">
        <v>0</v>
      </c>
      <c r="AM20" s="15">
        <v>0</v>
      </c>
      <c r="AO20" t="s">
        <v>1238</v>
      </c>
    </row>
    <row r="21" spans="1:41">
      <c r="H21" t="s">
        <v>978</v>
      </c>
      <c r="I21" t="str">
        <f t="shared" si="0"/>
        <v>conviction</v>
      </c>
      <c r="J21" t="str">
        <v>conviction</v>
      </c>
      <c r="K21" t="str">
        <f>IFERROR(_xlfn.XLOOKUP(TRIM(H21), M:M, N:N, "Not Found"), "Not Found")</f>
        <v>Case Related</v>
      </c>
      <c r="M21" t="s">
        <v>992</v>
      </c>
      <c r="N21" t="s">
        <v>985</v>
      </c>
      <c r="O21">
        <v>1</v>
      </c>
      <c r="R21" t="s">
        <v>989</v>
      </c>
      <c r="S21">
        <f>COUNTA(V396:V409)</f>
        <v>14</v>
      </c>
      <c r="V21" t="s">
        <v>983</v>
      </c>
      <c r="W21" t="s">
        <v>966</v>
      </c>
      <c r="X21">
        <f>Z21</f>
        <v>0</v>
      </c>
      <c r="Z21">
        <f>IFERROR(_xlfn.XLOOKUP(TRIM(V21), M:M, O:O, "Not Found"), "Not Found")</f>
        <v>0</v>
      </c>
      <c r="AC21" t="s">
        <v>1244</v>
      </c>
      <c r="AD21" t="s">
        <v>1237</v>
      </c>
      <c r="AE21" t="s">
        <v>1114</v>
      </c>
      <c r="AG21" s="15">
        <v>0</v>
      </c>
      <c r="AH21" s="15">
        <v>1.5</v>
      </c>
      <c r="AI21" s="15">
        <v>0</v>
      </c>
      <c r="AJ21" s="15">
        <v>0</v>
      </c>
      <c r="AK21" s="15">
        <v>0</v>
      </c>
      <c r="AL21" s="15">
        <v>0</v>
      </c>
      <c r="AM21" s="15">
        <v>0</v>
      </c>
      <c r="AO21" t="s">
        <v>1255</v>
      </c>
    </row>
    <row r="22" spans="1:41">
      <c r="H22" t="s">
        <v>983</v>
      </c>
      <c r="I22" t="str">
        <f t="shared" si="0"/>
        <v>australia</v>
      </c>
      <c r="J22" t="str">
        <v>australia</v>
      </c>
      <c r="K22" t="str">
        <f>IFERROR(_xlfn.XLOOKUP(TRIM(H22), M:M, N:N, "Not Found"), "Not Found")</f>
        <v>Case Related</v>
      </c>
      <c r="M22" t="s">
        <v>993</v>
      </c>
      <c r="N22" t="s">
        <v>985</v>
      </c>
      <c r="O22">
        <v>0</v>
      </c>
      <c r="R22" t="s">
        <v>992</v>
      </c>
      <c r="S22">
        <f>COUNTA(V411:V427)</f>
        <v>17</v>
      </c>
      <c r="V22" t="s">
        <v>983</v>
      </c>
      <c r="W22" t="s">
        <v>966</v>
      </c>
      <c r="X22">
        <f>Z22</f>
        <v>0</v>
      </c>
      <c r="Z22">
        <f>IFERROR(_xlfn.XLOOKUP(TRIM(V22), M:M, O:O, "Not Found"), "Not Found")</f>
        <v>0</v>
      </c>
      <c r="AC22" t="s">
        <v>1244</v>
      </c>
      <c r="AD22" t="s">
        <v>1237</v>
      </c>
      <c r="AE22" t="s">
        <v>1114</v>
      </c>
      <c r="AG22" s="15">
        <v>0</v>
      </c>
      <c r="AH22" s="15">
        <v>0</v>
      </c>
      <c r="AI22" s="15">
        <v>0</v>
      </c>
      <c r="AJ22" s="15">
        <v>0</v>
      </c>
      <c r="AK22" s="15">
        <v>0</v>
      </c>
      <c r="AL22" s="15">
        <v>0</v>
      </c>
      <c r="AM22" s="15">
        <v>0</v>
      </c>
      <c r="AO22" t="s">
        <v>1032</v>
      </c>
    </row>
    <row r="23" spans="1:41">
      <c r="H23" t="s">
        <v>988</v>
      </c>
      <c r="I23" t="str">
        <f t="shared" si="0"/>
        <v>convicted drug smuggler</v>
      </c>
      <c r="J23" t="str">
        <v>convicted drug smuggler</v>
      </c>
      <c r="K23" t="str">
        <f>IFERROR(_xlfn.XLOOKUP(TRIM(H23), M:M, N:N, "Not Found"), "Not Found")</f>
        <v>Crime based</v>
      </c>
      <c r="M23" t="s">
        <v>994</v>
      </c>
      <c r="N23" t="s">
        <v>985</v>
      </c>
      <c r="O23">
        <v>0</v>
      </c>
      <c r="R23" t="s">
        <v>984</v>
      </c>
      <c r="S23">
        <f>COUNTA(V433:V452)</f>
        <v>20</v>
      </c>
      <c r="V23" t="s">
        <v>983</v>
      </c>
      <c r="W23" t="s">
        <v>966</v>
      </c>
      <c r="X23">
        <f>Z23</f>
        <v>0</v>
      </c>
      <c r="Z23">
        <f>IFERROR(_xlfn.XLOOKUP(TRIM(V23), M:M, O:O, "Not Found"), "Not Found")</f>
        <v>0</v>
      </c>
      <c r="AC23" t="s">
        <v>1244</v>
      </c>
      <c r="AD23" t="s">
        <v>1237</v>
      </c>
      <c r="AE23" t="s">
        <v>1114</v>
      </c>
      <c r="AG23" s="15">
        <v>0</v>
      </c>
      <c r="AH23" s="15">
        <v>0</v>
      </c>
      <c r="AI23" s="15">
        <v>0</v>
      </c>
      <c r="AJ23" s="15">
        <v>0</v>
      </c>
      <c r="AK23" s="15">
        <v>2</v>
      </c>
      <c r="AL23" s="15">
        <v>0</v>
      </c>
      <c r="AM23" s="15">
        <v>0</v>
      </c>
      <c r="AO23" t="s">
        <v>1256</v>
      </c>
    </row>
    <row r="24" spans="1:41">
      <c r="H24" t="s">
        <v>992</v>
      </c>
      <c r="I24" t="str">
        <f t="shared" si="0"/>
        <v>drug smuggler</v>
      </c>
      <c r="J24" t="str">
        <v>drug smuggler</v>
      </c>
      <c r="K24" t="str">
        <f>IFERROR(_xlfn.XLOOKUP(TRIM(H24), M:M, N:N, "Not Found"), "Not Found")</f>
        <v>Crime based</v>
      </c>
      <c r="M24" t="s">
        <v>995</v>
      </c>
      <c r="N24" t="s">
        <v>985</v>
      </c>
      <c r="O24">
        <v>0</v>
      </c>
      <c r="R24" t="s">
        <v>1248</v>
      </c>
      <c r="S24">
        <f>COUNTA(V459:V470)</f>
        <v>12</v>
      </c>
      <c r="V24" t="s">
        <v>983</v>
      </c>
      <c r="W24" t="s">
        <v>966</v>
      </c>
      <c r="X24">
        <f>Z24</f>
        <v>0</v>
      </c>
      <c r="Z24">
        <f>IFERROR(_xlfn.XLOOKUP(TRIM(V24), M:M, O:O, "Not Found"), "Not Found")</f>
        <v>0</v>
      </c>
      <c r="AC24" t="s">
        <v>1257</v>
      </c>
      <c r="AD24" t="s">
        <v>1237</v>
      </c>
      <c r="AE24" t="s">
        <v>1108</v>
      </c>
      <c r="AG24" s="15">
        <v>0</v>
      </c>
      <c r="AH24" s="15">
        <v>0.5</v>
      </c>
      <c r="AI24" s="15">
        <v>1</v>
      </c>
      <c r="AJ24" s="15">
        <v>0</v>
      </c>
      <c r="AK24" s="15">
        <v>0</v>
      </c>
      <c r="AL24" s="15">
        <v>0</v>
      </c>
      <c r="AM24" s="15">
        <v>0</v>
      </c>
      <c r="AO24" t="s">
        <v>1256</v>
      </c>
    </row>
    <row r="25" spans="1:41">
      <c r="H25" t="s">
        <v>1028</v>
      </c>
      <c r="I25" t="str">
        <f t="shared" si="0"/>
        <v>corby</v>
      </c>
      <c r="J25" t="str">
        <v>corby</v>
      </c>
      <c r="K25" t="str">
        <f>IFERROR(_xlfn.XLOOKUP(TRIM(H25), M:M, N:N, "Not Found"), "Not Found")</f>
        <v>Familial based</v>
      </c>
      <c r="M25" t="s">
        <v>972</v>
      </c>
      <c r="N25" t="s">
        <v>985</v>
      </c>
      <c r="O25">
        <v>0</v>
      </c>
      <c r="V25" t="s">
        <v>983</v>
      </c>
      <c r="W25" t="s">
        <v>966</v>
      </c>
      <c r="X25">
        <f>Z25</f>
        <v>0</v>
      </c>
      <c r="Z25">
        <f>IFERROR(_xlfn.XLOOKUP(TRIM(V25), M:M, O:O, "Not Found"), "Not Found")</f>
        <v>0</v>
      </c>
      <c r="AC25" t="s">
        <v>1257</v>
      </c>
      <c r="AD25" t="s">
        <v>1237</v>
      </c>
      <c r="AE25" t="s">
        <v>1108</v>
      </c>
      <c r="AG25" s="15">
        <v>0</v>
      </c>
      <c r="AH25" s="15">
        <v>0.5</v>
      </c>
      <c r="AI25" s="15">
        <v>1</v>
      </c>
      <c r="AJ25" s="15">
        <v>0</v>
      </c>
      <c r="AK25" s="15">
        <v>0</v>
      </c>
      <c r="AL25" s="15">
        <v>0</v>
      </c>
      <c r="AM25" s="15">
        <v>0</v>
      </c>
      <c r="AO25" t="s">
        <v>1243</v>
      </c>
    </row>
    <row r="26" spans="1:41">
      <c r="H26" t="s">
        <v>978</v>
      </c>
      <c r="I26" t="str">
        <f t="shared" si="0"/>
        <v>conviction</v>
      </c>
      <c r="J26" t="str">
        <v>conviction</v>
      </c>
      <c r="K26" t="str">
        <f>IFERROR(_xlfn.XLOOKUP(TRIM(H26), M:M, N:N, "Not Found"), "Not Found")</f>
        <v>Case Related</v>
      </c>
      <c r="M26" t="s">
        <v>996</v>
      </c>
      <c r="N26" t="s">
        <v>985</v>
      </c>
      <c r="O26">
        <v>0</v>
      </c>
      <c r="V26" t="s">
        <v>983</v>
      </c>
      <c r="W26" t="s">
        <v>966</v>
      </c>
      <c r="X26">
        <f>Z26</f>
        <v>0</v>
      </c>
      <c r="Z26">
        <f>IFERROR(_xlfn.XLOOKUP(TRIM(V26), M:M, O:O, "Not Found"), "Not Found")</f>
        <v>0</v>
      </c>
      <c r="AC26" t="s">
        <v>1247</v>
      </c>
      <c r="AD26" t="s">
        <v>1237</v>
      </c>
      <c r="AE26" t="s">
        <v>1111</v>
      </c>
      <c r="AG26" s="15">
        <v>0</v>
      </c>
      <c r="AH26" s="15">
        <v>0</v>
      </c>
      <c r="AI26" s="15">
        <v>1</v>
      </c>
      <c r="AJ26" s="15">
        <v>0</v>
      </c>
      <c r="AK26" s="15">
        <v>0</v>
      </c>
      <c r="AL26" s="15">
        <v>0</v>
      </c>
      <c r="AM26" s="15">
        <v>0</v>
      </c>
      <c r="AO26" t="s">
        <v>1240</v>
      </c>
    </row>
    <row r="27" spans="1:41">
      <c r="H27" t="s">
        <v>1073</v>
      </c>
      <c r="I27" t="str">
        <f t="shared" si="0"/>
        <v>convicted</v>
      </c>
      <c r="J27" t="str">
        <v>convicted</v>
      </c>
      <c r="K27" t="str">
        <f>IFERROR(_xlfn.XLOOKUP(TRIM(H27), M:M, N:N, "Not Found"), "Not Found")</f>
        <v>Legality based</v>
      </c>
      <c r="M27" t="s">
        <v>997</v>
      </c>
      <c r="N27" t="s">
        <v>985</v>
      </c>
      <c r="O27">
        <v>0</v>
      </c>
      <c r="V27" t="s">
        <v>983</v>
      </c>
      <c r="W27" t="s">
        <v>966</v>
      </c>
      <c r="X27">
        <f>Z27</f>
        <v>0</v>
      </c>
      <c r="Z27">
        <f>IFERROR(_xlfn.XLOOKUP(TRIM(V27), M:M, O:O, "Not Found"), "Not Found")</f>
        <v>0</v>
      </c>
      <c r="AC27" t="s">
        <v>1239</v>
      </c>
      <c r="AD27" t="s">
        <v>1237</v>
      </c>
      <c r="AE27" t="s">
        <v>1107</v>
      </c>
      <c r="AG27" s="15">
        <v>0</v>
      </c>
      <c r="AH27" s="15">
        <v>0</v>
      </c>
      <c r="AI27" s="15">
        <v>0</v>
      </c>
      <c r="AJ27" s="15">
        <v>0</v>
      </c>
      <c r="AK27" s="15">
        <v>0</v>
      </c>
      <c r="AL27" s="15">
        <v>0</v>
      </c>
      <c r="AM27" s="15">
        <v>0</v>
      </c>
      <c r="AO27" t="s">
        <v>1240</v>
      </c>
    </row>
    <row r="28" spans="1:41">
      <c r="H28" t="s">
        <v>965</v>
      </c>
      <c r="I28" t="str">
        <f t="shared" si="0"/>
        <v>schapelle corby</v>
      </c>
      <c r="J28" t="str">
        <v>schapelle corby</v>
      </c>
      <c r="K28" t="str">
        <f>IFERROR(_xlfn.XLOOKUP(TRIM(H28), M:M, N:N, "Not Found"), "Not Found")</f>
        <v>Case Related</v>
      </c>
      <c r="M28" t="s">
        <v>998</v>
      </c>
      <c r="N28" t="s">
        <v>985</v>
      </c>
      <c r="O28">
        <v>0</v>
      </c>
      <c r="V28" t="s">
        <v>983</v>
      </c>
      <c r="W28" t="s">
        <v>966</v>
      </c>
      <c r="X28">
        <f>Z28</f>
        <v>0</v>
      </c>
      <c r="Z28">
        <f>IFERROR(_xlfn.XLOOKUP(TRIM(V28), M:M, O:O, "Not Found"), "Not Found")</f>
        <v>0</v>
      </c>
      <c r="AC28" t="s">
        <v>1239</v>
      </c>
      <c r="AD28" t="s">
        <v>1237</v>
      </c>
      <c r="AE28" t="s">
        <v>1107</v>
      </c>
      <c r="AG28" s="15">
        <v>0</v>
      </c>
      <c r="AH28" s="15">
        <v>0</v>
      </c>
      <c r="AI28" s="15">
        <v>0</v>
      </c>
      <c r="AJ28" s="15">
        <v>0</v>
      </c>
      <c r="AK28" s="15">
        <v>0</v>
      </c>
      <c r="AL28" s="15">
        <v>0</v>
      </c>
      <c r="AM28" s="15">
        <v>0</v>
      </c>
      <c r="AO28" t="s">
        <v>1240</v>
      </c>
    </row>
    <row r="29" spans="1:41">
      <c r="H29" t="s">
        <v>1028</v>
      </c>
      <c r="I29" t="str">
        <f t="shared" si="0"/>
        <v>corby</v>
      </c>
      <c r="J29" t="str">
        <v>corby</v>
      </c>
      <c r="K29" t="str">
        <f>IFERROR(_xlfn.XLOOKUP(TRIM(H29), M:M, N:N, "Not Found"), "Not Found")</f>
        <v>Familial based</v>
      </c>
      <c r="M29" t="s">
        <v>999</v>
      </c>
      <c r="N29" t="s">
        <v>985</v>
      </c>
      <c r="O29">
        <v>0</v>
      </c>
      <c r="V29" t="s">
        <v>983</v>
      </c>
      <c r="W29" t="s">
        <v>966</v>
      </c>
      <c r="X29">
        <f>Z29</f>
        <v>0</v>
      </c>
      <c r="Z29">
        <f>IFERROR(_xlfn.XLOOKUP(TRIM(V29), M:M, O:O, "Not Found"), "Not Found")</f>
        <v>0</v>
      </c>
      <c r="AC29" t="s">
        <v>1248</v>
      </c>
      <c r="AD29" t="s">
        <v>1237</v>
      </c>
      <c r="AE29" t="s">
        <v>1108</v>
      </c>
      <c r="AG29" s="15">
        <v>0</v>
      </c>
      <c r="AH29" s="15">
        <v>0</v>
      </c>
      <c r="AI29" s="15">
        <v>0</v>
      </c>
      <c r="AJ29" s="15">
        <v>0</v>
      </c>
      <c r="AK29" s="15">
        <v>0</v>
      </c>
      <c r="AL29" s="15">
        <v>0</v>
      </c>
      <c r="AM29" s="15">
        <v>0</v>
      </c>
      <c r="AO29" t="s">
        <v>1240</v>
      </c>
    </row>
    <row r="30" spans="1:41">
      <c r="H30" t="s">
        <v>965</v>
      </c>
      <c r="I30" t="str">
        <f t="shared" si="0"/>
        <v>schapelle corby</v>
      </c>
      <c r="J30" t="str">
        <v>schapelle corby</v>
      </c>
      <c r="K30" t="str">
        <f>IFERROR(_xlfn.XLOOKUP(TRIM(H30), M:M, N:N, "Not Found"), "Not Found")</f>
        <v>Case Related</v>
      </c>
      <c r="M30" t="s">
        <v>1000</v>
      </c>
      <c r="N30" t="s">
        <v>985</v>
      </c>
      <c r="O30">
        <v>2</v>
      </c>
      <c r="V30" t="s">
        <v>983</v>
      </c>
      <c r="W30" t="s">
        <v>966</v>
      </c>
      <c r="X30">
        <f>Z30</f>
        <v>0</v>
      </c>
      <c r="Z30">
        <f>IFERROR(_xlfn.XLOOKUP(TRIM(V30), M:M, O:O, "Not Found"), "Not Found")</f>
        <v>0</v>
      </c>
      <c r="AC30" t="s">
        <v>1244</v>
      </c>
      <c r="AD30" t="s">
        <v>1237</v>
      </c>
      <c r="AE30" t="s">
        <v>1114</v>
      </c>
      <c r="AG30" s="15">
        <v>0</v>
      </c>
      <c r="AH30" s="15">
        <v>0</v>
      </c>
      <c r="AI30" s="15">
        <v>0</v>
      </c>
      <c r="AJ30" s="15">
        <v>0</v>
      </c>
      <c r="AK30" s="15">
        <v>0</v>
      </c>
      <c r="AL30" s="15">
        <v>0</v>
      </c>
      <c r="AM30" s="15">
        <v>0</v>
      </c>
      <c r="AO30" t="s">
        <v>1240</v>
      </c>
    </row>
    <row r="31" spans="1:41">
      <c r="H31" t="s">
        <v>1028</v>
      </c>
      <c r="I31" t="str">
        <f t="shared" si="0"/>
        <v>corby</v>
      </c>
      <c r="J31" t="str">
        <v>corby</v>
      </c>
      <c r="K31" t="str">
        <f>IFERROR(_xlfn.XLOOKUP(TRIM(H31), M:M, N:N, "Not Found"), "Not Found")</f>
        <v>Familial based</v>
      </c>
      <c r="M31" t="s">
        <v>1001</v>
      </c>
      <c r="N31" t="s">
        <v>985</v>
      </c>
      <c r="O31">
        <v>0</v>
      </c>
      <c r="V31" t="s">
        <v>983</v>
      </c>
      <c r="W31" t="s">
        <v>966</v>
      </c>
      <c r="X31">
        <f>Z31</f>
        <v>0</v>
      </c>
      <c r="Z31">
        <f>IFERROR(_xlfn.XLOOKUP(TRIM(V31), M:M, O:O, "Not Found"), "Not Found")</f>
        <v>0</v>
      </c>
      <c r="AC31" t="s">
        <v>1239</v>
      </c>
      <c r="AD31" t="s">
        <v>1237</v>
      </c>
      <c r="AE31" t="s">
        <v>1107</v>
      </c>
      <c r="AG31" s="15">
        <v>0</v>
      </c>
      <c r="AH31" s="15">
        <v>0</v>
      </c>
      <c r="AI31" s="15">
        <v>0</v>
      </c>
      <c r="AJ31" s="15">
        <v>0</v>
      </c>
      <c r="AK31" s="15">
        <v>0</v>
      </c>
      <c r="AL31" s="15">
        <v>0</v>
      </c>
      <c r="AM31" s="15">
        <v>0</v>
      </c>
      <c r="AO31" t="s">
        <v>1246</v>
      </c>
    </row>
    <row r="32" spans="1:41">
      <c r="H32" t="s">
        <v>1076</v>
      </c>
      <c r="I32" t="str">
        <f t="shared" si="0"/>
        <v>import</v>
      </c>
      <c r="J32" t="str">
        <v>import</v>
      </c>
      <c r="K32" t="str">
        <f>IFERROR(_xlfn.XLOOKUP(TRIM(H32), M:M, N:N, "Not Found"), "Not Found")</f>
        <v>Legality based</v>
      </c>
      <c r="M32" t="s">
        <v>1002</v>
      </c>
      <c r="N32" t="s">
        <v>985</v>
      </c>
      <c r="O32">
        <v>1</v>
      </c>
      <c r="V32" t="s">
        <v>983</v>
      </c>
      <c r="W32" t="s">
        <v>966</v>
      </c>
      <c r="X32">
        <f>Z32</f>
        <v>0</v>
      </c>
      <c r="Z32">
        <f>IFERROR(_xlfn.XLOOKUP(TRIM(V32), M:M, O:O, "Not Found"), "Not Found")</f>
        <v>0</v>
      </c>
      <c r="AC32" t="s">
        <v>1248</v>
      </c>
      <c r="AD32" t="s">
        <v>1237</v>
      </c>
      <c r="AE32" t="s">
        <v>1108</v>
      </c>
      <c r="AG32" s="15">
        <v>0</v>
      </c>
      <c r="AH32" s="15">
        <v>0</v>
      </c>
      <c r="AI32" s="15">
        <v>0</v>
      </c>
      <c r="AJ32" s="15">
        <v>0</v>
      </c>
      <c r="AK32" s="15">
        <v>0</v>
      </c>
      <c r="AL32" s="15">
        <v>0</v>
      </c>
      <c r="AM32" s="15">
        <v>0</v>
      </c>
      <c r="AO32" t="s">
        <v>1240</v>
      </c>
    </row>
    <row r="33" spans="8:41">
      <c r="H33" t="s">
        <v>965</v>
      </c>
      <c r="I33" t="str">
        <f t="shared" si="0"/>
        <v>schapelle corby</v>
      </c>
      <c r="J33" t="str">
        <v>schapelle corby</v>
      </c>
      <c r="K33" t="str">
        <f>IFERROR(_xlfn.XLOOKUP(TRIM(H33), M:M, N:N, "Not Found"), "Not Found")</f>
        <v>Case Related</v>
      </c>
      <c r="M33" t="s">
        <v>1003</v>
      </c>
      <c r="N33" t="s">
        <v>985</v>
      </c>
      <c r="O33">
        <v>2</v>
      </c>
      <c r="V33" t="s">
        <v>983</v>
      </c>
      <c r="W33" t="s">
        <v>966</v>
      </c>
      <c r="X33">
        <f>Z33</f>
        <v>0</v>
      </c>
      <c r="Z33">
        <f>IFERROR(_xlfn.XLOOKUP(TRIM(V33), M:M, O:O, "Not Found"), "Not Found")</f>
        <v>0</v>
      </c>
      <c r="AC33" t="s">
        <v>1239</v>
      </c>
      <c r="AD33" t="s">
        <v>1237</v>
      </c>
      <c r="AE33" t="s">
        <v>1107</v>
      </c>
      <c r="AG33" s="15">
        <v>0</v>
      </c>
      <c r="AH33" s="15">
        <v>0</v>
      </c>
      <c r="AI33" s="15">
        <v>0</v>
      </c>
      <c r="AJ33" s="15">
        <v>0</v>
      </c>
      <c r="AK33" s="15">
        <v>0</v>
      </c>
      <c r="AL33" s="15">
        <v>0</v>
      </c>
      <c r="AM33" s="15">
        <v>0</v>
      </c>
      <c r="AO33" t="s">
        <v>1240</v>
      </c>
    </row>
    <row r="34" spans="8:41">
      <c r="H34" t="s">
        <v>1028</v>
      </c>
      <c r="I34" t="str">
        <f t="shared" si="0"/>
        <v>corby</v>
      </c>
      <c r="J34" t="str">
        <v>corby</v>
      </c>
      <c r="K34" t="str">
        <f>IFERROR(_xlfn.XLOOKUP(TRIM(H34), M:M, N:N, "Not Found"), "Not Found")</f>
        <v>Familial based</v>
      </c>
      <c r="M34" t="s">
        <v>1004</v>
      </c>
      <c r="N34" t="s">
        <v>985</v>
      </c>
      <c r="O34">
        <v>0</v>
      </c>
      <c r="V34" t="s">
        <v>983</v>
      </c>
      <c r="W34" t="s">
        <v>966</v>
      </c>
      <c r="X34">
        <f>Z34</f>
        <v>0</v>
      </c>
      <c r="Z34">
        <f>IFERROR(_xlfn.XLOOKUP(TRIM(V34), M:M, O:O, "Not Found"), "Not Found")</f>
        <v>0</v>
      </c>
      <c r="AC34" t="s">
        <v>1239</v>
      </c>
      <c r="AD34" t="s">
        <v>1237</v>
      </c>
      <c r="AE34" t="s">
        <v>1107</v>
      </c>
      <c r="AG34" s="15">
        <v>0</v>
      </c>
      <c r="AH34" s="15">
        <v>0</v>
      </c>
      <c r="AI34" s="15">
        <v>0</v>
      </c>
      <c r="AJ34" s="15">
        <v>0</v>
      </c>
      <c r="AK34" s="15">
        <v>0</v>
      </c>
      <c r="AL34" s="15">
        <v>0</v>
      </c>
      <c r="AM34" s="15">
        <v>0</v>
      </c>
      <c r="AO34" t="s">
        <v>1240</v>
      </c>
    </row>
    <row r="35" spans="8:41">
      <c r="H35" t="s">
        <v>965</v>
      </c>
      <c r="I35" t="str">
        <f t="shared" si="0"/>
        <v>schapelle corby</v>
      </c>
      <c r="J35" t="str">
        <v>schapelle corby</v>
      </c>
      <c r="K35" t="str">
        <f>IFERROR(_xlfn.XLOOKUP(TRIM(H35), M:M, N:N, "Not Found"), "Not Found")</f>
        <v>Case Related</v>
      </c>
      <c r="M35" t="s">
        <v>1005</v>
      </c>
      <c r="N35" t="s">
        <v>985</v>
      </c>
      <c r="O35">
        <v>1</v>
      </c>
      <c r="V35" t="s">
        <v>983</v>
      </c>
      <c r="W35" t="s">
        <v>966</v>
      </c>
      <c r="X35">
        <f>Z35</f>
        <v>0</v>
      </c>
      <c r="Z35">
        <f>IFERROR(_xlfn.XLOOKUP(TRIM(V35), M:M, O:O, "Not Found"), "Not Found")</f>
        <v>0</v>
      </c>
      <c r="AC35" t="s">
        <v>1248</v>
      </c>
      <c r="AD35" t="s">
        <v>1237</v>
      </c>
      <c r="AE35" t="s">
        <v>1108</v>
      </c>
      <c r="AG35" s="15">
        <v>0</v>
      </c>
      <c r="AH35" s="15">
        <v>0</v>
      </c>
      <c r="AI35" s="15">
        <v>0</v>
      </c>
      <c r="AJ35" s="15">
        <v>0</v>
      </c>
      <c r="AK35" s="15">
        <v>0</v>
      </c>
      <c r="AL35" s="15">
        <v>0</v>
      </c>
      <c r="AM35" s="15">
        <v>0</v>
      </c>
      <c r="AO35" t="s">
        <v>1240</v>
      </c>
    </row>
    <row r="36" spans="8:41">
      <c r="H36" t="s">
        <v>983</v>
      </c>
      <c r="I36" t="str">
        <f t="shared" si="0"/>
        <v>australia</v>
      </c>
      <c r="J36" t="str">
        <v>australia</v>
      </c>
      <c r="K36" t="str">
        <f>IFERROR(_xlfn.XLOOKUP(TRIM(H36), M:M, N:N, "Not Found"), "Not Found")</f>
        <v>Case Related</v>
      </c>
      <c r="M36" t="s">
        <v>1006</v>
      </c>
      <c r="N36" t="s">
        <v>1007</v>
      </c>
      <c r="O36">
        <v>3</v>
      </c>
      <c r="V36" t="s">
        <v>983</v>
      </c>
      <c r="W36" t="s">
        <v>966</v>
      </c>
      <c r="X36">
        <f>Z36</f>
        <v>0</v>
      </c>
      <c r="Z36">
        <f>IFERROR(_xlfn.XLOOKUP(TRIM(V36), M:M, O:O, "Not Found"), "Not Found")</f>
        <v>0</v>
      </c>
      <c r="AC36" t="s">
        <v>1248</v>
      </c>
      <c r="AD36" t="s">
        <v>1237</v>
      </c>
      <c r="AE36" t="s">
        <v>1108</v>
      </c>
      <c r="AG36" s="15">
        <v>0</v>
      </c>
      <c r="AH36" s="15">
        <v>0</v>
      </c>
      <c r="AI36" s="15">
        <v>0</v>
      </c>
      <c r="AJ36" s="15">
        <v>0</v>
      </c>
      <c r="AK36" s="15">
        <v>0</v>
      </c>
      <c r="AL36" s="15">
        <v>0</v>
      </c>
      <c r="AM36" s="15">
        <v>0</v>
      </c>
      <c r="AO36" t="s">
        <v>1240</v>
      </c>
    </row>
    <row r="37" spans="8:41">
      <c r="H37" t="s">
        <v>1028</v>
      </c>
      <c r="I37" t="str">
        <f t="shared" si="0"/>
        <v>corby</v>
      </c>
      <c r="J37" t="str">
        <v>corby</v>
      </c>
      <c r="K37" t="str">
        <f>IFERROR(_xlfn.XLOOKUP(TRIM(H37), M:M, N:N, "Not Found"), "Not Found")</f>
        <v>Familial based</v>
      </c>
      <c r="M37" t="s">
        <v>1008</v>
      </c>
      <c r="N37" t="s">
        <v>1007</v>
      </c>
      <c r="O37">
        <v>3</v>
      </c>
      <c r="V37" t="s">
        <v>983</v>
      </c>
      <c r="W37" t="s">
        <v>966</v>
      </c>
      <c r="X37">
        <f>Z37</f>
        <v>0</v>
      </c>
      <c r="Z37">
        <f>IFERROR(_xlfn.XLOOKUP(TRIM(V37), M:M, O:O, "Not Found"), "Not Found")</f>
        <v>0</v>
      </c>
      <c r="AC37" t="s">
        <v>1248</v>
      </c>
      <c r="AD37" t="s">
        <v>1237</v>
      </c>
      <c r="AE37" t="s">
        <v>1108</v>
      </c>
      <c r="AG37" s="15">
        <v>0</v>
      </c>
      <c r="AH37" s="15">
        <v>0</v>
      </c>
      <c r="AI37" s="15">
        <v>0</v>
      </c>
      <c r="AJ37" s="15">
        <v>0</v>
      </c>
      <c r="AK37" s="15">
        <v>0</v>
      </c>
      <c r="AL37" s="15">
        <v>0</v>
      </c>
      <c r="AM37" s="15">
        <v>0</v>
      </c>
      <c r="AO37" t="s">
        <v>1258</v>
      </c>
    </row>
    <row r="38" spans="8:41">
      <c r="H38" t="s">
        <v>965</v>
      </c>
      <c r="I38" t="str">
        <f t="shared" si="0"/>
        <v>schapelle corby</v>
      </c>
      <c r="J38" t="str">
        <v>schapelle corby</v>
      </c>
      <c r="K38" t="str">
        <f>IFERROR(_xlfn.XLOOKUP(TRIM(H38), M:M, N:N, "Not Found"), "Not Found")</f>
        <v>Case Related</v>
      </c>
      <c r="M38" t="s">
        <v>1009</v>
      </c>
      <c r="N38" t="s">
        <v>1007</v>
      </c>
      <c r="O38">
        <v>3</v>
      </c>
      <c r="V38" t="s">
        <v>983</v>
      </c>
      <c r="W38" t="s">
        <v>966</v>
      </c>
      <c r="X38">
        <f>Z38</f>
        <v>0</v>
      </c>
      <c r="Z38">
        <f>IFERROR(_xlfn.XLOOKUP(TRIM(V38), M:M, O:O, "Not Found"), "Not Found")</f>
        <v>0</v>
      </c>
      <c r="AC38" t="s">
        <v>1248</v>
      </c>
      <c r="AD38" t="s">
        <v>1237</v>
      </c>
      <c r="AE38" t="s">
        <v>1108</v>
      </c>
      <c r="AG38" s="15">
        <v>0</v>
      </c>
      <c r="AH38" s="15">
        <v>0</v>
      </c>
      <c r="AI38" s="15">
        <v>0</v>
      </c>
      <c r="AJ38" s="15">
        <v>0</v>
      </c>
      <c r="AK38" s="15">
        <v>3</v>
      </c>
      <c r="AL38" s="15">
        <v>0</v>
      </c>
      <c r="AM38" s="15">
        <v>0</v>
      </c>
      <c r="AO38" t="s">
        <v>1238</v>
      </c>
    </row>
    <row r="39" spans="8:41">
      <c r="H39" t="s">
        <v>1028</v>
      </c>
      <c r="I39" t="str">
        <f t="shared" si="0"/>
        <v>corby</v>
      </c>
      <c r="J39" t="str">
        <v>corby</v>
      </c>
      <c r="K39" t="str">
        <f>IFERROR(_xlfn.XLOOKUP(TRIM(H39), M:M, N:N, "Not Found"), "Not Found")</f>
        <v>Familial based</v>
      </c>
      <c r="M39" t="s">
        <v>1010</v>
      </c>
      <c r="N39" t="s">
        <v>1007</v>
      </c>
      <c r="O39">
        <v>4</v>
      </c>
      <c r="V39" t="s">
        <v>983</v>
      </c>
      <c r="W39" t="s">
        <v>966</v>
      </c>
      <c r="X39">
        <f>Z39</f>
        <v>0</v>
      </c>
      <c r="Z39">
        <f>IFERROR(_xlfn.XLOOKUP(TRIM(V39), M:M, O:O, "Not Found"), "Not Found")</f>
        <v>0</v>
      </c>
      <c r="AC39" t="s">
        <v>1248</v>
      </c>
      <c r="AD39" t="s">
        <v>1237</v>
      </c>
      <c r="AE39" t="s">
        <v>1108</v>
      </c>
      <c r="AG39" s="15">
        <v>0</v>
      </c>
      <c r="AH39" s="15">
        <v>1.5</v>
      </c>
      <c r="AI39" s="15">
        <v>0</v>
      </c>
      <c r="AJ39" s="15">
        <v>0</v>
      </c>
      <c r="AK39" s="15">
        <v>0</v>
      </c>
      <c r="AL39" s="15">
        <v>0</v>
      </c>
      <c r="AM39" s="15">
        <v>0</v>
      </c>
      <c r="AO39" t="s">
        <v>1240</v>
      </c>
    </row>
    <row r="40" spans="8:41">
      <c r="H40" t="s">
        <v>965</v>
      </c>
      <c r="I40" t="str">
        <f t="shared" si="0"/>
        <v>schapelle corby</v>
      </c>
      <c r="J40" t="str">
        <v>schapelle corby</v>
      </c>
      <c r="K40" t="str">
        <f>IFERROR(_xlfn.XLOOKUP(TRIM(H40), M:M, N:N, "Not Found"), "Not Found")</f>
        <v>Case Related</v>
      </c>
      <c r="M40" t="s">
        <v>1011</v>
      </c>
      <c r="N40" t="s">
        <v>1007</v>
      </c>
      <c r="O40">
        <v>3</v>
      </c>
      <c r="V40" t="s">
        <v>983</v>
      </c>
      <c r="W40" t="s">
        <v>966</v>
      </c>
      <c r="X40">
        <f>Z40</f>
        <v>0</v>
      </c>
      <c r="Z40">
        <f>IFERROR(_xlfn.XLOOKUP(TRIM(V40), M:M, O:O, "Not Found"), "Not Found")</f>
        <v>0</v>
      </c>
      <c r="AC40" t="s">
        <v>1248</v>
      </c>
      <c r="AD40" t="s">
        <v>1237</v>
      </c>
      <c r="AE40" t="s">
        <v>1108</v>
      </c>
      <c r="AG40" s="15">
        <v>0</v>
      </c>
      <c r="AH40" s="15">
        <v>0</v>
      </c>
      <c r="AI40" s="15">
        <v>0</v>
      </c>
      <c r="AJ40" s="15">
        <v>0</v>
      </c>
      <c r="AK40" s="15">
        <v>0</v>
      </c>
      <c r="AL40" s="15">
        <v>0</v>
      </c>
      <c r="AM40" s="15">
        <v>0</v>
      </c>
      <c r="AO40" t="s">
        <v>1240</v>
      </c>
    </row>
    <row r="41" spans="8:41">
      <c r="H41" t="s">
        <v>970</v>
      </c>
      <c r="I41" t="str">
        <f t="shared" si="0"/>
        <v>australian</v>
      </c>
      <c r="J41" t="str">
        <v>australian</v>
      </c>
      <c r="K41" t="str">
        <f>IFERROR(_xlfn.XLOOKUP(TRIM(H41), M:M, N:N, "Not Found"), "Not Found")</f>
        <v>Case Related</v>
      </c>
      <c r="M41" t="s">
        <v>1012</v>
      </c>
      <c r="N41" t="s">
        <v>1007</v>
      </c>
      <c r="O41">
        <v>3</v>
      </c>
      <c r="V41" t="s">
        <v>983</v>
      </c>
      <c r="W41" t="s">
        <v>966</v>
      </c>
      <c r="X41">
        <f>Z41</f>
        <v>0</v>
      </c>
      <c r="Z41">
        <f>IFERROR(_xlfn.XLOOKUP(TRIM(V41), M:M, O:O, "Not Found"), "Not Found")</f>
        <v>0</v>
      </c>
      <c r="AG41" s="15">
        <v>0</v>
      </c>
      <c r="AH41" s="15">
        <v>0</v>
      </c>
      <c r="AI41" s="15">
        <v>0</v>
      </c>
      <c r="AJ41" s="15">
        <v>0</v>
      </c>
      <c r="AK41" s="15">
        <v>0</v>
      </c>
      <c r="AL41" s="15">
        <v>0</v>
      </c>
      <c r="AM41" s="15">
        <v>0</v>
      </c>
      <c r="AO41" t="s">
        <v>1255</v>
      </c>
    </row>
    <row r="42" spans="8:41">
      <c r="H42" t="s">
        <v>983</v>
      </c>
      <c r="I42" t="str">
        <f t="shared" si="0"/>
        <v>australia</v>
      </c>
      <c r="J42" t="str">
        <v>australia</v>
      </c>
      <c r="K42" t="str">
        <f>IFERROR(_xlfn.XLOOKUP(TRIM(H42), M:M, N:N, "Not Found"), "Not Found")</f>
        <v>Case Related</v>
      </c>
      <c r="M42" t="s">
        <v>1013</v>
      </c>
      <c r="N42" t="s">
        <v>1007</v>
      </c>
      <c r="O42">
        <v>3</v>
      </c>
      <c r="V42" t="s">
        <v>983</v>
      </c>
      <c r="W42" t="s">
        <v>966</v>
      </c>
      <c r="X42">
        <f>Z42</f>
        <v>0</v>
      </c>
      <c r="Z42">
        <f>IFERROR(_xlfn.XLOOKUP(TRIM(V42), M:M, O:O, "Not Found"), "Not Found")</f>
        <v>0</v>
      </c>
      <c r="AG42" s="15">
        <v>0</v>
      </c>
      <c r="AH42" s="15">
        <v>0</v>
      </c>
      <c r="AI42" s="15">
        <v>0</v>
      </c>
      <c r="AJ42" s="15">
        <v>0</v>
      </c>
      <c r="AK42" s="15">
        <v>0</v>
      </c>
      <c r="AL42" s="15">
        <v>0</v>
      </c>
      <c r="AM42" s="15">
        <v>0</v>
      </c>
      <c r="AO42" t="s">
        <v>1240</v>
      </c>
    </row>
    <row r="43" spans="8:41">
      <c r="H43" t="s">
        <v>1028</v>
      </c>
      <c r="I43" t="str">
        <f t="shared" si="0"/>
        <v>corby</v>
      </c>
      <c r="J43" t="str">
        <v>corby</v>
      </c>
      <c r="K43" t="str">
        <f>IFERROR(_xlfn.XLOOKUP(TRIM(H43), M:M, N:N, "Not Found"), "Not Found")</f>
        <v>Familial based</v>
      </c>
      <c r="M43" t="s">
        <v>1014</v>
      </c>
      <c r="N43" t="s">
        <v>1007</v>
      </c>
      <c r="O43">
        <v>3</v>
      </c>
      <c r="V43" t="s">
        <v>983</v>
      </c>
      <c r="W43" t="s">
        <v>966</v>
      </c>
      <c r="X43">
        <f>Z43</f>
        <v>0</v>
      </c>
      <c r="Z43">
        <f>IFERROR(_xlfn.XLOOKUP(TRIM(V43), M:M, O:O, "Not Found"), "Not Found")</f>
        <v>0</v>
      </c>
      <c r="AG43" s="15">
        <v>0</v>
      </c>
      <c r="AH43" s="15">
        <v>0</v>
      </c>
      <c r="AI43" s="15">
        <v>0</v>
      </c>
      <c r="AJ43" s="15">
        <v>0</v>
      </c>
      <c r="AK43" s="15">
        <v>0</v>
      </c>
      <c r="AL43" s="15">
        <v>0</v>
      </c>
      <c r="AM43" s="15">
        <v>0</v>
      </c>
      <c r="AO43" t="s">
        <v>1246</v>
      </c>
    </row>
    <row r="44" spans="8:41">
      <c r="H44" t="s">
        <v>1073</v>
      </c>
      <c r="I44" t="str">
        <f t="shared" si="0"/>
        <v>convicted</v>
      </c>
      <c r="J44" t="str">
        <v>convicted</v>
      </c>
      <c r="K44" t="str">
        <f>IFERROR(_xlfn.XLOOKUP(TRIM(H44), M:M, N:N, "Not Found"), "Not Found")</f>
        <v>Legality based</v>
      </c>
      <c r="M44" t="s">
        <v>1015</v>
      </c>
      <c r="N44" t="s">
        <v>1007</v>
      </c>
      <c r="O44">
        <v>3</v>
      </c>
      <c r="V44" t="s">
        <v>983</v>
      </c>
      <c r="W44" t="s">
        <v>966</v>
      </c>
      <c r="X44">
        <f>Z44</f>
        <v>0</v>
      </c>
      <c r="Z44">
        <f>IFERROR(_xlfn.XLOOKUP(TRIM(V44), M:M, O:O, "Not Found"), "Not Found")</f>
        <v>0</v>
      </c>
      <c r="AG44" s="15">
        <v>0</v>
      </c>
      <c r="AH44" s="15">
        <v>0</v>
      </c>
      <c r="AI44" s="15">
        <v>0</v>
      </c>
      <c r="AJ44" s="15">
        <v>0</v>
      </c>
      <c r="AK44" s="15">
        <v>0</v>
      </c>
      <c r="AL44" s="15">
        <v>0</v>
      </c>
      <c r="AM44" s="15">
        <v>0</v>
      </c>
      <c r="AO44" t="s">
        <v>1240</v>
      </c>
    </row>
    <row r="45" spans="8:41">
      <c r="H45" t="s">
        <v>965</v>
      </c>
      <c r="I45" t="str">
        <f t="shared" si="0"/>
        <v>schapelle corby</v>
      </c>
      <c r="J45" t="str">
        <v>schapelle corby</v>
      </c>
      <c r="K45" t="str">
        <f>IFERROR(_xlfn.XLOOKUP(TRIM(H45), M:M, N:N, "Not Found"), "Not Found")</f>
        <v>Case Related</v>
      </c>
      <c r="M45" t="s">
        <v>1016</v>
      </c>
      <c r="N45" t="s">
        <v>1007</v>
      </c>
      <c r="O45">
        <v>1</v>
      </c>
      <c r="V45" t="s">
        <v>983</v>
      </c>
      <c r="W45" t="s">
        <v>966</v>
      </c>
      <c r="X45">
        <f>Z45</f>
        <v>0</v>
      </c>
      <c r="Z45">
        <f>IFERROR(_xlfn.XLOOKUP(TRIM(V45), M:M, O:O, "Not Found"), "Not Found")</f>
        <v>0</v>
      </c>
      <c r="AG45" s="15">
        <v>0</v>
      </c>
      <c r="AH45" s="15">
        <v>0</v>
      </c>
      <c r="AI45" s="15">
        <v>0</v>
      </c>
      <c r="AJ45" s="15">
        <v>0</v>
      </c>
      <c r="AK45" s="15">
        <v>0</v>
      </c>
      <c r="AL45" s="15">
        <v>0</v>
      </c>
      <c r="AM45" s="15">
        <v>0</v>
      </c>
      <c r="AO45" t="s">
        <v>1240</v>
      </c>
    </row>
    <row r="46" spans="8:41">
      <c r="H46" t="s">
        <v>1028</v>
      </c>
      <c r="I46" t="str">
        <f t="shared" si="0"/>
        <v>corby</v>
      </c>
      <c r="J46" t="str">
        <v>corby</v>
      </c>
      <c r="K46" t="str">
        <f>IFERROR(_xlfn.XLOOKUP(TRIM(H46), M:M, N:N, "Not Found"), "Not Found")</f>
        <v>Familial based</v>
      </c>
      <c r="M46" t="s">
        <v>1017</v>
      </c>
      <c r="N46" t="s">
        <v>1007</v>
      </c>
      <c r="O46">
        <v>3</v>
      </c>
      <c r="V46" t="s">
        <v>983</v>
      </c>
      <c r="W46" t="s">
        <v>966</v>
      </c>
      <c r="X46">
        <f>Z46</f>
        <v>0</v>
      </c>
      <c r="Z46">
        <f>IFERROR(_xlfn.XLOOKUP(TRIM(V46), M:M, O:O, "Not Found"), "Not Found")</f>
        <v>0</v>
      </c>
      <c r="AG46" s="15">
        <v>0</v>
      </c>
      <c r="AH46" s="15">
        <v>0</v>
      </c>
      <c r="AI46" s="15">
        <v>0</v>
      </c>
      <c r="AJ46" s="15">
        <v>0</v>
      </c>
      <c r="AK46" s="15">
        <v>0</v>
      </c>
      <c r="AL46" s="15">
        <v>0</v>
      </c>
      <c r="AM46" s="15">
        <v>0</v>
      </c>
      <c r="AO46" t="s">
        <v>1240</v>
      </c>
    </row>
    <row r="47" spans="8:41">
      <c r="H47" t="s">
        <v>1236</v>
      </c>
      <c r="I47" t="str">
        <f t="shared" si="0"/>
        <v>sentence</v>
      </c>
      <c r="J47" t="str">
        <v>sentence</v>
      </c>
      <c r="K47" t="str">
        <f>IFERROR(_xlfn.XLOOKUP(TRIM(H47), M:M, N:N, "Not Found"), "Not Found")</f>
        <v>Not Found</v>
      </c>
      <c r="M47" t="s">
        <v>1018</v>
      </c>
      <c r="N47" t="s">
        <v>1007</v>
      </c>
      <c r="O47">
        <v>0</v>
      </c>
      <c r="V47" t="s">
        <v>983</v>
      </c>
      <c r="W47" t="s">
        <v>966</v>
      </c>
      <c r="X47">
        <f>Z47</f>
        <v>0</v>
      </c>
      <c r="Z47">
        <f>IFERROR(_xlfn.XLOOKUP(TRIM(V47), M:M, O:O, "Not Found"), "Not Found")</f>
        <v>0</v>
      </c>
      <c r="AG47" s="15">
        <v>0</v>
      </c>
      <c r="AH47" s="15">
        <v>0</v>
      </c>
      <c r="AI47" s="15">
        <v>0</v>
      </c>
      <c r="AJ47" s="15">
        <v>0</v>
      </c>
      <c r="AK47" s="15">
        <v>0</v>
      </c>
      <c r="AL47" s="15">
        <v>0</v>
      </c>
      <c r="AM47" s="15">
        <v>0</v>
      </c>
      <c r="AO47" t="s">
        <v>1240</v>
      </c>
    </row>
    <row r="48" spans="8:41">
      <c r="H48" t="s">
        <v>965</v>
      </c>
      <c r="I48" t="str">
        <f t="shared" si="0"/>
        <v>schapelle corby</v>
      </c>
      <c r="J48" t="str">
        <v>schapelle corby</v>
      </c>
      <c r="K48" t="str">
        <f>IFERROR(_xlfn.XLOOKUP(TRIM(H48), M:M, N:N, "Not Found"), "Not Found")</f>
        <v>Case Related</v>
      </c>
      <c r="M48" t="s">
        <v>1019</v>
      </c>
      <c r="N48" t="s">
        <v>1007</v>
      </c>
      <c r="O48">
        <v>3</v>
      </c>
      <c r="V48" t="s">
        <v>983</v>
      </c>
      <c r="W48" t="s">
        <v>966</v>
      </c>
      <c r="X48">
        <f>Z48</f>
        <v>0</v>
      </c>
      <c r="Z48">
        <f>IFERROR(_xlfn.XLOOKUP(TRIM(V48), M:M, O:O, "Not Found"), "Not Found")</f>
        <v>0</v>
      </c>
      <c r="AG48" s="15">
        <v>0</v>
      </c>
      <c r="AH48" s="15">
        <v>0</v>
      </c>
      <c r="AI48" s="15">
        <v>0</v>
      </c>
      <c r="AJ48" s="15">
        <v>0</v>
      </c>
      <c r="AK48" s="15">
        <v>0</v>
      </c>
      <c r="AL48" s="15">
        <v>0</v>
      </c>
      <c r="AM48" s="15">
        <v>0</v>
      </c>
      <c r="AO48" t="s">
        <v>1245</v>
      </c>
    </row>
    <row r="49" spans="8:41">
      <c r="H49" t="s">
        <v>1028</v>
      </c>
      <c r="I49" t="str">
        <f t="shared" si="0"/>
        <v>corby</v>
      </c>
      <c r="J49" t="str">
        <v>corby</v>
      </c>
      <c r="K49" t="str">
        <f>IFERROR(_xlfn.XLOOKUP(TRIM(H49), M:M, N:N, "Not Found"), "Not Found")</f>
        <v>Familial based</v>
      </c>
      <c r="M49" t="s">
        <v>1020</v>
      </c>
      <c r="N49" t="s">
        <v>1007</v>
      </c>
      <c r="O49">
        <v>1</v>
      </c>
      <c r="V49" t="s">
        <v>983</v>
      </c>
      <c r="W49" t="s">
        <v>966</v>
      </c>
      <c r="X49">
        <f>Z49</f>
        <v>0</v>
      </c>
      <c r="Z49">
        <f>IFERROR(_xlfn.XLOOKUP(TRIM(V49), M:M, O:O, "Not Found"), "Not Found")</f>
        <v>0</v>
      </c>
      <c r="AG49" s="15">
        <v>0</v>
      </c>
      <c r="AH49" s="15">
        <v>0.5</v>
      </c>
      <c r="AI49" s="15">
        <v>0</v>
      </c>
      <c r="AJ49" s="15">
        <v>0</v>
      </c>
      <c r="AK49" s="15">
        <v>0</v>
      </c>
      <c r="AL49" s="15">
        <v>0</v>
      </c>
      <c r="AM49" s="15">
        <v>0</v>
      </c>
      <c r="AO49" t="s">
        <v>1240</v>
      </c>
    </row>
    <row r="50" spans="8:41">
      <c r="H50" t="s">
        <v>965</v>
      </c>
      <c r="I50" t="str">
        <f t="shared" si="0"/>
        <v>schapelle corby</v>
      </c>
      <c r="J50" t="str">
        <v>schapelle corby</v>
      </c>
      <c r="K50" t="str">
        <f>IFERROR(_xlfn.XLOOKUP(TRIM(H50), M:M, N:N, "Not Found"), "Not Found")</f>
        <v>Case Related</v>
      </c>
      <c r="M50" t="s">
        <v>1021</v>
      </c>
      <c r="N50" t="s">
        <v>1022</v>
      </c>
      <c r="O50">
        <v>0</v>
      </c>
      <c r="V50" t="s">
        <v>983</v>
      </c>
      <c r="W50" t="s">
        <v>966</v>
      </c>
      <c r="X50">
        <f>Z50</f>
        <v>0</v>
      </c>
      <c r="Z50">
        <f>IFERROR(_xlfn.XLOOKUP(TRIM(V50), M:M, O:O, "Not Found"), "Not Found")</f>
        <v>0</v>
      </c>
      <c r="AG50" s="15">
        <v>0</v>
      </c>
      <c r="AH50" s="15">
        <v>0</v>
      </c>
      <c r="AI50" s="15">
        <v>0</v>
      </c>
      <c r="AJ50" s="15">
        <v>0</v>
      </c>
      <c r="AK50" s="15">
        <v>0</v>
      </c>
      <c r="AL50" s="15">
        <v>0</v>
      </c>
      <c r="AM50" s="15">
        <v>0</v>
      </c>
      <c r="AO50" t="s">
        <v>1240</v>
      </c>
    </row>
    <row r="51" spans="8:41">
      <c r="H51" t="s">
        <v>1028</v>
      </c>
      <c r="I51" t="str">
        <f t="shared" si="0"/>
        <v>corby</v>
      </c>
      <c r="J51" t="str">
        <v>corby</v>
      </c>
      <c r="K51" t="str">
        <f>IFERROR(_xlfn.XLOOKUP(TRIM(H51), M:M, N:N, "Not Found"), "Not Found")</f>
        <v>Familial based</v>
      </c>
      <c r="M51" t="s">
        <v>1023</v>
      </c>
      <c r="N51" t="s">
        <v>1022</v>
      </c>
      <c r="O51">
        <v>0</v>
      </c>
      <c r="V51" t="s">
        <v>983</v>
      </c>
      <c r="W51" t="s">
        <v>966</v>
      </c>
      <c r="X51">
        <f>Z51</f>
        <v>0</v>
      </c>
      <c r="Z51">
        <f>IFERROR(_xlfn.XLOOKUP(TRIM(V51), M:M, O:O, "Not Found"), "Not Found")</f>
        <v>0</v>
      </c>
      <c r="AG51" s="15">
        <v>0</v>
      </c>
      <c r="AH51" s="15">
        <v>0</v>
      </c>
      <c r="AI51" s="15">
        <v>0</v>
      </c>
      <c r="AJ51" s="15">
        <v>0</v>
      </c>
      <c r="AK51" s="15">
        <v>0</v>
      </c>
      <c r="AL51" s="15">
        <v>0</v>
      </c>
      <c r="AM51" s="15">
        <v>0</v>
      </c>
      <c r="AO51" t="s">
        <v>1240</v>
      </c>
    </row>
    <row r="52" spans="8:41">
      <c r="H52" t="s">
        <v>965</v>
      </c>
      <c r="I52" t="str">
        <f t="shared" si="0"/>
        <v>schapelle corby</v>
      </c>
      <c r="J52" t="str">
        <v>schapelle corby</v>
      </c>
      <c r="K52" t="str">
        <f>IFERROR(_xlfn.XLOOKUP(TRIM(H52), M:M, N:N, "Not Found"), "Not Found")</f>
        <v>Case Related</v>
      </c>
      <c r="M52" t="s">
        <v>1024</v>
      </c>
      <c r="N52" t="s">
        <v>1022</v>
      </c>
      <c r="O52">
        <v>0</v>
      </c>
      <c r="V52" t="s">
        <v>983</v>
      </c>
      <c r="W52" t="s">
        <v>966</v>
      </c>
      <c r="X52">
        <f>Z52</f>
        <v>0</v>
      </c>
      <c r="Z52">
        <f>IFERROR(_xlfn.XLOOKUP(TRIM(V52), M:M, O:O, "Not Found"), "Not Found")</f>
        <v>0</v>
      </c>
      <c r="AG52" s="15">
        <v>0</v>
      </c>
      <c r="AH52" s="15">
        <v>0</v>
      </c>
      <c r="AI52" s="15">
        <v>0</v>
      </c>
      <c r="AJ52" s="15">
        <v>0</v>
      </c>
      <c r="AK52" s="15">
        <v>0</v>
      </c>
      <c r="AL52" s="15">
        <v>0</v>
      </c>
      <c r="AM52" s="15">
        <v>0</v>
      </c>
      <c r="AO52" t="s">
        <v>1240</v>
      </c>
    </row>
    <row r="53" spans="8:41">
      <c r="H53" t="s">
        <v>970</v>
      </c>
      <c r="I53" t="str">
        <f t="shared" si="0"/>
        <v>australian</v>
      </c>
      <c r="J53" t="str">
        <v>australian</v>
      </c>
      <c r="K53" t="str">
        <f>IFERROR(_xlfn.XLOOKUP(TRIM(H53), M:M, N:N, "Not Found"), "Not Found")</f>
        <v>Case Related</v>
      </c>
      <c r="M53" t="s">
        <v>1025</v>
      </c>
      <c r="N53" t="s">
        <v>1022</v>
      </c>
      <c r="O53">
        <v>0</v>
      </c>
      <c r="V53" t="s">
        <v>983</v>
      </c>
      <c r="W53" t="s">
        <v>966</v>
      </c>
      <c r="X53">
        <f>Z53</f>
        <v>0</v>
      </c>
      <c r="Z53">
        <f>IFERROR(_xlfn.XLOOKUP(TRIM(V53), M:M, O:O, "Not Found"), "Not Found")</f>
        <v>0</v>
      </c>
      <c r="AG53" s="15">
        <v>0</v>
      </c>
      <c r="AH53" s="15">
        <v>0</v>
      </c>
      <c r="AI53" s="15">
        <v>0</v>
      </c>
      <c r="AJ53" s="15">
        <v>0</v>
      </c>
      <c r="AK53" s="15">
        <v>0</v>
      </c>
      <c r="AL53" s="15">
        <v>0</v>
      </c>
      <c r="AM53" s="15">
        <v>0</v>
      </c>
      <c r="AO53" t="s">
        <v>1240</v>
      </c>
    </row>
    <row r="54" spans="8:41">
      <c r="H54" t="s">
        <v>983</v>
      </c>
      <c r="I54" t="str">
        <f t="shared" si="0"/>
        <v>australia</v>
      </c>
      <c r="J54" t="str">
        <v>australia</v>
      </c>
      <c r="K54" t="str">
        <f>IFERROR(_xlfn.XLOOKUP(TRIM(H54), M:M, N:N, "Not Found"), "Not Found")</f>
        <v>Case Related</v>
      </c>
      <c r="M54" t="s">
        <v>1026</v>
      </c>
      <c r="N54" t="s">
        <v>1022</v>
      </c>
      <c r="O54">
        <v>0</v>
      </c>
      <c r="V54" t="s">
        <v>983</v>
      </c>
      <c r="W54" t="s">
        <v>966</v>
      </c>
      <c r="X54">
        <f>Z54</f>
        <v>0</v>
      </c>
      <c r="Z54">
        <f>IFERROR(_xlfn.XLOOKUP(TRIM(V54), M:M, O:O, "Not Found"), "Not Found")</f>
        <v>0</v>
      </c>
      <c r="AG54" s="15">
        <v>0</v>
      </c>
      <c r="AH54" s="15">
        <v>0</v>
      </c>
      <c r="AI54" s="15">
        <v>0</v>
      </c>
      <c r="AJ54" s="15">
        <v>0</v>
      </c>
      <c r="AK54" s="15">
        <v>0</v>
      </c>
      <c r="AL54" s="15">
        <v>0</v>
      </c>
      <c r="AM54" s="15">
        <v>0</v>
      </c>
      <c r="AO54" t="s">
        <v>1240</v>
      </c>
    </row>
    <row r="55" spans="8:41">
      <c r="H55" t="s">
        <v>1020</v>
      </c>
      <c r="I55" t="str">
        <f t="shared" si="0"/>
        <v>af</v>
      </c>
      <c r="J55" t="str">
        <v>af</v>
      </c>
      <c r="K55" t="str">
        <f>IFERROR(_xlfn.XLOOKUP(TRIM(H55), M:M, N:N, "Not Found"), "Not Found")</f>
        <v>Intelligence based</v>
      </c>
      <c r="M55" t="s">
        <v>1027</v>
      </c>
      <c r="N55" t="s">
        <v>1022</v>
      </c>
      <c r="O55">
        <v>0</v>
      </c>
      <c r="V55" t="s">
        <v>983</v>
      </c>
      <c r="W55" t="s">
        <v>966</v>
      </c>
      <c r="X55">
        <f>Z55</f>
        <v>0</v>
      </c>
      <c r="Z55">
        <f>IFERROR(_xlfn.XLOOKUP(TRIM(V55), M:M, O:O, "Not Found"), "Not Found")</f>
        <v>0</v>
      </c>
      <c r="AG55" s="15">
        <v>0</v>
      </c>
      <c r="AH55" s="15">
        <v>0</v>
      </c>
      <c r="AI55" s="15">
        <v>0</v>
      </c>
      <c r="AJ55" s="15">
        <v>0</v>
      </c>
      <c r="AK55" s="15">
        <v>0</v>
      </c>
      <c r="AL55" s="15">
        <v>0</v>
      </c>
      <c r="AM55" s="15">
        <v>0</v>
      </c>
      <c r="AO55" t="s">
        <v>1240</v>
      </c>
    </row>
    <row r="56" spans="8:41">
      <c r="H56" t="s">
        <v>1028</v>
      </c>
      <c r="I56" t="str">
        <f t="shared" si="0"/>
        <v>corby</v>
      </c>
      <c r="J56" t="str">
        <v>corby</v>
      </c>
      <c r="K56" t="str">
        <f>IFERROR(_xlfn.XLOOKUP(TRIM(H56), M:M, N:N, "Not Found"), "Not Found")</f>
        <v>Familial based</v>
      </c>
      <c r="M56" t="s">
        <v>1028</v>
      </c>
      <c r="N56" t="s">
        <v>1022</v>
      </c>
      <c r="O56">
        <v>0</v>
      </c>
      <c r="V56" t="s">
        <v>983</v>
      </c>
      <c r="W56" t="s">
        <v>966</v>
      </c>
      <c r="X56">
        <f>Z56</f>
        <v>0</v>
      </c>
      <c r="Z56">
        <f>IFERROR(_xlfn.XLOOKUP(TRIM(V56), M:M, O:O, "Not Found"), "Not Found")</f>
        <v>0</v>
      </c>
      <c r="AG56" s="15">
        <v>0</v>
      </c>
      <c r="AH56" s="15">
        <v>0</v>
      </c>
      <c r="AI56" s="15">
        <v>0</v>
      </c>
      <c r="AJ56" s="15">
        <v>0</v>
      </c>
      <c r="AK56" s="15">
        <v>0</v>
      </c>
      <c r="AL56" s="15">
        <v>0</v>
      </c>
      <c r="AM56" s="15">
        <v>0</v>
      </c>
      <c r="AO56" t="s">
        <v>1240</v>
      </c>
    </row>
    <row r="57" spans="8:41">
      <c r="H57" t="s">
        <v>1043</v>
      </c>
      <c r="I57" t="str">
        <f t="shared" si="0"/>
        <v>afp</v>
      </c>
      <c r="J57" t="str">
        <v>AFP</v>
      </c>
      <c r="K57" t="str">
        <f>IFERROR(_xlfn.XLOOKUP(TRIM(H57), M:M, N:N, "Not Found"), "Not Found")</f>
        <v>Authority based</v>
      </c>
      <c r="M57" t="s">
        <v>1029</v>
      </c>
      <c r="N57" t="s">
        <v>1022</v>
      </c>
      <c r="O57">
        <v>0</v>
      </c>
      <c r="V57" t="s">
        <v>983</v>
      </c>
      <c r="W57" t="s">
        <v>966</v>
      </c>
      <c r="X57">
        <f>Z57</f>
        <v>0</v>
      </c>
      <c r="Z57">
        <f>IFERROR(_xlfn.XLOOKUP(TRIM(V57), M:M, O:O, "Not Found"), "Not Found")</f>
        <v>0</v>
      </c>
      <c r="AG57" s="15">
        <v>0</v>
      </c>
      <c r="AH57" s="15">
        <v>0</v>
      </c>
      <c r="AI57" s="15">
        <v>0</v>
      </c>
      <c r="AJ57" s="15">
        <v>0</v>
      </c>
      <c r="AK57" s="15">
        <v>0</v>
      </c>
      <c r="AL57" s="15">
        <v>0</v>
      </c>
      <c r="AM57" s="15">
        <v>0</v>
      </c>
      <c r="AO57" t="s">
        <v>1243</v>
      </c>
    </row>
    <row r="58" spans="8:41">
      <c r="H58" t="s">
        <v>965</v>
      </c>
      <c r="I58" t="str">
        <f t="shared" si="0"/>
        <v>schapelle corby</v>
      </c>
      <c r="J58" t="str">
        <v>schapelle corby</v>
      </c>
      <c r="K58" t="str">
        <f>IFERROR(_xlfn.XLOOKUP(TRIM(H58), M:M, N:N, "Not Found"), "Not Found")</f>
        <v>Case Related</v>
      </c>
      <c r="M58" t="s">
        <v>1030</v>
      </c>
      <c r="N58" t="s">
        <v>1022</v>
      </c>
      <c r="O58">
        <v>0</v>
      </c>
      <c r="V58" t="s">
        <v>983</v>
      </c>
      <c r="W58" t="s">
        <v>966</v>
      </c>
      <c r="X58">
        <f>Z58</f>
        <v>0</v>
      </c>
      <c r="Z58">
        <f>IFERROR(_xlfn.XLOOKUP(TRIM(V58), M:M, O:O, "Not Found"), "Not Found")</f>
        <v>0</v>
      </c>
      <c r="AG58" s="15">
        <v>0</v>
      </c>
      <c r="AH58" s="15">
        <v>0</v>
      </c>
      <c r="AI58" s="15">
        <v>1</v>
      </c>
      <c r="AJ58" s="15">
        <v>0</v>
      </c>
      <c r="AK58" s="15">
        <v>0</v>
      </c>
      <c r="AL58" s="15">
        <v>0</v>
      </c>
      <c r="AM58" s="15">
        <v>0</v>
      </c>
      <c r="AO58" t="s">
        <v>1240</v>
      </c>
    </row>
    <row r="59" spans="8:41">
      <c r="H59" t="s">
        <v>1024</v>
      </c>
      <c r="I59" t="str">
        <f t="shared" si="0"/>
        <v>sister</v>
      </c>
      <c r="J59" t="str">
        <v>sister</v>
      </c>
      <c r="K59" t="str">
        <f>IFERROR(_xlfn.XLOOKUP(TRIM(H59), M:M, N:N, "Not Found"), "Not Found")</f>
        <v>Familial based</v>
      </c>
      <c r="M59" t="s">
        <v>1031</v>
      </c>
      <c r="N59" t="s">
        <v>1032</v>
      </c>
      <c r="O59">
        <v>3</v>
      </c>
      <c r="V59" t="s">
        <v>983</v>
      </c>
      <c r="W59" t="s">
        <v>966</v>
      </c>
      <c r="X59">
        <f>Z59</f>
        <v>0</v>
      </c>
      <c r="Z59">
        <f>IFERROR(_xlfn.XLOOKUP(TRIM(V59), M:M, O:O, "Not Found"), "Not Found")</f>
        <v>0</v>
      </c>
      <c r="AG59" s="15">
        <v>0</v>
      </c>
      <c r="AH59" s="15">
        <v>0</v>
      </c>
      <c r="AI59" s="15">
        <v>0</v>
      </c>
      <c r="AJ59" s="15">
        <v>0</v>
      </c>
      <c r="AK59" s="15">
        <v>0</v>
      </c>
      <c r="AL59" s="15">
        <v>0</v>
      </c>
      <c r="AM59" s="15">
        <v>0</v>
      </c>
      <c r="AO59" t="s">
        <v>1240</v>
      </c>
    </row>
    <row r="60" spans="8:41">
      <c r="H60" t="s">
        <v>1027</v>
      </c>
      <c r="I60" t="str">
        <f t="shared" si="0"/>
        <v>mercedes</v>
      </c>
      <c r="J60" t="str">
        <v>mercedes</v>
      </c>
      <c r="K60" t="str">
        <f>IFERROR(_xlfn.XLOOKUP(TRIM(H60), M:M, N:N, "Not Found"), "Not Found")</f>
        <v>Familial based</v>
      </c>
      <c r="M60" t="s">
        <v>1033</v>
      </c>
      <c r="N60" t="s">
        <v>1032</v>
      </c>
      <c r="O60">
        <v>3</v>
      </c>
      <c r="V60" t="s">
        <v>983</v>
      </c>
      <c r="W60" t="s">
        <v>966</v>
      </c>
      <c r="X60">
        <f>Z60</f>
        <v>0</v>
      </c>
      <c r="Z60">
        <f>IFERROR(_xlfn.XLOOKUP(TRIM(V60), M:M, O:O, "Not Found"), "Not Found")</f>
        <v>0</v>
      </c>
      <c r="AG60" s="15">
        <v>0</v>
      </c>
      <c r="AH60" s="15">
        <v>0</v>
      </c>
      <c r="AI60" s="15">
        <v>0</v>
      </c>
      <c r="AJ60" s="15">
        <v>0</v>
      </c>
      <c r="AK60" s="15">
        <v>0</v>
      </c>
      <c r="AL60" s="15">
        <v>0</v>
      </c>
      <c r="AM60" s="15">
        <v>0</v>
      </c>
      <c r="AO60" t="s">
        <v>1245</v>
      </c>
    </row>
    <row r="61" spans="8:41">
      <c r="H61" t="s">
        <v>1028</v>
      </c>
      <c r="I61" t="str">
        <f t="shared" si="0"/>
        <v>corby</v>
      </c>
      <c r="J61" t="str">
        <v>corby</v>
      </c>
      <c r="K61" t="str">
        <f>IFERROR(_xlfn.XLOOKUP(TRIM(H61), M:M, N:N, "Not Found"), "Not Found")</f>
        <v>Familial based</v>
      </c>
      <c r="M61" t="s">
        <v>1034</v>
      </c>
      <c r="N61" t="s">
        <v>1032</v>
      </c>
      <c r="O61">
        <v>4</v>
      </c>
      <c r="V61" t="s">
        <v>983</v>
      </c>
      <c r="W61" t="s">
        <v>966</v>
      </c>
      <c r="X61">
        <f>Z61</f>
        <v>0</v>
      </c>
      <c r="Z61">
        <f>IFERROR(_xlfn.XLOOKUP(TRIM(V61), M:M, O:O, "Not Found"), "Not Found")</f>
        <v>0</v>
      </c>
      <c r="AG61" s="15">
        <v>0</v>
      </c>
      <c r="AH61" s="15">
        <v>0.5</v>
      </c>
      <c r="AI61" s="15">
        <v>0</v>
      </c>
      <c r="AJ61" s="15">
        <v>0</v>
      </c>
      <c r="AK61" s="15">
        <v>0</v>
      </c>
      <c r="AL61" s="15">
        <v>0</v>
      </c>
      <c r="AM61" s="15">
        <v>0</v>
      </c>
      <c r="AO61" t="s">
        <v>1240</v>
      </c>
    </row>
    <row r="62" spans="8:41">
      <c r="H62" t="s">
        <v>965</v>
      </c>
      <c r="I62" t="str">
        <f t="shared" si="0"/>
        <v>schapelle corby</v>
      </c>
      <c r="J62" t="str">
        <v>schapelle corby</v>
      </c>
      <c r="K62" t="str">
        <f>IFERROR(_xlfn.XLOOKUP(TRIM(H62), M:M, N:N, "Not Found"), "Not Found")</f>
        <v>Case Related</v>
      </c>
      <c r="M62" t="s">
        <v>1035</v>
      </c>
      <c r="N62" t="s">
        <v>1032</v>
      </c>
      <c r="O62">
        <v>4</v>
      </c>
      <c r="V62" t="s">
        <v>983</v>
      </c>
      <c r="W62" t="s">
        <v>966</v>
      </c>
      <c r="X62">
        <f>Z62</f>
        <v>0</v>
      </c>
      <c r="Z62">
        <f>IFERROR(_xlfn.XLOOKUP(TRIM(V62), M:M, O:O, "Not Found"), "Not Found")</f>
        <v>0</v>
      </c>
      <c r="AG62" s="15">
        <v>0</v>
      </c>
      <c r="AH62" s="15">
        <v>0</v>
      </c>
      <c r="AI62" s="15">
        <v>0</v>
      </c>
      <c r="AJ62" s="15">
        <v>0</v>
      </c>
      <c r="AK62" s="15">
        <v>0</v>
      </c>
      <c r="AL62" s="15">
        <v>0</v>
      </c>
      <c r="AM62" s="15">
        <v>0</v>
      </c>
      <c r="AO62" t="s">
        <v>1240</v>
      </c>
    </row>
    <row r="63" spans="8:41">
      <c r="H63" t="s">
        <v>1008</v>
      </c>
      <c r="I63" t="str">
        <f t="shared" si="0"/>
        <v>dumb</v>
      </c>
      <c r="J63" t="str">
        <v>dumb</v>
      </c>
      <c r="K63" t="str">
        <f>IFERROR(_xlfn.XLOOKUP(TRIM(H63), M:M, N:N, "Not Found"), "Not Found")</f>
        <v>Intelligence based</v>
      </c>
      <c r="M63" t="s">
        <v>1036</v>
      </c>
      <c r="N63" t="s">
        <v>1032</v>
      </c>
      <c r="O63">
        <v>4</v>
      </c>
      <c r="V63" t="s">
        <v>983</v>
      </c>
      <c r="W63" t="s">
        <v>966</v>
      </c>
      <c r="X63">
        <f>Z63</f>
        <v>0</v>
      </c>
      <c r="Z63">
        <f>IFERROR(_xlfn.XLOOKUP(TRIM(V63), M:M, O:O, "Not Found"), "Not Found")</f>
        <v>0</v>
      </c>
      <c r="AG63" s="15">
        <v>0</v>
      </c>
      <c r="AH63" s="15">
        <v>0</v>
      </c>
      <c r="AI63" s="15">
        <v>0</v>
      </c>
      <c r="AJ63" s="15">
        <v>0</v>
      </c>
      <c r="AK63" s="15">
        <v>0</v>
      </c>
      <c r="AL63" s="15">
        <v>0</v>
      </c>
      <c r="AM63" s="15">
        <v>0</v>
      </c>
      <c r="AO63" t="s">
        <v>1240</v>
      </c>
    </row>
    <row r="64" spans="8:41">
      <c r="H64" t="s">
        <v>1028</v>
      </c>
      <c r="I64" t="str">
        <f t="shared" si="0"/>
        <v>corby</v>
      </c>
      <c r="J64" t="str">
        <v>corby</v>
      </c>
      <c r="K64" t="str">
        <f>IFERROR(_xlfn.XLOOKUP(TRIM(H64), M:M, N:N, "Not Found"), "Not Found")</f>
        <v>Familial based</v>
      </c>
      <c r="M64" t="s">
        <v>1037</v>
      </c>
      <c r="N64" t="s">
        <v>1032</v>
      </c>
      <c r="O64">
        <v>4</v>
      </c>
      <c r="V64" t="s">
        <v>983</v>
      </c>
      <c r="W64" t="s">
        <v>966</v>
      </c>
      <c r="X64">
        <f>Z64</f>
        <v>0</v>
      </c>
      <c r="Z64">
        <f>IFERROR(_xlfn.XLOOKUP(TRIM(V64), M:M, O:O, "Not Found"), "Not Found")</f>
        <v>0</v>
      </c>
      <c r="AG64" s="15">
        <v>0</v>
      </c>
      <c r="AH64" s="15">
        <v>0</v>
      </c>
      <c r="AI64" s="15">
        <v>0</v>
      </c>
      <c r="AJ64" s="15">
        <v>0</v>
      </c>
      <c r="AK64" s="15">
        <v>0</v>
      </c>
      <c r="AL64" s="15">
        <v>0</v>
      </c>
      <c r="AM64" s="15">
        <v>0</v>
      </c>
      <c r="AO64" t="s">
        <v>1240</v>
      </c>
    </row>
    <row r="65" spans="8:41">
      <c r="H65" t="s">
        <v>1031</v>
      </c>
      <c r="I65" t="str">
        <f t="shared" si="0"/>
        <v>bogan</v>
      </c>
      <c r="J65" t="str">
        <v>bogan</v>
      </c>
      <c r="K65" t="str">
        <f>IFERROR(_xlfn.XLOOKUP(TRIM(H65), M:M, N:N, "Not Found"), "Not Found")</f>
        <v>Class based</v>
      </c>
      <c r="M65" t="s">
        <v>1038</v>
      </c>
      <c r="N65" t="s">
        <v>1032</v>
      </c>
      <c r="O65">
        <v>3</v>
      </c>
      <c r="V65" t="s">
        <v>983</v>
      </c>
      <c r="W65" t="s">
        <v>966</v>
      </c>
      <c r="X65">
        <f>Z65</f>
        <v>0</v>
      </c>
      <c r="Z65">
        <f>IFERROR(_xlfn.XLOOKUP(TRIM(V65), M:M, O:O, "Not Found"), "Not Found")</f>
        <v>0</v>
      </c>
      <c r="AG65" s="15">
        <v>0</v>
      </c>
      <c r="AH65" s="15">
        <v>0</v>
      </c>
      <c r="AI65" s="15">
        <v>0</v>
      </c>
      <c r="AJ65" s="15">
        <v>0</v>
      </c>
      <c r="AK65" s="15">
        <v>0</v>
      </c>
      <c r="AL65" s="15">
        <v>0</v>
      </c>
      <c r="AM65" s="15">
        <v>0</v>
      </c>
      <c r="AO65" t="s">
        <v>1240</v>
      </c>
    </row>
    <row r="66" spans="8:41">
      <c r="H66" t="s">
        <v>1060</v>
      </c>
      <c r="I66" t="str">
        <f t="shared" si="0"/>
        <v>innocent</v>
      </c>
      <c r="J66" t="str">
        <v>innocent</v>
      </c>
      <c r="K66" t="str">
        <f>IFERROR(_xlfn.XLOOKUP(TRIM(H66), M:M, N:N, "Not Found"), "Not Found")</f>
        <v>Legality based</v>
      </c>
      <c r="M66" t="s">
        <v>1039</v>
      </c>
      <c r="N66" t="s">
        <v>1032</v>
      </c>
      <c r="O66">
        <v>1</v>
      </c>
      <c r="V66" t="s">
        <v>983</v>
      </c>
      <c r="W66" t="s">
        <v>966</v>
      </c>
      <c r="X66">
        <f>Z66</f>
        <v>0</v>
      </c>
      <c r="Z66">
        <f>IFERROR(_xlfn.XLOOKUP(TRIM(V66), M:M, O:O, "Not Found"), "Not Found")</f>
        <v>0</v>
      </c>
      <c r="AG66" s="15">
        <v>0</v>
      </c>
      <c r="AH66" s="15">
        <v>0</v>
      </c>
      <c r="AI66" s="15">
        <v>0</v>
      </c>
      <c r="AJ66" s="15">
        <v>0</v>
      </c>
      <c r="AK66" s="15">
        <v>0</v>
      </c>
      <c r="AL66" s="15">
        <v>0</v>
      </c>
      <c r="AM66" s="15">
        <v>0</v>
      </c>
      <c r="AO66" t="s">
        <v>1238</v>
      </c>
    </row>
    <row r="67" spans="8:41">
      <c r="H67" t="s">
        <v>965</v>
      </c>
      <c r="I67" t="str">
        <f t="shared" si="0"/>
        <v>schapelle corby</v>
      </c>
      <c r="J67" t="str">
        <v>schapelle corby</v>
      </c>
      <c r="K67" t="str">
        <f>IFERROR(_xlfn.XLOOKUP(TRIM(H67), M:M, N:N, "Not Found"), "Not Found")</f>
        <v>Case Related</v>
      </c>
      <c r="M67" t="s">
        <v>1040</v>
      </c>
      <c r="N67" t="s">
        <v>1041</v>
      </c>
      <c r="O67">
        <v>3</v>
      </c>
      <c r="V67" t="s">
        <v>983</v>
      </c>
      <c r="W67" t="s">
        <v>966</v>
      </c>
      <c r="X67">
        <f>Z67</f>
        <v>0</v>
      </c>
      <c r="Z67">
        <f>IFERROR(_xlfn.XLOOKUP(TRIM(V67), M:M, O:O, "Not Found"), "Not Found")</f>
        <v>0</v>
      </c>
      <c r="AG67" s="15">
        <v>0</v>
      </c>
      <c r="AH67" s="15">
        <v>0</v>
      </c>
      <c r="AI67" s="15">
        <v>0</v>
      </c>
      <c r="AJ67" s="15">
        <v>0</v>
      </c>
      <c r="AK67" s="15">
        <v>0</v>
      </c>
      <c r="AL67" s="15">
        <v>0</v>
      </c>
      <c r="AM67" s="15">
        <v>0</v>
      </c>
      <c r="AO67" t="s">
        <v>1243</v>
      </c>
    </row>
    <row r="68" spans="8:41">
      <c r="H68" t="s">
        <v>968</v>
      </c>
      <c r="I68" t="str">
        <f t="shared" ref="I68:I131" si="2">TRIM(LOWER(H68))</f>
        <v>boogie board</v>
      </c>
      <c r="J68" t="str">
        <v>boogie board</v>
      </c>
      <c r="K68" t="str">
        <f>IFERROR(_xlfn.XLOOKUP(TRIM(H68), M:M, N:N, "Not Found"), "Not Found")</f>
        <v>Case Related</v>
      </c>
      <c r="M68" t="s">
        <v>1042</v>
      </c>
      <c r="N68" t="s">
        <v>1041</v>
      </c>
      <c r="O68">
        <v>0</v>
      </c>
      <c r="V68" t="s">
        <v>983</v>
      </c>
      <c r="W68" t="s">
        <v>966</v>
      </c>
      <c r="X68">
        <f>Z68</f>
        <v>0</v>
      </c>
      <c r="Z68">
        <f>IFERROR(_xlfn.XLOOKUP(TRIM(V68), M:M, O:O, "Not Found"), "Not Found")</f>
        <v>0</v>
      </c>
      <c r="AG68" s="15">
        <v>0</v>
      </c>
      <c r="AH68" s="15">
        <v>0</v>
      </c>
      <c r="AI68" s="15">
        <v>1</v>
      </c>
      <c r="AJ68" s="15">
        <v>0</v>
      </c>
      <c r="AK68" s="15">
        <v>0</v>
      </c>
      <c r="AL68" s="15">
        <v>0</v>
      </c>
      <c r="AM68" s="15">
        <v>0</v>
      </c>
      <c r="AO68" t="s">
        <v>1240</v>
      </c>
    </row>
    <row r="69" spans="8:41">
      <c r="H69" t="s">
        <v>1000</v>
      </c>
      <c r="I69" t="str">
        <f t="shared" si="2"/>
        <v>bribed</v>
      </c>
      <c r="J69" t="str">
        <v>bribed</v>
      </c>
      <c r="K69" t="str">
        <f>IFERROR(_xlfn.XLOOKUP(TRIM(H69), M:M, N:N, "Not Found"), "Not Found")</f>
        <v>Crime based</v>
      </c>
      <c r="M69" t="s">
        <v>1043</v>
      </c>
      <c r="N69" t="s">
        <v>1041</v>
      </c>
      <c r="O69">
        <v>0</v>
      </c>
      <c r="V69" t="s">
        <v>983</v>
      </c>
      <c r="W69" t="s">
        <v>966</v>
      </c>
      <c r="X69">
        <f>Z69</f>
        <v>0</v>
      </c>
      <c r="Z69">
        <f>IFERROR(_xlfn.XLOOKUP(TRIM(V69), M:M, O:O, "Not Found"), "Not Found")</f>
        <v>0</v>
      </c>
      <c r="AG69" s="15">
        <v>0</v>
      </c>
      <c r="AH69" s="15">
        <v>0</v>
      </c>
      <c r="AI69" s="15">
        <v>0</v>
      </c>
      <c r="AJ69" s="15">
        <v>0</v>
      </c>
      <c r="AK69" s="15">
        <v>0</v>
      </c>
      <c r="AL69" s="15">
        <v>0</v>
      </c>
      <c r="AM69" s="15">
        <v>0</v>
      </c>
      <c r="AO69" t="s">
        <v>1240</v>
      </c>
    </row>
    <row r="70" spans="8:41">
      <c r="H70" t="s">
        <v>1028</v>
      </c>
      <c r="I70" t="str">
        <f t="shared" si="2"/>
        <v>corby</v>
      </c>
      <c r="J70" t="str">
        <v>corby</v>
      </c>
      <c r="K70" t="str">
        <f>IFERROR(_xlfn.XLOOKUP(TRIM(H70), M:M, N:N, "Not Found"), "Not Found")</f>
        <v>Familial based</v>
      </c>
      <c r="M70" t="s">
        <v>1044</v>
      </c>
      <c r="N70" t="s">
        <v>1041</v>
      </c>
      <c r="O70">
        <v>2</v>
      </c>
      <c r="V70" t="s">
        <v>983</v>
      </c>
      <c r="W70" t="s">
        <v>966</v>
      </c>
      <c r="X70">
        <f>Z70</f>
        <v>0</v>
      </c>
      <c r="Z70">
        <f>IFERROR(_xlfn.XLOOKUP(TRIM(V70), M:M, O:O, "Not Found"), "Not Found")</f>
        <v>0</v>
      </c>
      <c r="AG70" s="15">
        <v>0</v>
      </c>
      <c r="AH70" s="15">
        <v>0</v>
      </c>
      <c r="AI70" s="15">
        <v>0</v>
      </c>
      <c r="AJ70" s="15">
        <v>0</v>
      </c>
      <c r="AK70" s="15">
        <v>0</v>
      </c>
      <c r="AL70" s="15">
        <v>0</v>
      </c>
      <c r="AM70" s="15">
        <v>0</v>
      </c>
      <c r="AO70" t="s">
        <v>1256</v>
      </c>
    </row>
    <row r="71" spans="8:41">
      <c r="H71" t="s">
        <v>1038</v>
      </c>
      <c r="I71" t="str">
        <f t="shared" si="2"/>
        <v>bitch</v>
      </c>
      <c r="J71" t="str">
        <v>bitch</v>
      </c>
      <c r="K71" t="str">
        <f>IFERROR(_xlfn.XLOOKUP(TRIM(H71), M:M, N:N, "Not Found"), "Not Found")</f>
        <v>Class based</v>
      </c>
      <c r="M71" t="s">
        <v>1045</v>
      </c>
      <c r="N71" t="s">
        <v>1046</v>
      </c>
      <c r="O71">
        <v>3</v>
      </c>
      <c r="V71" t="s">
        <v>983</v>
      </c>
      <c r="W71" t="s">
        <v>966</v>
      </c>
      <c r="X71">
        <f>Z71</f>
        <v>0</v>
      </c>
      <c r="Z71">
        <f>IFERROR(_xlfn.XLOOKUP(TRIM(V71), M:M, O:O, "Not Found"), "Not Found")</f>
        <v>0</v>
      </c>
      <c r="AG71" s="15">
        <v>0</v>
      </c>
      <c r="AH71" s="15">
        <v>1</v>
      </c>
      <c r="AI71" s="15">
        <v>1</v>
      </c>
      <c r="AJ71" s="15">
        <v>0</v>
      </c>
      <c r="AK71" s="15">
        <v>0</v>
      </c>
      <c r="AL71" s="15">
        <v>0</v>
      </c>
      <c r="AM71" s="15">
        <v>0</v>
      </c>
      <c r="AO71" t="s">
        <v>1240</v>
      </c>
    </row>
    <row r="72" spans="8:41">
      <c r="H72" t="s">
        <v>1039</v>
      </c>
      <c r="I72" t="str">
        <f t="shared" si="2"/>
        <v>defensive</v>
      </c>
      <c r="J72" t="str">
        <v>defensive</v>
      </c>
      <c r="K72" t="str">
        <f>IFERROR(_xlfn.XLOOKUP(TRIM(H72), M:M, N:N, "Not Found"), "Not Found")</f>
        <v>Class based</v>
      </c>
      <c r="M72" t="s">
        <v>1047</v>
      </c>
      <c r="N72" t="s">
        <v>1046</v>
      </c>
      <c r="O72">
        <v>3</v>
      </c>
      <c r="V72" t="s">
        <v>983</v>
      </c>
      <c r="W72" t="s">
        <v>966</v>
      </c>
      <c r="X72">
        <f>Z72</f>
        <v>0</v>
      </c>
      <c r="Z72">
        <f>IFERROR(_xlfn.XLOOKUP(TRIM(V72), M:M, O:O, "Not Found"), "Not Found")</f>
        <v>0</v>
      </c>
      <c r="AG72" s="15">
        <v>0</v>
      </c>
      <c r="AH72" s="15">
        <v>0</v>
      </c>
      <c r="AI72" s="15">
        <v>0</v>
      </c>
      <c r="AJ72" s="15">
        <v>0</v>
      </c>
      <c r="AK72" s="15">
        <v>0</v>
      </c>
      <c r="AL72" s="15">
        <v>0</v>
      </c>
      <c r="AM72" s="15">
        <v>0</v>
      </c>
      <c r="AO72" t="s">
        <v>1240</v>
      </c>
    </row>
    <row r="73" spans="8:41">
      <c r="H73" t="s">
        <v>965</v>
      </c>
      <c r="I73" t="str">
        <f t="shared" si="2"/>
        <v>schapelle corby</v>
      </c>
      <c r="J73" t="str">
        <v>schapelle corby</v>
      </c>
      <c r="K73" t="str">
        <f>IFERROR(_xlfn.XLOOKUP(TRIM(H73), M:M, N:N, "Not Found"), "Not Found")</f>
        <v>Case Related</v>
      </c>
      <c r="M73" t="s">
        <v>1048</v>
      </c>
      <c r="N73" t="s">
        <v>1046</v>
      </c>
      <c r="O73">
        <v>3</v>
      </c>
      <c r="V73" t="s">
        <v>983</v>
      </c>
      <c r="W73" t="s">
        <v>966</v>
      </c>
      <c r="X73">
        <f>Z73</f>
        <v>0</v>
      </c>
      <c r="Z73">
        <f>IFERROR(_xlfn.XLOOKUP(TRIM(V73), M:M, O:O, "Not Found"), "Not Found")</f>
        <v>0</v>
      </c>
      <c r="AG73" s="15">
        <v>0</v>
      </c>
      <c r="AH73" s="15">
        <v>0</v>
      </c>
      <c r="AI73" s="15">
        <v>0</v>
      </c>
      <c r="AJ73" s="15">
        <v>0</v>
      </c>
      <c r="AK73" s="15">
        <v>0</v>
      </c>
      <c r="AL73" s="15">
        <v>0</v>
      </c>
      <c r="AM73" s="15">
        <v>0</v>
      </c>
      <c r="AO73" t="s">
        <v>1240</v>
      </c>
    </row>
    <row r="74" spans="8:41">
      <c r="H74" t="s">
        <v>984</v>
      </c>
      <c r="I74" t="str">
        <f t="shared" si="2"/>
        <v>drugs</v>
      </c>
      <c r="J74" t="str">
        <v>drugs</v>
      </c>
      <c r="K74" t="str">
        <f>IFERROR(_xlfn.XLOOKUP(TRIM(H74), M:M, N:N, "Not Found"), "Not Found")</f>
        <v>Crime based</v>
      </c>
      <c r="M74" t="s">
        <v>1049</v>
      </c>
      <c r="N74" t="s">
        <v>1046</v>
      </c>
      <c r="O74">
        <v>2</v>
      </c>
      <c r="V74" t="s">
        <v>983</v>
      </c>
      <c r="W74" t="s">
        <v>966</v>
      </c>
      <c r="X74">
        <f>Z74</f>
        <v>0</v>
      </c>
      <c r="Z74">
        <f>IFERROR(_xlfn.XLOOKUP(TRIM(V74), M:M, O:O, "Not Found"), "Not Found")</f>
        <v>0</v>
      </c>
      <c r="AG74" s="15">
        <v>0</v>
      </c>
      <c r="AH74" s="15">
        <v>0</v>
      </c>
      <c r="AI74" s="15">
        <v>0</v>
      </c>
      <c r="AJ74" s="15">
        <v>0</v>
      </c>
      <c r="AK74" s="15">
        <v>0</v>
      </c>
      <c r="AL74" s="15">
        <v>0</v>
      </c>
      <c r="AM74" s="15">
        <v>0</v>
      </c>
      <c r="AO74" t="s">
        <v>1238</v>
      </c>
    </row>
    <row r="75" spans="8:41">
      <c r="H75" t="s">
        <v>991</v>
      </c>
      <c r="I75" t="str">
        <f t="shared" si="2"/>
        <v>drug trafficking</v>
      </c>
      <c r="J75" t="str">
        <v>drug trafficking</v>
      </c>
      <c r="K75" t="str">
        <f>IFERROR(_xlfn.XLOOKUP(TRIM(H75), M:M, N:N, "Not Found"), "Not Found")</f>
        <v>Crime based</v>
      </c>
      <c r="M75" t="s">
        <v>1050</v>
      </c>
      <c r="N75" t="s">
        <v>1046</v>
      </c>
      <c r="O75">
        <v>2</v>
      </c>
      <c r="V75" t="s">
        <v>983</v>
      </c>
      <c r="W75" t="s">
        <v>966</v>
      </c>
      <c r="X75">
        <f>Z75</f>
        <v>0</v>
      </c>
      <c r="Z75">
        <f>IFERROR(_xlfn.XLOOKUP(TRIM(V75), M:M, O:O, "Not Found"), "Not Found")</f>
        <v>0</v>
      </c>
      <c r="AG75" s="15">
        <v>0</v>
      </c>
      <c r="AH75" s="15">
        <v>1</v>
      </c>
      <c r="AI75" s="15">
        <v>0</v>
      </c>
      <c r="AJ75" s="15">
        <v>0</v>
      </c>
      <c r="AK75" s="15">
        <v>0</v>
      </c>
      <c r="AL75" s="15">
        <v>0</v>
      </c>
      <c r="AM75" s="15">
        <v>0</v>
      </c>
      <c r="AO75" t="s">
        <v>1240</v>
      </c>
    </row>
    <row r="76" spans="8:41">
      <c r="H76" t="s">
        <v>1020</v>
      </c>
      <c r="I76" t="str">
        <f t="shared" si="2"/>
        <v>af</v>
      </c>
      <c r="J76" t="str">
        <v>af</v>
      </c>
      <c r="K76" t="str">
        <f>IFERROR(_xlfn.XLOOKUP(TRIM(H76), M:M, N:N, "Not Found"), "Not Found")</f>
        <v>Intelligence based</v>
      </c>
      <c r="M76" t="s">
        <v>1051</v>
      </c>
      <c r="N76" t="s">
        <v>1046</v>
      </c>
      <c r="O76">
        <v>0</v>
      </c>
      <c r="V76" t="s">
        <v>983</v>
      </c>
      <c r="W76" t="s">
        <v>966</v>
      </c>
      <c r="X76">
        <f>Z76</f>
        <v>0</v>
      </c>
      <c r="Z76">
        <f>IFERROR(_xlfn.XLOOKUP(TRIM(V76), M:M, O:O, "Not Found"), "Not Found")</f>
        <v>0</v>
      </c>
      <c r="AG76" s="15">
        <v>0.5</v>
      </c>
      <c r="AH76" s="15">
        <v>0</v>
      </c>
      <c r="AI76" s="15">
        <v>0</v>
      </c>
      <c r="AJ76" s="15">
        <v>0</v>
      </c>
      <c r="AK76" s="15">
        <v>0</v>
      </c>
      <c r="AL76" s="15">
        <v>0</v>
      </c>
      <c r="AM76" s="15">
        <v>0</v>
      </c>
      <c r="AO76" t="s">
        <v>1240</v>
      </c>
    </row>
    <row r="77" spans="8:41">
      <c r="H77" t="s">
        <v>1028</v>
      </c>
      <c r="I77" t="str">
        <f t="shared" si="2"/>
        <v>corby</v>
      </c>
      <c r="J77" t="str">
        <v>corby</v>
      </c>
      <c r="K77" t="str">
        <f>IFERROR(_xlfn.XLOOKUP(TRIM(H77), M:M, N:N, "Not Found"), "Not Found")</f>
        <v>Familial based</v>
      </c>
      <c r="M77" t="s">
        <v>1052</v>
      </c>
      <c r="N77" t="s">
        <v>1046</v>
      </c>
      <c r="O77">
        <v>1</v>
      </c>
      <c r="V77" t="s">
        <v>983</v>
      </c>
      <c r="W77" t="s">
        <v>966</v>
      </c>
      <c r="X77">
        <f>Z77</f>
        <v>0</v>
      </c>
      <c r="Z77">
        <f>IFERROR(_xlfn.XLOOKUP(TRIM(V77), M:M, O:O, "Not Found"), "Not Found")</f>
        <v>0</v>
      </c>
      <c r="AG77" s="15">
        <v>0</v>
      </c>
      <c r="AH77" s="15">
        <v>0</v>
      </c>
      <c r="AI77" s="15">
        <v>0</v>
      </c>
      <c r="AJ77" s="15">
        <v>0</v>
      </c>
      <c r="AK77" s="15">
        <v>0</v>
      </c>
      <c r="AL77" s="15">
        <v>0</v>
      </c>
      <c r="AM77" s="15">
        <v>0</v>
      </c>
      <c r="AO77" t="s">
        <v>1240</v>
      </c>
    </row>
    <row r="78" spans="8:41">
      <c r="H78" t="s">
        <v>1060</v>
      </c>
      <c r="I78" t="str">
        <f t="shared" si="2"/>
        <v>innocent</v>
      </c>
      <c r="J78" t="str">
        <v>innocent</v>
      </c>
      <c r="K78" t="str">
        <f>IFERROR(_xlfn.XLOOKUP(TRIM(H78), M:M, N:N, "Not Found"), "Not Found")</f>
        <v>Legality based</v>
      </c>
      <c r="M78" t="s">
        <v>1053</v>
      </c>
      <c r="N78" t="s">
        <v>1046</v>
      </c>
      <c r="O78">
        <v>2</v>
      </c>
      <c r="V78" t="s">
        <v>983</v>
      </c>
      <c r="W78" t="s">
        <v>966</v>
      </c>
      <c r="X78">
        <f>Z78</f>
        <v>0</v>
      </c>
      <c r="Z78">
        <f>IFERROR(_xlfn.XLOOKUP(TRIM(V78), M:M, O:O, "Not Found"), "Not Found")</f>
        <v>0</v>
      </c>
      <c r="AG78" s="15">
        <v>0</v>
      </c>
      <c r="AH78" s="15">
        <v>0</v>
      </c>
      <c r="AI78" s="15">
        <v>0</v>
      </c>
      <c r="AJ78" s="15">
        <v>0</v>
      </c>
      <c r="AK78" s="15">
        <v>0</v>
      </c>
      <c r="AL78" s="15">
        <v>0</v>
      </c>
      <c r="AM78" s="15">
        <v>0</v>
      </c>
      <c r="AO78" t="s">
        <v>1240</v>
      </c>
    </row>
    <row r="79" spans="8:41">
      <c r="H79" t="s">
        <v>1068</v>
      </c>
      <c r="I79" t="str">
        <f t="shared" si="2"/>
        <v>reasonable doubt</v>
      </c>
      <c r="J79" t="str">
        <v>reasonable doubt</v>
      </c>
      <c r="K79" t="str">
        <f>IFERROR(_xlfn.XLOOKUP(TRIM(H79), M:M, N:N, "Not Found"), "Not Found")</f>
        <v>Legality based</v>
      </c>
      <c r="M79" t="s">
        <v>1054</v>
      </c>
      <c r="N79" t="s">
        <v>1046</v>
      </c>
      <c r="O79">
        <v>4</v>
      </c>
      <c r="V79" t="s">
        <v>983</v>
      </c>
      <c r="W79" t="s">
        <v>966</v>
      </c>
      <c r="X79">
        <f>Z79</f>
        <v>0</v>
      </c>
      <c r="Z79">
        <f>IFERROR(_xlfn.XLOOKUP(TRIM(V79), M:M, O:O, "Not Found"), "Not Found")</f>
        <v>0</v>
      </c>
      <c r="AG79" s="15">
        <v>0</v>
      </c>
      <c r="AH79" s="15">
        <v>0</v>
      </c>
      <c r="AI79" s="15">
        <v>0</v>
      </c>
      <c r="AJ79" s="15">
        <v>0</v>
      </c>
      <c r="AK79" s="15">
        <v>0</v>
      </c>
      <c r="AL79" s="15">
        <v>0</v>
      </c>
      <c r="AM79" s="15">
        <v>0</v>
      </c>
      <c r="AO79" t="s">
        <v>1240</v>
      </c>
    </row>
    <row r="80" spans="8:41">
      <c r="H80" t="s">
        <v>965</v>
      </c>
      <c r="I80" t="str">
        <f t="shared" si="2"/>
        <v>schapelle corby</v>
      </c>
      <c r="J80" t="str">
        <v>schapelle corby</v>
      </c>
      <c r="K80" t="str">
        <f>IFERROR(_xlfn.XLOOKUP(TRIM(H80), M:M, N:N, "Not Found"), "Not Found")</f>
        <v>Case Related</v>
      </c>
      <c r="M80" t="s">
        <v>1055</v>
      </c>
      <c r="N80" t="s">
        <v>1046</v>
      </c>
      <c r="O80">
        <v>4</v>
      </c>
      <c r="V80" t="s">
        <v>983</v>
      </c>
      <c r="W80" t="s">
        <v>966</v>
      </c>
      <c r="X80">
        <f>Z80</f>
        <v>0</v>
      </c>
      <c r="Z80">
        <f>IFERROR(_xlfn.XLOOKUP(TRIM(V80), M:M, O:O, "Not Found"), "Not Found")</f>
        <v>0</v>
      </c>
      <c r="AG80" s="15">
        <v>0</v>
      </c>
      <c r="AH80" s="15">
        <v>0</v>
      </c>
      <c r="AI80" s="15">
        <v>0</v>
      </c>
      <c r="AJ80" s="15">
        <v>0</v>
      </c>
      <c r="AK80" s="15">
        <v>0</v>
      </c>
      <c r="AL80" s="15">
        <v>0</v>
      </c>
      <c r="AM80" s="15">
        <v>0</v>
      </c>
      <c r="AO80" t="s">
        <v>1240</v>
      </c>
    </row>
    <row r="81" spans="8:41">
      <c r="H81" t="s">
        <v>984</v>
      </c>
      <c r="I81" t="str">
        <f t="shared" si="2"/>
        <v>drugs</v>
      </c>
      <c r="J81" t="str">
        <v>drugs</v>
      </c>
      <c r="K81" t="str">
        <f>IFERROR(_xlfn.XLOOKUP(TRIM(H81), M:M, N:N, "Not Found"), "Not Found")</f>
        <v>Crime based</v>
      </c>
      <c r="M81" s="5" t="s">
        <v>1056</v>
      </c>
      <c r="N81" t="s">
        <v>1046</v>
      </c>
      <c r="O81">
        <v>2</v>
      </c>
      <c r="V81" t="s">
        <v>983</v>
      </c>
      <c r="W81" t="s">
        <v>966</v>
      </c>
      <c r="X81">
        <f>Z81</f>
        <v>0</v>
      </c>
      <c r="Z81">
        <f>IFERROR(_xlfn.XLOOKUP(TRIM(V81), M:M, O:O, "Not Found"), "Not Found")</f>
        <v>0</v>
      </c>
      <c r="AG81" s="15">
        <v>0</v>
      </c>
      <c r="AH81" s="15">
        <v>0</v>
      </c>
      <c r="AI81" s="15">
        <v>0</v>
      </c>
      <c r="AJ81" s="15">
        <v>0</v>
      </c>
      <c r="AK81" s="15">
        <v>0</v>
      </c>
      <c r="AL81" s="15">
        <v>0</v>
      </c>
      <c r="AM81" s="15">
        <v>0</v>
      </c>
      <c r="AO81" t="s">
        <v>1246</v>
      </c>
    </row>
    <row r="82" spans="8:41">
      <c r="H82" t="s">
        <v>991</v>
      </c>
      <c r="I82" t="str">
        <f t="shared" si="2"/>
        <v>drug trafficking</v>
      </c>
      <c r="J82" t="str">
        <v>drug trafficking</v>
      </c>
      <c r="K82" t="str">
        <f>IFERROR(_xlfn.XLOOKUP(TRIM(H82), M:M, N:N, "Not Found"), "Not Found")</f>
        <v>Crime based</v>
      </c>
      <c r="M82" t="s">
        <v>1057</v>
      </c>
      <c r="N82" t="s">
        <v>1058</v>
      </c>
      <c r="O82">
        <v>0</v>
      </c>
      <c r="V82" t="s">
        <v>983</v>
      </c>
      <c r="W82" t="s">
        <v>966</v>
      </c>
      <c r="X82">
        <f>Z82</f>
        <v>0</v>
      </c>
      <c r="Z82">
        <f>IFERROR(_xlfn.XLOOKUP(TRIM(V82), M:M, O:O, "Not Found"), "Not Found")</f>
        <v>0</v>
      </c>
      <c r="AG82" s="15">
        <v>0</v>
      </c>
      <c r="AH82" s="15">
        <v>0</v>
      </c>
      <c r="AI82" s="15">
        <v>0</v>
      </c>
      <c r="AJ82" s="15">
        <v>0</v>
      </c>
      <c r="AK82" s="15">
        <v>0</v>
      </c>
      <c r="AL82" s="15">
        <v>0</v>
      </c>
      <c r="AM82" s="15">
        <v>0</v>
      </c>
      <c r="AO82" t="s">
        <v>1240</v>
      </c>
    </row>
    <row r="83" spans="8:41">
      <c r="H83" t="s">
        <v>1020</v>
      </c>
      <c r="I83" t="str">
        <f t="shared" si="2"/>
        <v>af</v>
      </c>
      <c r="J83" t="str">
        <v>af</v>
      </c>
      <c r="K83" t="str">
        <f>IFERROR(_xlfn.XLOOKUP(TRIM(H83), M:M, N:N, "Not Found"), "Not Found")</f>
        <v>Intelligence based</v>
      </c>
      <c r="M83" t="s">
        <v>1059</v>
      </c>
      <c r="N83" t="s">
        <v>1058</v>
      </c>
      <c r="O83">
        <v>1</v>
      </c>
      <c r="V83" t="s">
        <v>983</v>
      </c>
      <c r="W83" t="s">
        <v>966</v>
      </c>
      <c r="X83">
        <f>Z83</f>
        <v>0</v>
      </c>
      <c r="Z83">
        <f>IFERROR(_xlfn.XLOOKUP(TRIM(V83), M:M, O:O, "Not Found"), "Not Found")</f>
        <v>0</v>
      </c>
      <c r="AG83" s="15">
        <v>0</v>
      </c>
      <c r="AH83" s="15">
        <v>0</v>
      </c>
      <c r="AI83" s="15">
        <v>0</v>
      </c>
      <c r="AJ83" s="15">
        <v>0</v>
      </c>
      <c r="AK83" s="15">
        <v>0</v>
      </c>
      <c r="AL83" s="15">
        <v>0</v>
      </c>
      <c r="AM83" s="15">
        <v>0</v>
      </c>
      <c r="AO83" t="s">
        <v>1240</v>
      </c>
    </row>
    <row r="84" spans="8:41">
      <c r="H84" t="s">
        <v>1028</v>
      </c>
      <c r="I84" t="str">
        <f t="shared" si="2"/>
        <v>corby</v>
      </c>
      <c r="J84" t="str">
        <v>corby</v>
      </c>
      <c r="K84" t="str">
        <f>IFERROR(_xlfn.XLOOKUP(TRIM(H84), M:M, N:N, "Not Found"), "Not Found")</f>
        <v>Familial based</v>
      </c>
      <c r="M84" t="s">
        <v>1060</v>
      </c>
      <c r="N84" t="s">
        <v>1058</v>
      </c>
      <c r="O84">
        <v>0</v>
      </c>
      <c r="V84" t="s">
        <v>983</v>
      </c>
      <c r="W84" t="s">
        <v>966</v>
      </c>
      <c r="X84">
        <f>Z84</f>
        <v>0</v>
      </c>
      <c r="Z84">
        <f>IFERROR(_xlfn.XLOOKUP(TRIM(V84), M:M, O:O, "Not Found"), "Not Found")</f>
        <v>0</v>
      </c>
      <c r="AG84" s="15">
        <v>0</v>
      </c>
      <c r="AH84" s="15">
        <v>0</v>
      </c>
      <c r="AI84" s="15">
        <v>0</v>
      </c>
      <c r="AJ84" s="15">
        <v>0</v>
      </c>
      <c r="AK84" s="15">
        <v>0</v>
      </c>
      <c r="AL84" s="15">
        <v>0</v>
      </c>
      <c r="AM84" s="15">
        <v>0</v>
      </c>
      <c r="AO84" t="s">
        <v>1022</v>
      </c>
    </row>
    <row r="85" spans="8:41">
      <c r="H85" t="s">
        <v>1060</v>
      </c>
      <c r="I85" t="str">
        <f t="shared" si="2"/>
        <v>innocent</v>
      </c>
      <c r="J85" t="str">
        <v>innocent</v>
      </c>
      <c r="K85" t="str">
        <f>IFERROR(_xlfn.XLOOKUP(TRIM(H85), M:M, N:N, "Not Found"), "Not Found")</f>
        <v>Legality based</v>
      </c>
      <c r="M85" t="s">
        <v>1061</v>
      </c>
      <c r="N85" t="s">
        <v>1058</v>
      </c>
      <c r="O85">
        <v>0</v>
      </c>
      <c r="V85" t="s">
        <v>983</v>
      </c>
      <c r="W85" t="s">
        <v>966</v>
      </c>
      <c r="X85">
        <f>Z85</f>
        <v>0</v>
      </c>
      <c r="Z85">
        <f>IFERROR(_xlfn.XLOOKUP(TRIM(V85), M:M, O:O, "Not Found"), "Not Found")</f>
        <v>0</v>
      </c>
      <c r="AG85" s="15">
        <v>0</v>
      </c>
      <c r="AH85" s="15">
        <v>0</v>
      </c>
      <c r="AI85" s="15">
        <v>0</v>
      </c>
      <c r="AJ85" s="15">
        <v>0</v>
      </c>
      <c r="AK85" s="15">
        <v>0</v>
      </c>
      <c r="AL85" s="15">
        <v>0</v>
      </c>
      <c r="AM85" s="15">
        <v>0</v>
      </c>
      <c r="AO85" t="s">
        <v>1240</v>
      </c>
    </row>
    <row r="86" spans="8:41">
      <c r="H86" t="s">
        <v>1068</v>
      </c>
      <c r="I86" t="str">
        <f t="shared" si="2"/>
        <v>reasonable doubt</v>
      </c>
      <c r="J86" t="str">
        <v>reasonable doubt</v>
      </c>
      <c r="K86" t="str">
        <f>IFERROR(_xlfn.XLOOKUP(TRIM(H86), M:M, N:N, "Not Found"), "Not Found")</f>
        <v>Legality based</v>
      </c>
      <c r="M86" t="s">
        <v>1062</v>
      </c>
      <c r="N86" t="s">
        <v>1058</v>
      </c>
      <c r="O86">
        <v>0</v>
      </c>
      <c r="V86" t="s">
        <v>983</v>
      </c>
      <c r="W86" t="s">
        <v>966</v>
      </c>
      <c r="X86">
        <f>Z86</f>
        <v>0</v>
      </c>
      <c r="Z86">
        <f>IFERROR(_xlfn.XLOOKUP(TRIM(V86), M:M, O:O, "Not Found"), "Not Found")</f>
        <v>0</v>
      </c>
      <c r="AG86" s="15">
        <v>0</v>
      </c>
      <c r="AH86" s="15">
        <v>0</v>
      </c>
      <c r="AI86" s="15">
        <v>0</v>
      </c>
      <c r="AJ86" s="15">
        <v>0</v>
      </c>
      <c r="AK86" s="15">
        <v>0</v>
      </c>
      <c r="AL86" s="15">
        <v>0</v>
      </c>
      <c r="AM86" s="15">
        <v>0</v>
      </c>
      <c r="AO86" t="s">
        <v>1240</v>
      </c>
    </row>
    <row r="87" spans="8:41">
      <c r="H87" t="s">
        <v>965</v>
      </c>
      <c r="I87" t="str">
        <f t="shared" si="2"/>
        <v>schapelle corby</v>
      </c>
      <c r="J87" t="str">
        <v>schapelle corby</v>
      </c>
      <c r="K87" t="str">
        <f>IFERROR(_xlfn.XLOOKUP(TRIM(H87), M:M, N:N, "Not Found"), "Not Found")</f>
        <v>Case Related</v>
      </c>
      <c r="M87" t="s">
        <v>1063</v>
      </c>
      <c r="N87" t="s">
        <v>1058</v>
      </c>
      <c r="O87">
        <v>0</v>
      </c>
      <c r="V87" t="s">
        <v>983</v>
      </c>
      <c r="W87" t="s">
        <v>966</v>
      </c>
      <c r="X87">
        <f>Z87</f>
        <v>0</v>
      </c>
      <c r="Z87">
        <f>IFERROR(_xlfn.XLOOKUP(TRIM(V87), M:M, O:O, "Not Found"), "Not Found")</f>
        <v>0</v>
      </c>
      <c r="AG87" s="15">
        <v>0</v>
      </c>
      <c r="AH87" s="15">
        <v>0</v>
      </c>
      <c r="AI87" s="15">
        <v>0</v>
      </c>
      <c r="AJ87" s="15">
        <v>0</v>
      </c>
      <c r="AK87" s="15">
        <v>0</v>
      </c>
      <c r="AL87" s="15">
        <v>0</v>
      </c>
      <c r="AM87" s="15">
        <v>0</v>
      </c>
      <c r="AO87" t="s">
        <v>1240</v>
      </c>
    </row>
    <row r="88" spans="8:41">
      <c r="H88" t="s">
        <v>1020</v>
      </c>
      <c r="I88" t="str">
        <f t="shared" si="2"/>
        <v>af</v>
      </c>
      <c r="J88" t="str">
        <v>af</v>
      </c>
      <c r="K88" t="str">
        <f>IFERROR(_xlfn.XLOOKUP(TRIM(H88), M:M, N:N, "Not Found"), "Not Found")</f>
        <v>Intelligence based</v>
      </c>
      <c r="M88" t="s">
        <v>1064</v>
      </c>
      <c r="N88" t="s">
        <v>1058</v>
      </c>
      <c r="O88">
        <v>0</v>
      </c>
      <c r="V88" t="s">
        <v>983</v>
      </c>
      <c r="W88" t="s">
        <v>966</v>
      </c>
      <c r="X88">
        <f>Z88</f>
        <v>0</v>
      </c>
      <c r="Z88">
        <f>IFERROR(_xlfn.XLOOKUP(TRIM(V88), M:M, O:O, "Not Found"), "Not Found")</f>
        <v>0</v>
      </c>
      <c r="AG88" s="15">
        <v>0</v>
      </c>
      <c r="AH88" s="15">
        <v>0</v>
      </c>
      <c r="AI88" s="15">
        <v>0</v>
      </c>
      <c r="AJ88" s="15">
        <v>0</v>
      </c>
      <c r="AK88" s="15">
        <v>0</v>
      </c>
      <c r="AL88" s="15">
        <v>0</v>
      </c>
      <c r="AM88" s="15">
        <v>0</v>
      </c>
      <c r="AO88" t="s">
        <v>1259</v>
      </c>
    </row>
    <row r="89" spans="8:41">
      <c r="H89" t="s">
        <v>1028</v>
      </c>
      <c r="I89" t="str">
        <f t="shared" si="2"/>
        <v>corby</v>
      </c>
      <c r="J89" t="str">
        <v>corby</v>
      </c>
      <c r="K89" t="str">
        <f>IFERROR(_xlfn.XLOOKUP(TRIM(H89), M:M, N:N, "Not Found"), "Not Found")</f>
        <v>Familial based</v>
      </c>
      <c r="M89" t="s">
        <v>1065</v>
      </c>
      <c r="N89" t="s">
        <v>1058</v>
      </c>
      <c r="O89">
        <v>0</v>
      </c>
      <c r="V89" t="s">
        <v>983</v>
      </c>
      <c r="W89" t="s">
        <v>966</v>
      </c>
      <c r="X89">
        <f>Z89</f>
        <v>0</v>
      </c>
      <c r="Z89">
        <f>IFERROR(_xlfn.XLOOKUP(TRIM(V89), M:M, O:O, "Not Found"), "Not Found")</f>
        <v>0</v>
      </c>
      <c r="AG89" s="15">
        <v>0</v>
      </c>
      <c r="AH89" s="15">
        <v>1</v>
      </c>
      <c r="AI89" s="15">
        <v>1</v>
      </c>
      <c r="AJ89" s="15">
        <v>0</v>
      </c>
      <c r="AK89" s="15">
        <v>0</v>
      </c>
      <c r="AL89" s="15">
        <v>0</v>
      </c>
      <c r="AM89" s="15">
        <v>0</v>
      </c>
      <c r="AO89" t="s">
        <v>1240</v>
      </c>
    </row>
    <row r="90" spans="8:41">
      <c r="H90" t="s">
        <v>965</v>
      </c>
      <c r="I90" t="str">
        <f t="shared" si="2"/>
        <v>schapelle corby</v>
      </c>
      <c r="J90" t="str">
        <v>schapelle corby</v>
      </c>
      <c r="K90" t="str">
        <f>IFERROR(_xlfn.XLOOKUP(TRIM(H90), M:M, N:N, "Not Found"), "Not Found")</f>
        <v>Case Related</v>
      </c>
      <c r="M90" t="s">
        <v>978</v>
      </c>
      <c r="N90" t="s">
        <v>1058</v>
      </c>
      <c r="O90">
        <v>0</v>
      </c>
      <c r="V90" t="s">
        <v>983</v>
      </c>
      <c r="W90" t="s">
        <v>966</v>
      </c>
      <c r="X90">
        <f>Z90</f>
        <v>0</v>
      </c>
      <c r="Z90">
        <f>IFERROR(_xlfn.XLOOKUP(TRIM(V90), M:M, O:O, "Not Found"), "Not Found")</f>
        <v>0</v>
      </c>
      <c r="AG90" s="15">
        <v>0</v>
      </c>
      <c r="AH90" s="15">
        <v>0</v>
      </c>
      <c r="AI90" s="15">
        <v>0</v>
      </c>
      <c r="AJ90" s="15">
        <v>0</v>
      </c>
      <c r="AK90" s="15">
        <v>0</v>
      </c>
      <c r="AL90" s="15">
        <v>0</v>
      </c>
      <c r="AM90" s="15">
        <v>0</v>
      </c>
      <c r="AO90" t="s">
        <v>1260</v>
      </c>
    </row>
    <row r="91" spans="8:41">
      <c r="H91" t="s">
        <v>1028</v>
      </c>
      <c r="I91" t="str">
        <f t="shared" si="2"/>
        <v>corby</v>
      </c>
      <c r="J91" t="str">
        <v>corby</v>
      </c>
      <c r="K91" t="str">
        <f>IFERROR(_xlfn.XLOOKUP(TRIM(H91), M:M, N:N, "Not Found"), "Not Found")</f>
        <v>Familial based</v>
      </c>
      <c r="M91" t="s">
        <v>1066</v>
      </c>
      <c r="N91" t="s">
        <v>1058</v>
      </c>
      <c r="O91">
        <v>1</v>
      </c>
      <c r="V91" t="s">
        <v>983</v>
      </c>
      <c r="W91" t="s">
        <v>966</v>
      </c>
      <c r="X91">
        <f>Z91</f>
        <v>0</v>
      </c>
      <c r="Z91">
        <f>IFERROR(_xlfn.XLOOKUP(TRIM(V91), M:M, O:O, "Not Found"), "Not Found")</f>
        <v>0</v>
      </c>
      <c r="AG91" s="15">
        <v>0</v>
      </c>
      <c r="AH91" s="15">
        <v>0</v>
      </c>
      <c r="AI91" s="15">
        <v>1</v>
      </c>
      <c r="AJ91" s="15">
        <v>0</v>
      </c>
      <c r="AK91" s="15">
        <v>0</v>
      </c>
      <c r="AL91" s="15">
        <v>0</v>
      </c>
      <c r="AM91" s="15">
        <v>0</v>
      </c>
      <c r="AO91" t="s">
        <v>1240</v>
      </c>
    </row>
    <row r="92" spans="8:41">
      <c r="H92" t="s">
        <v>965</v>
      </c>
      <c r="I92" t="str">
        <f t="shared" si="2"/>
        <v>schapelle corby</v>
      </c>
      <c r="J92" t="str">
        <v>schapelle corby</v>
      </c>
      <c r="K92" t="str">
        <f>IFERROR(_xlfn.XLOOKUP(TRIM(H92), M:M, N:N, "Not Found"), "Not Found")</f>
        <v>Case Related</v>
      </c>
      <c r="M92" t="s">
        <v>1067</v>
      </c>
      <c r="N92" t="s">
        <v>1058</v>
      </c>
      <c r="O92">
        <v>0</v>
      </c>
      <c r="V92" t="s">
        <v>983</v>
      </c>
      <c r="W92" t="s">
        <v>966</v>
      </c>
      <c r="X92">
        <f>Z92</f>
        <v>0</v>
      </c>
      <c r="Z92">
        <f>IFERROR(_xlfn.XLOOKUP(TRIM(V92), M:M, O:O, "Not Found"), "Not Found")</f>
        <v>0</v>
      </c>
      <c r="AG92" s="15">
        <v>0</v>
      </c>
      <c r="AH92" s="15">
        <v>0</v>
      </c>
      <c r="AI92" s="15">
        <v>0</v>
      </c>
      <c r="AJ92" s="15">
        <v>0</v>
      </c>
      <c r="AK92" s="15">
        <v>0</v>
      </c>
      <c r="AL92" s="15">
        <v>0</v>
      </c>
      <c r="AM92" s="15">
        <v>0</v>
      </c>
      <c r="AO92" t="s">
        <v>1240</v>
      </c>
    </row>
    <row r="93" spans="8:41">
      <c r="H93" t="s">
        <v>968</v>
      </c>
      <c r="I93" t="str">
        <f t="shared" si="2"/>
        <v>boogie board</v>
      </c>
      <c r="J93" t="str">
        <v>boogie board</v>
      </c>
      <c r="K93" t="str">
        <f>IFERROR(_xlfn.XLOOKUP(TRIM(H93), M:M, N:N, "Not Found"), "Not Found")</f>
        <v>Case Related</v>
      </c>
      <c r="M93" t="s">
        <v>1068</v>
      </c>
      <c r="N93" t="s">
        <v>1058</v>
      </c>
      <c r="O93">
        <v>0</v>
      </c>
      <c r="V93" t="s">
        <v>983</v>
      </c>
      <c r="W93" t="s">
        <v>966</v>
      </c>
      <c r="X93">
        <f>Z93</f>
        <v>0</v>
      </c>
      <c r="Z93">
        <f>IFERROR(_xlfn.XLOOKUP(TRIM(V93), M:M, O:O, "Not Found"), "Not Found")</f>
        <v>0</v>
      </c>
      <c r="AG93" s="15">
        <v>0</v>
      </c>
      <c r="AH93" s="15">
        <v>0</v>
      </c>
      <c r="AI93" s="15">
        <v>0</v>
      </c>
      <c r="AJ93" s="15">
        <v>0</v>
      </c>
      <c r="AK93" s="15">
        <v>0</v>
      </c>
      <c r="AL93" s="15">
        <v>0</v>
      </c>
      <c r="AM93" s="15">
        <v>0</v>
      </c>
      <c r="AO93" t="s">
        <v>1243</v>
      </c>
    </row>
    <row r="94" spans="8:41">
      <c r="H94" t="s">
        <v>1028</v>
      </c>
      <c r="I94" t="str">
        <f t="shared" si="2"/>
        <v>corby</v>
      </c>
      <c r="J94" t="str">
        <v>corby</v>
      </c>
      <c r="K94" t="str">
        <f>IFERROR(_xlfn.XLOOKUP(TRIM(H94), M:M, N:N, "Not Found"), "Not Found")</f>
        <v>Familial based</v>
      </c>
      <c r="M94" t="s">
        <v>1069</v>
      </c>
      <c r="N94" t="s">
        <v>1058</v>
      </c>
      <c r="O94">
        <v>0</v>
      </c>
      <c r="V94" t="s">
        <v>983</v>
      </c>
      <c r="W94" t="s">
        <v>966</v>
      </c>
      <c r="X94">
        <f>Z94</f>
        <v>0</v>
      </c>
      <c r="Z94">
        <f>IFERROR(_xlfn.XLOOKUP(TRIM(V94), M:M, O:O, "Not Found"), "Not Found")</f>
        <v>0</v>
      </c>
      <c r="AG94" s="15">
        <v>0</v>
      </c>
      <c r="AH94" s="15">
        <v>0</v>
      </c>
      <c r="AI94" s="15">
        <v>1</v>
      </c>
      <c r="AJ94" s="15">
        <v>0</v>
      </c>
      <c r="AK94" s="15">
        <v>0</v>
      </c>
      <c r="AL94" s="15">
        <v>0</v>
      </c>
      <c r="AM94" s="15">
        <v>0</v>
      </c>
      <c r="AO94" t="s">
        <v>1240</v>
      </c>
    </row>
    <row r="95" spans="8:41">
      <c r="H95" t="s">
        <v>965</v>
      </c>
      <c r="I95" t="str">
        <f t="shared" si="2"/>
        <v>schapelle corby</v>
      </c>
      <c r="J95" t="str">
        <v>schapelle corby</v>
      </c>
      <c r="K95" t="str">
        <f>IFERROR(_xlfn.XLOOKUP(TRIM(H95), M:M, N:N, "Not Found"), "Not Found")</f>
        <v>Case Related</v>
      </c>
      <c r="M95" t="s">
        <v>1070</v>
      </c>
      <c r="N95" t="s">
        <v>1058</v>
      </c>
      <c r="O95">
        <v>0</v>
      </c>
      <c r="V95" t="s">
        <v>983</v>
      </c>
      <c r="W95" t="s">
        <v>966</v>
      </c>
      <c r="X95">
        <f>Z95</f>
        <v>0</v>
      </c>
      <c r="Z95">
        <f>IFERROR(_xlfn.XLOOKUP(TRIM(V95), M:M, O:O, "Not Found"), "Not Found")</f>
        <v>0</v>
      </c>
      <c r="AG95" s="15">
        <v>0</v>
      </c>
      <c r="AH95" s="15">
        <v>0</v>
      </c>
      <c r="AI95" s="15">
        <v>0</v>
      </c>
      <c r="AJ95" s="15">
        <v>0</v>
      </c>
      <c r="AK95" s="15">
        <v>0</v>
      </c>
      <c r="AL95" s="15">
        <v>0</v>
      </c>
      <c r="AM95" s="15">
        <v>0</v>
      </c>
      <c r="AO95" t="s">
        <v>1240</v>
      </c>
    </row>
    <row r="96" spans="8:41">
      <c r="H96" t="s">
        <v>1028</v>
      </c>
      <c r="I96" t="str">
        <f t="shared" si="2"/>
        <v>corby</v>
      </c>
      <c r="J96" t="str">
        <v>corby</v>
      </c>
      <c r="K96" t="str">
        <f>IFERROR(_xlfn.XLOOKUP(TRIM(H96), M:M, N:N, "Not Found"), "Not Found")</f>
        <v>Familial based</v>
      </c>
      <c r="M96" t="s">
        <v>1071</v>
      </c>
      <c r="N96" t="s">
        <v>1058</v>
      </c>
      <c r="O96">
        <v>0</v>
      </c>
      <c r="V96" t="s">
        <v>983</v>
      </c>
      <c r="W96" t="s">
        <v>966</v>
      </c>
      <c r="X96">
        <f>Z96</f>
        <v>0</v>
      </c>
      <c r="Z96">
        <f>IFERROR(_xlfn.XLOOKUP(TRIM(V96), M:M, O:O, "Not Found"), "Not Found")</f>
        <v>0</v>
      </c>
      <c r="AG96" s="15">
        <v>0</v>
      </c>
      <c r="AH96" s="15">
        <v>0</v>
      </c>
      <c r="AI96" s="15">
        <v>0</v>
      </c>
      <c r="AJ96" s="15">
        <v>0</v>
      </c>
      <c r="AK96" s="15">
        <v>0</v>
      </c>
      <c r="AL96" s="15">
        <v>0</v>
      </c>
      <c r="AM96" s="15">
        <v>0</v>
      </c>
      <c r="AO96" t="s">
        <v>1240</v>
      </c>
    </row>
    <row r="97" spans="8:41">
      <c r="H97" t="s">
        <v>965</v>
      </c>
      <c r="I97" t="str">
        <f t="shared" si="2"/>
        <v>schapelle corby</v>
      </c>
      <c r="J97" t="str">
        <v>schapelle corby</v>
      </c>
      <c r="K97" t="str">
        <f>IFERROR(_xlfn.XLOOKUP(TRIM(H97), M:M, N:N, "Not Found"), "Not Found")</f>
        <v>Case Related</v>
      </c>
      <c r="M97" t="s">
        <v>1072</v>
      </c>
      <c r="N97" t="s">
        <v>1058</v>
      </c>
      <c r="O97">
        <v>0</v>
      </c>
      <c r="V97" t="s">
        <v>970</v>
      </c>
      <c r="W97" t="s">
        <v>966</v>
      </c>
      <c r="X97">
        <f>Z97</f>
        <v>0</v>
      </c>
      <c r="Z97">
        <f>IFERROR(_xlfn.XLOOKUP(TRIM(V97), M:M, O:O, "Not Found"), "Not Found")</f>
        <v>0</v>
      </c>
      <c r="AG97" s="15">
        <v>0</v>
      </c>
      <c r="AH97" s="15">
        <v>0</v>
      </c>
      <c r="AI97" s="15">
        <v>0</v>
      </c>
      <c r="AJ97" s="15">
        <v>0</v>
      </c>
      <c r="AK97" s="15">
        <v>0</v>
      </c>
      <c r="AL97" s="15">
        <v>0</v>
      </c>
      <c r="AM97" s="15">
        <v>0</v>
      </c>
      <c r="AO97" t="s">
        <v>1240</v>
      </c>
    </row>
    <row r="98" spans="8:41">
      <c r="H98" t="s">
        <v>970</v>
      </c>
      <c r="I98" t="str">
        <f t="shared" si="2"/>
        <v>australian</v>
      </c>
      <c r="J98" t="str">
        <v>australian</v>
      </c>
      <c r="K98" t="str">
        <f>IFERROR(_xlfn.XLOOKUP(TRIM(H98), M:M, N:N, "Not Found"), "Not Found")</f>
        <v>Case Related</v>
      </c>
      <c r="M98" t="s">
        <v>1073</v>
      </c>
      <c r="N98" t="s">
        <v>1058</v>
      </c>
      <c r="O98">
        <v>0</v>
      </c>
      <c r="V98" t="s">
        <v>970</v>
      </c>
      <c r="W98" t="s">
        <v>966</v>
      </c>
      <c r="X98">
        <f>Z98</f>
        <v>0</v>
      </c>
      <c r="Z98">
        <f>IFERROR(_xlfn.XLOOKUP(TRIM(V98), M:M, O:O, "Not Found"), "Not Found")</f>
        <v>0</v>
      </c>
      <c r="AG98" s="15">
        <v>0</v>
      </c>
      <c r="AH98" s="15">
        <v>0</v>
      </c>
      <c r="AI98" s="15">
        <v>0</v>
      </c>
      <c r="AJ98" s="15">
        <v>0</v>
      </c>
      <c r="AK98" s="15">
        <v>0</v>
      </c>
      <c r="AL98" s="15">
        <v>0</v>
      </c>
      <c r="AM98" s="15">
        <v>0</v>
      </c>
      <c r="AO98" t="s">
        <v>1240</v>
      </c>
    </row>
    <row r="99" spans="8:41">
      <c r="H99" t="s">
        <v>983</v>
      </c>
      <c r="I99" t="str">
        <f t="shared" si="2"/>
        <v>australia</v>
      </c>
      <c r="J99" t="str">
        <v>australia</v>
      </c>
      <c r="K99" t="str">
        <f>IFERROR(_xlfn.XLOOKUP(TRIM(H99), M:M, N:N, "Not Found"), "Not Found")</f>
        <v>Case Related</v>
      </c>
      <c r="M99" t="s">
        <v>1074</v>
      </c>
      <c r="N99" t="s">
        <v>1058</v>
      </c>
      <c r="O99">
        <v>0</v>
      </c>
      <c r="V99" t="s">
        <v>970</v>
      </c>
      <c r="W99" t="s">
        <v>966</v>
      </c>
      <c r="X99">
        <f>Z99</f>
        <v>0</v>
      </c>
      <c r="Z99">
        <f>IFERROR(_xlfn.XLOOKUP(TRIM(V99), M:M, O:O, "Not Found"), "Not Found")</f>
        <v>0</v>
      </c>
      <c r="AG99" s="15">
        <v>0</v>
      </c>
      <c r="AH99" s="15">
        <v>0</v>
      </c>
      <c r="AI99" s="15">
        <v>0</v>
      </c>
      <c r="AJ99" s="15">
        <v>0</v>
      </c>
      <c r="AK99" s="15">
        <v>0</v>
      </c>
      <c r="AL99" s="15">
        <v>0</v>
      </c>
      <c r="AM99" s="15">
        <v>0</v>
      </c>
      <c r="AO99" t="s">
        <v>1240</v>
      </c>
    </row>
    <row r="100" spans="8:41">
      <c r="H100" t="s">
        <v>1028</v>
      </c>
      <c r="I100" t="str">
        <f t="shared" si="2"/>
        <v>corby</v>
      </c>
      <c r="J100" t="str">
        <v>corby</v>
      </c>
      <c r="K100" t="str">
        <f>IFERROR(_xlfn.XLOOKUP(TRIM(H100), M:M, N:N, "Not Found"), "Not Found")</f>
        <v>Familial based</v>
      </c>
      <c r="M100" t="s">
        <v>1075</v>
      </c>
      <c r="N100" t="s">
        <v>1058</v>
      </c>
      <c r="O100">
        <v>0</v>
      </c>
      <c r="V100" t="s">
        <v>970</v>
      </c>
      <c r="W100" t="s">
        <v>966</v>
      </c>
      <c r="X100">
        <f>Z100</f>
        <v>0</v>
      </c>
      <c r="Z100">
        <f>IFERROR(_xlfn.XLOOKUP(TRIM(V100), M:M, O:O, "Not Found"), "Not Found")</f>
        <v>0</v>
      </c>
      <c r="AG100" s="15">
        <v>0</v>
      </c>
      <c r="AH100" s="15">
        <v>0</v>
      </c>
      <c r="AI100" s="15">
        <v>0</v>
      </c>
      <c r="AJ100" s="15">
        <v>0</v>
      </c>
      <c r="AK100" s="15">
        <v>0</v>
      </c>
      <c r="AL100" s="15">
        <v>0</v>
      </c>
      <c r="AM100" s="15">
        <v>0</v>
      </c>
      <c r="AO100" t="s">
        <v>1240</v>
      </c>
    </row>
    <row r="101" spans="8:41">
      <c r="H101" t="s">
        <v>965</v>
      </c>
      <c r="I101" t="str">
        <f t="shared" si="2"/>
        <v>schapelle corby</v>
      </c>
      <c r="J101" t="str">
        <v>schapelle corby</v>
      </c>
      <c r="K101" t="str">
        <f>IFERROR(_xlfn.XLOOKUP(TRIM(H101), M:M, N:N, "Not Found"), "Not Found")</f>
        <v>Case Related</v>
      </c>
      <c r="M101" t="s">
        <v>1076</v>
      </c>
      <c r="N101" t="s">
        <v>1058</v>
      </c>
      <c r="O101">
        <v>0</v>
      </c>
      <c r="V101" t="s">
        <v>970</v>
      </c>
      <c r="W101" t="s">
        <v>966</v>
      </c>
      <c r="X101">
        <f>Z101</f>
        <v>0</v>
      </c>
      <c r="Z101">
        <f>IFERROR(_xlfn.XLOOKUP(TRIM(V101), M:M, O:O, "Not Found"), "Not Found")</f>
        <v>0</v>
      </c>
      <c r="AG101" s="15">
        <v>0</v>
      </c>
      <c r="AH101" s="15">
        <v>0</v>
      </c>
      <c r="AI101" s="15">
        <v>0</v>
      </c>
      <c r="AJ101" s="15">
        <v>0</v>
      </c>
      <c r="AK101" s="15">
        <v>0</v>
      </c>
      <c r="AL101" s="15">
        <v>0</v>
      </c>
      <c r="AM101" s="15">
        <v>0</v>
      </c>
      <c r="AO101" t="s">
        <v>1245</v>
      </c>
    </row>
    <row r="102" spans="8:41">
      <c r="H102" t="s">
        <v>1028</v>
      </c>
      <c r="I102" t="str">
        <f t="shared" si="2"/>
        <v>corby</v>
      </c>
      <c r="J102" t="str">
        <v>corby</v>
      </c>
      <c r="K102" t="str">
        <f>IFERROR(_xlfn.XLOOKUP(TRIM(H102), M:M, N:N, "Not Found"), "Not Found")</f>
        <v>Familial based</v>
      </c>
      <c r="M102" t="s">
        <v>1077</v>
      </c>
      <c r="N102" t="s">
        <v>1058</v>
      </c>
      <c r="O102">
        <v>0</v>
      </c>
      <c r="V102" t="s">
        <v>970</v>
      </c>
      <c r="W102" t="s">
        <v>966</v>
      </c>
      <c r="X102">
        <f>Z102</f>
        <v>0</v>
      </c>
      <c r="Z102">
        <f>IFERROR(_xlfn.XLOOKUP(TRIM(V102), M:M, O:O, "Not Found"), "Not Found")</f>
        <v>0</v>
      </c>
      <c r="AG102" s="15">
        <v>0</v>
      </c>
      <c r="AH102" s="15">
        <v>0.5</v>
      </c>
      <c r="AI102" s="15">
        <v>0</v>
      </c>
      <c r="AJ102" s="15">
        <v>0</v>
      </c>
      <c r="AK102" s="15">
        <v>0</v>
      </c>
      <c r="AL102" s="15">
        <v>0</v>
      </c>
      <c r="AM102" s="15">
        <v>0</v>
      </c>
      <c r="AO102" t="s">
        <v>1240</v>
      </c>
    </row>
    <row r="103" spans="8:41">
      <c r="H103" t="s">
        <v>965</v>
      </c>
      <c r="I103" t="str">
        <f t="shared" si="2"/>
        <v>schapelle corby</v>
      </c>
      <c r="J103" t="str">
        <v>schapelle corby</v>
      </c>
      <c r="K103" t="str">
        <f>IFERROR(_xlfn.XLOOKUP(TRIM(H103), M:M, N:N, "Not Found"), "Not Found")</f>
        <v>Case Related</v>
      </c>
      <c r="M103" t="s">
        <v>1078</v>
      </c>
      <c r="N103" t="s">
        <v>1058</v>
      </c>
      <c r="O103">
        <v>0</v>
      </c>
      <c r="V103" t="s">
        <v>970</v>
      </c>
      <c r="W103" t="s">
        <v>966</v>
      </c>
      <c r="X103">
        <f>Z103</f>
        <v>0</v>
      </c>
      <c r="Z103">
        <f>IFERROR(_xlfn.XLOOKUP(TRIM(V103), M:M, O:O, "Not Found"), "Not Found")</f>
        <v>0</v>
      </c>
      <c r="AG103" s="15">
        <v>0</v>
      </c>
      <c r="AH103" s="15">
        <v>0</v>
      </c>
      <c r="AI103" s="15">
        <v>0</v>
      </c>
      <c r="AJ103" s="15">
        <v>0</v>
      </c>
      <c r="AK103" s="15">
        <v>0</v>
      </c>
      <c r="AL103" s="15">
        <v>0</v>
      </c>
      <c r="AM103" s="15">
        <v>0</v>
      </c>
      <c r="AO103" t="s">
        <v>1240</v>
      </c>
    </row>
    <row r="104" spans="8:41">
      <c r="H104" t="s">
        <v>1028</v>
      </c>
      <c r="I104" t="str">
        <f t="shared" si="2"/>
        <v>corby</v>
      </c>
      <c r="J104" t="str">
        <v>corby</v>
      </c>
      <c r="K104" t="str">
        <f>IFERROR(_xlfn.XLOOKUP(TRIM(H104), M:M, N:N, "Not Found"), "Not Found")</f>
        <v>Familial based</v>
      </c>
      <c r="V104" t="s">
        <v>970</v>
      </c>
      <c r="W104" t="s">
        <v>966</v>
      </c>
      <c r="X104">
        <f>Z104</f>
        <v>0</v>
      </c>
      <c r="Z104">
        <f>IFERROR(_xlfn.XLOOKUP(TRIM(V104), M:M, O:O, "Not Found"), "Not Found")</f>
        <v>0</v>
      </c>
      <c r="AG104" s="15">
        <v>0</v>
      </c>
      <c r="AH104" s="15">
        <v>0</v>
      </c>
      <c r="AI104" s="15">
        <v>0</v>
      </c>
      <c r="AJ104" s="15">
        <v>0</v>
      </c>
      <c r="AK104" s="15">
        <v>0</v>
      </c>
      <c r="AL104" s="15">
        <v>0</v>
      </c>
      <c r="AM104" s="15">
        <v>0</v>
      </c>
      <c r="AO104" t="s">
        <v>1240</v>
      </c>
    </row>
    <row r="105" spans="8:41">
      <c r="H105" t="s">
        <v>1076</v>
      </c>
      <c r="I105" t="str">
        <f t="shared" si="2"/>
        <v>import</v>
      </c>
      <c r="J105" t="str">
        <v>import</v>
      </c>
      <c r="K105" t="str">
        <f>IFERROR(_xlfn.XLOOKUP(TRIM(H105), M:M, N:N, "Not Found"), "Not Found")</f>
        <v>Legality based</v>
      </c>
      <c r="V105" t="s">
        <v>970</v>
      </c>
      <c r="W105" t="s">
        <v>966</v>
      </c>
      <c r="X105">
        <f>Z105</f>
        <v>0</v>
      </c>
      <c r="Z105">
        <f>IFERROR(_xlfn.XLOOKUP(TRIM(V105), M:M, O:O, "Not Found"), "Not Found")</f>
        <v>0</v>
      </c>
      <c r="AG105" s="15">
        <v>0</v>
      </c>
      <c r="AH105" s="15">
        <v>0</v>
      </c>
      <c r="AI105" s="15">
        <v>0</v>
      </c>
      <c r="AJ105" s="15">
        <v>0</v>
      </c>
      <c r="AK105" s="15">
        <v>0</v>
      </c>
      <c r="AL105" s="15">
        <v>0</v>
      </c>
      <c r="AM105" s="15">
        <v>0</v>
      </c>
      <c r="AO105" t="s">
        <v>1240</v>
      </c>
    </row>
    <row r="106" spans="8:41">
      <c r="H106" t="s">
        <v>965</v>
      </c>
      <c r="I106" t="str">
        <f t="shared" si="2"/>
        <v>schapelle corby</v>
      </c>
      <c r="J106" t="str">
        <v>schapelle corby</v>
      </c>
      <c r="K106" t="str">
        <f>IFERROR(_xlfn.XLOOKUP(TRIM(H106), M:M, N:N, "Not Found"), "Not Found")</f>
        <v>Case Related</v>
      </c>
      <c r="V106" t="s">
        <v>970</v>
      </c>
      <c r="W106" t="s">
        <v>966</v>
      </c>
      <c r="X106">
        <f>Z106</f>
        <v>0</v>
      </c>
      <c r="Z106">
        <f>IFERROR(_xlfn.XLOOKUP(TRIM(V106), M:M, O:O, "Not Found"), "Not Found")</f>
        <v>0</v>
      </c>
      <c r="AG106" s="15">
        <v>0</v>
      </c>
      <c r="AH106" s="15">
        <v>0</v>
      </c>
      <c r="AI106" s="15">
        <v>0</v>
      </c>
      <c r="AJ106" s="15">
        <v>0</v>
      </c>
      <c r="AK106" s="15">
        <v>0</v>
      </c>
      <c r="AL106" s="15">
        <v>0</v>
      </c>
      <c r="AM106" s="15">
        <v>0</v>
      </c>
      <c r="AO106" t="s">
        <v>1240</v>
      </c>
    </row>
    <row r="107" spans="8:41">
      <c r="H107" t="s">
        <v>1028</v>
      </c>
      <c r="I107" t="str">
        <f t="shared" si="2"/>
        <v>corby</v>
      </c>
      <c r="J107" t="str">
        <v>corby</v>
      </c>
      <c r="K107" t="str">
        <f>IFERROR(_xlfn.XLOOKUP(TRIM(H107), M:M, N:N, "Not Found"), "Not Found")</f>
        <v>Familial based</v>
      </c>
      <c r="V107" t="s">
        <v>970</v>
      </c>
      <c r="W107" t="s">
        <v>966</v>
      </c>
      <c r="X107">
        <f>Z107</f>
        <v>0</v>
      </c>
      <c r="Z107">
        <f>IFERROR(_xlfn.XLOOKUP(TRIM(V107), M:M, O:O, "Not Found"), "Not Found")</f>
        <v>0</v>
      </c>
      <c r="AG107" s="15">
        <v>0</v>
      </c>
      <c r="AH107" s="15">
        <v>0</v>
      </c>
      <c r="AI107" s="15">
        <v>0</v>
      </c>
      <c r="AJ107" s="15">
        <v>0</v>
      </c>
      <c r="AK107" s="15">
        <v>0</v>
      </c>
      <c r="AL107" s="15">
        <v>0</v>
      </c>
      <c r="AM107" s="15">
        <v>0</v>
      </c>
      <c r="AO107" t="s">
        <v>1238</v>
      </c>
    </row>
    <row r="108" spans="8:41">
      <c r="H108" t="s">
        <v>965</v>
      </c>
      <c r="I108" t="str">
        <f t="shared" si="2"/>
        <v>schapelle corby</v>
      </c>
      <c r="J108" t="str">
        <v>schapelle corby</v>
      </c>
      <c r="K108" t="str">
        <f>IFERROR(_xlfn.XLOOKUP(TRIM(H108), M:M, N:N, "Not Found"), "Not Found")</f>
        <v>Case Related</v>
      </c>
      <c r="V108" t="s">
        <v>970</v>
      </c>
      <c r="W108" t="s">
        <v>966</v>
      </c>
      <c r="X108">
        <f>Z108</f>
        <v>0</v>
      </c>
      <c r="Z108">
        <f>IFERROR(_xlfn.XLOOKUP(TRIM(V108), M:M, O:O, "Not Found"), "Not Found")</f>
        <v>0</v>
      </c>
      <c r="AG108" s="15">
        <v>0</v>
      </c>
      <c r="AH108" s="15">
        <v>0</v>
      </c>
      <c r="AI108" s="15">
        <v>0</v>
      </c>
      <c r="AJ108" s="15">
        <v>0</v>
      </c>
      <c r="AK108" s="15">
        <v>0</v>
      </c>
      <c r="AL108" s="15">
        <v>0</v>
      </c>
      <c r="AM108" s="15">
        <v>0</v>
      </c>
      <c r="AO108" t="s">
        <v>1240</v>
      </c>
    </row>
    <row r="109" spans="8:41">
      <c r="H109" t="s">
        <v>1028</v>
      </c>
      <c r="I109" t="str">
        <f t="shared" si="2"/>
        <v>corby</v>
      </c>
      <c r="J109" t="str">
        <v>corby</v>
      </c>
      <c r="K109" t="str">
        <f>IFERROR(_xlfn.XLOOKUP(TRIM(H109), M:M, N:N, "Not Found"), "Not Found")</f>
        <v>Familial based</v>
      </c>
      <c r="V109" t="s">
        <v>970</v>
      </c>
      <c r="W109" t="s">
        <v>966</v>
      </c>
      <c r="X109">
        <f>Z109</f>
        <v>0</v>
      </c>
      <c r="Z109">
        <f>IFERROR(_xlfn.XLOOKUP(TRIM(V109), M:M, O:O, "Not Found"), "Not Found")</f>
        <v>0</v>
      </c>
      <c r="AG109" s="15">
        <v>0</v>
      </c>
      <c r="AH109" s="15">
        <v>0</v>
      </c>
      <c r="AI109" s="15">
        <v>0</v>
      </c>
      <c r="AJ109" s="15">
        <v>0</v>
      </c>
      <c r="AK109" s="15">
        <v>0</v>
      </c>
      <c r="AL109" s="15">
        <v>0</v>
      </c>
      <c r="AM109" s="15">
        <v>0</v>
      </c>
      <c r="AO109" t="s">
        <v>1240</v>
      </c>
    </row>
    <row r="110" spans="8:41">
      <c r="H110" t="s">
        <v>965</v>
      </c>
      <c r="I110" t="str">
        <f t="shared" si="2"/>
        <v>schapelle corby</v>
      </c>
      <c r="J110" t="str">
        <v>schapelle corby</v>
      </c>
      <c r="K110" t="str">
        <f>IFERROR(_xlfn.XLOOKUP(TRIM(H110), M:M, N:N, "Not Found"), "Not Found")</f>
        <v>Case Related</v>
      </c>
      <c r="V110" t="s">
        <v>970</v>
      </c>
      <c r="W110" t="s">
        <v>966</v>
      </c>
      <c r="X110">
        <f>Z110</f>
        <v>0</v>
      </c>
      <c r="Z110">
        <f>IFERROR(_xlfn.XLOOKUP(TRIM(V110), M:M, O:O, "Not Found"), "Not Found")</f>
        <v>0</v>
      </c>
      <c r="AG110" s="15">
        <v>0</v>
      </c>
      <c r="AH110" s="15">
        <v>0</v>
      </c>
      <c r="AI110" s="15">
        <v>0</v>
      </c>
      <c r="AJ110" s="15">
        <v>0</v>
      </c>
      <c r="AK110" s="15">
        <v>0</v>
      </c>
      <c r="AL110" s="15">
        <v>0</v>
      </c>
      <c r="AM110" s="15">
        <v>0</v>
      </c>
      <c r="AO110" t="s">
        <v>1240</v>
      </c>
    </row>
    <row r="111" spans="8:41">
      <c r="H111" t="s">
        <v>1028</v>
      </c>
      <c r="I111" t="str">
        <f t="shared" si="2"/>
        <v>corby</v>
      </c>
      <c r="J111" t="str">
        <v>corby</v>
      </c>
      <c r="K111" t="str">
        <f>IFERROR(_xlfn.XLOOKUP(TRIM(H111), M:M, N:N, "Not Found"), "Not Found")</f>
        <v>Familial based</v>
      </c>
      <c r="V111" t="s">
        <v>970</v>
      </c>
      <c r="W111" t="s">
        <v>966</v>
      </c>
      <c r="X111">
        <f>Z111</f>
        <v>0</v>
      </c>
      <c r="Z111">
        <f>IFERROR(_xlfn.XLOOKUP(TRIM(V111), M:M, O:O, "Not Found"), "Not Found")</f>
        <v>0</v>
      </c>
      <c r="AG111" s="15">
        <v>0</v>
      </c>
      <c r="AH111" s="15">
        <v>0</v>
      </c>
      <c r="AI111" s="15">
        <v>0</v>
      </c>
      <c r="AJ111" s="15">
        <v>0</v>
      </c>
      <c r="AK111" s="15">
        <v>0</v>
      </c>
      <c r="AL111" s="15">
        <v>0</v>
      </c>
      <c r="AM111" s="15">
        <v>0</v>
      </c>
      <c r="AO111" t="s">
        <v>1240</v>
      </c>
    </row>
    <row r="112" spans="8:41">
      <c r="H112" t="s">
        <v>965</v>
      </c>
      <c r="I112" t="str">
        <f t="shared" si="2"/>
        <v>schapelle corby</v>
      </c>
      <c r="J112" t="str">
        <v>schapelle corby</v>
      </c>
      <c r="K112" t="str">
        <f>IFERROR(_xlfn.XLOOKUP(TRIM(H112), M:M, N:N, "Not Found"), "Not Found")</f>
        <v>Case Related</v>
      </c>
      <c r="V112" t="s">
        <v>970</v>
      </c>
      <c r="W112" t="s">
        <v>966</v>
      </c>
      <c r="X112">
        <f>Z112</f>
        <v>0</v>
      </c>
      <c r="Z112">
        <f>IFERROR(_xlfn.XLOOKUP(TRIM(V112), M:M, O:O, "Not Found"), "Not Found")</f>
        <v>0</v>
      </c>
      <c r="AG112" s="15">
        <v>0</v>
      </c>
      <c r="AH112" s="15">
        <v>0</v>
      </c>
      <c r="AI112" s="15">
        <v>0</v>
      </c>
      <c r="AJ112" s="15">
        <v>0</v>
      </c>
      <c r="AK112" s="15">
        <v>0</v>
      </c>
      <c r="AL112" s="15">
        <v>0</v>
      </c>
      <c r="AM112" s="15">
        <v>0</v>
      </c>
      <c r="AO112" t="s">
        <v>1240</v>
      </c>
    </row>
    <row r="113" spans="8:41">
      <c r="H113" t="s">
        <v>1028</v>
      </c>
      <c r="I113" t="str">
        <f t="shared" si="2"/>
        <v>corby</v>
      </c>
      <c r="J113" t="str">
        <v>corby</v>
      </c>
      <c r="K113" t="str">
        <f>IFERROR(_xlfn.XLOOKUP(TRIM(H113), M:M, N:N, "Not Found"), "Not Found")</f>
        <v>Familial based</v>
      </c>
      <c r="V113" t="s">
        <v>970</v>
      </c>
      <c r="W113" t="s">
        <v>966</v>
      </c>
      <c r="X113">
        <f>Z113</f>
        <v>0</v>
      </c>
      <c r="Z113">
        <f>IFERROR(_xlfn.XLOOKUP(TRIM(V113), M:M, O:O, "Not Found"), "Not Found")</f>
        <v>0</v>
      </c>
      <c r="AG113" s="15">
        <v>0</v>
      </c>
      <c r="AH113" s="15">
        <v>0</v>
      </c>
      <c r="AI113" s="15">
        <v>0</v>
      </c>
      <c r="AJ113" s="15">
        <v>0</v>
      </c>
      <c r="AK113" s="15">
        <v>0</v>
      </c>
      <c r="AL113" s="15">
        <v>0</v>
      </c>
      <c r="AM113" s="15">
        <v>0</v>
      </c>
      <c r="AO113" t="s">
        <v>1246</v>
      </c>
    </row>
    <row r="114" spans="8:41">
      <c r="H114" t="s">
        <v>965</v>
      </c>
      <c r="I114" t="str">
        <f t="shared" si="2"/>
        <v>schapelle corby</v>
      </c>
      <c r="J114" t="str">
        <v>schapelle corby</v>
      </c>
      <c r="K114" t="str">
        <f>IFERROR(_xlfn.XLOOKUP(TRIM(H114), M:M, N:N, "Not Found"), "Not Found")</f>
        <v>Case Related</v>
      </c>
      <c r="V114" t="s">
        <v>970</v>
      </c>
      <c r="W114" t="s">
        <v>966</v>
      </c>
      <c r="X114">
        <f>Z114</f>
        <v>0</v>
      </c>
      <c r="Z114">
        <f>IFERROR(_xlfn.XLOOKUP(TRIM(V114), M:M, O:O, "Not Found"), "Not Found")</f>
        <v>0</v>
      </c>
      <c r="AG114" s="15">
        <v>0</v>
      </c>
      <c r="AH114" s="15">
        <v>0</v>
      </c>
      <c r="AI114" s="15">
        <v>0</v>
      </c>
      <c r="AJ114" s="15">
        <v>0</v>
      </c>
      <c r="AK114" s="15">
        <v>0</v>
      </c>
      <c r="AL114" s="15">
        <v>0</v>
      </c>
      <c r="AM114" s="15">
        <v>0</v>
      </c>
      <c r="AO114" t="s">
        <v>1240</v>
      </c>
    </row>
    <row r="115" spans="8:41">
      <c r="H115" t="s">
        <v>1028</v>
      </c>
      <c r="I115" t="str">
        <f t="shared" si="2"/>
        <v>corby</v>
      </c>
      <c r="J115" t="str">
        <v>corby</v>
      </c>
      <c r="K115" t="str">
        <f>IFERROR(_xlfn.XLOOKUP(TRIM(H115), M:M, N:N, "Not Found"), "Not Found")</f>
        <v>Familial based</v>
      </c>
      <c r="V115" t="s">
        <v>970</v>
      </c>
      <c r="W115" t="s">
        <v>966</v>
      </c>
      <c r="X115">
        <f>Z115</f>
        <v>0</v>
      </c>
      <c r="Z115">
        <f>IFERROR(_xlfn.XLOOKUP(TRIM(V115), M:M, O:O, "Not Found"), "Not Found")</f>
        <v>0</v>
      </c>
      <c r="AG115" s="15">
        <v>0</v>
      </c>
      <c r="AH115" s="15">
        <v>0</v>
      </c>
      <c r="AI115" s="15">
        <v>0</v>
      </c>
      <c r="AJ115" s="15">
        <v>0</v>
      </c>
      <c r="AK115" s="15">
        <v>0</v>
      </c>
      <c r="AL115" s="15">
        <v>0</v>
      </c>
      <c r="AM115" s="15">
        <v>0</v>
      </c>
      <c r="AO115" t="s">
        <v>1240</v>
      </c>
    </row>
    <row r="116" spans="8:41">
      <c r="H116" t="s">
        <v>965</v>
      </c>
      <c r="I116" t="str">
        <f t="shared" si="2"/>
        <v>schapelle corby</v>
      </c>
      <c r="J116" t="str">
        <v>schapelle corby</v>
      </c>
      <c r="K116" t="str">
        <f>IFERROR(_xlfn.XLOOKUP(TRIM(H116), M:M, N:N, "Not Found"), "Not Found")</f>
        <v>Case Related</v>
      </c>
      <c r="V116" t="s">
        <v>970</v>
      </c>
      <c r="W116" t="s">
        <v>966</v>
      </c>
      <c r="X116">
        <f>Z116</f>
        <v>0</v>
      </c>
      <c r="Z116">
        <f>IFERROR(_xlfn.XLOOKUP(TRIM(V116), M:M, O:O, "Not Found"), "Not Found")</f>
        <v>0</v>
      </c>
      <c r="AG116" s="15">
        <v>0</v>
      </c>
      <c r="AH116" s="15">
        <v>0</v>
      </c>
      <c r="AI116" s="15">
        <v>0</v>
      </c>
      <c r="AJ116" s="15">
        <v>0</v>
      </c>
      <c r="AK116" s="15">
        <v>0</v>
      </c>
      <c r="AL116" s="15">
        <v>0</v>
      </c>
      <c r="AM116" s="15">
        <v>0</v>
      </c>
      <c r="AO116" t="s">
        <v>1245</v>
      </c>
    </row>
    <row r="117" spans="8:41">
      <c r="H117" t="s">
        <v>1028</v>
      </c>
      <c r="I117" t="str">
        <f t="shared" si="2"/>
        <v>corby</v>
      </c>
      <c r="J117" t="str">
        <v>corby</v>
      </c>
      <c r="K117" t="str">
        <f>IFERROR(_xlfn.XLOOKUP(TRIM(H117), M:M, N:N, "Not Found"), "Not Found")</f>
        <v>Familial based</v>
      </c>
      <c r="V117" t="s">
        <v>970</v>
      </c>
      <c r="W117" t="s">
        <v>966</v>
      </c>
      <c r="X117">
        <f>Z117</f>
        <v>0</v>
      </c>
      <c r="Z117">
        <f>IFERROR(_xlfn.XLOOKUP(TRIM(V117), M:M, O:O, "Not Found"), "Not Found")</f>
        <v>0</v>
      </c>
      <c r="AG117" s="15">
        <v>0</v>
      </c>
      <c r="AH117" s="15">
        <v>0.5</v>
      </c>
      <c r="AI117" s="15">
        <v>0</v>
      </c>
      <c r="AJ117" s="15">
        <v>0</v>
      </c>
      <c r="AK117" s="15">
        <v>0</v>
      </c>
      <c r="AL117" s="15">
        <v>0</v>
      </c>
      <c r="AM117" s="15">
        <v>0</v>
      </c>
      <c r="AO117" t="s">
        <v>1240</v>
      </c>
    </row>
    <row r="118" spans="8:41">
      <c r="H118" t="s">
        <v>1031</v>
      </c>
      <c r="I118" t="str">
        <f t="shared" si="2"/>
        <v>bogan</v>
      </c>
      <c r="J118" t="str">
        <v>bogan</v>
      </c>
      <c r="K118" t="str">
        <f>IFERROR(_xlfn.XLOOKUP(TRIM(H118), M:M, N:N, "Not Found"), "Not Found")</f>
        <v>Class based</v>
      </c>
      <c r="V118" t="s">
        <v>970</v>
      </c>
      <c r="W118" t="s">
        <v>966</v>
      </c>
      <c r="X118">
        <f>Z118</f>
        <v>0</v>
      </c>
      <c r="Z118">
        <f>IFERROR(_xlfn.XLOOKUP(TRIM(V118), M:M, O:O, "Not Found"), "Not Found")</f>
        <v>0</v>
      </c>
      <c r="AG118" s="15">
        <v>0</v>
      </c>
      <c r="AH118" s="15">
        <v>0</v>
      </c>
      <c r="AI118" s="15">
        <v>0</v>
      </c>
      <c r="AJ118" s="15">
        <v>0</v>
      </c>
      <c r="AK118" s="15">
        <v>0</v>
      </c>
      <c r="AL118" s="15">
        <v>0</v>
      </c>
      <c r="AM118" s="15">
        <v>0</v>
      </c>
      <c r="AO118" t="s">
        <v>1240</v>
      </c>
    </row>
    <row r="119" spans="8:41">
      <c r="H119" t="s">
        <v>965</v>
      </c>
      <c r="I119" t="str">
        <f t="shared" si="2"/>
        <v>schapelle corby</v>
      </c>
      <c r="J119" t="str">
        <v>schapelle corby</v>
      </c>
      <c r="K119" t="str">
        <f>IFERROR(_xlfn.XLOOKUP(TRIM(H119), M:M, N:N, "Not Found"), "Not Found")</f>
        <v>Case Related</v>
      </c>
      <c r="V119" t="s">
        <v>970</v>
      </c>
      <c r="W119" t="s">
        <v>966</v>
      </c>
      <c r="X119">
        <f>Z119</f>
        <v>0</v>
      </c>
      <c r="Z119">
        <f>IFERROR(_xlfn.XLOOKUP(TRIM(V119), M:M, O:O, "Not Found"), "Not Found")</f>
        <v>0</v>
      </c>
      <c r="AG119" s="15">
        <v>0</v>
      </c>
      <c r="AH119" s="15">
        <v>0</v>
      </c>
      <c r="AI119" s="15">
        <v>0</v>
      </c>
      <c r="AJ119" s="15">
        <v>0</v>
      </c>
      <c r="AK119" s="15">
        <v>0</v>
      </c>
      <c r="AL119" s="15">
        <v>0</v>
      </c>
      <c r="AM119" s="15">
        <v>0</v>
      </c>
      <c r="AO119" t="s">
        <v>1240</v>
      </c>
    </row>
    <row r="120" spans="8:41">
      <c r="H120" t="s">
        <v>1000</v>
      </c>
      <c r="I120" t="str">
        <f t="shared" si="2"/>
        <v>bribed</v>
      </c>
      <c r="J120" t="str">
        <v>bribed</v>
      </c>
      <c r="K120" t="str">
        <f>IFERROR(_xlfn.XLOOKUP(TRIM(H120), M:M, N:N, "Not Found"), "Not Found")</f>
        <v>Crime based</v>
      </c>
      <c r="V120" t="s">
        <v>970</v>
      </c>
      <c r="W120" t="s">
        <v>966</v>
      </c>
      <c r="X120">
        <f>Z120</f>
        <v>0</v>
      </c>
      <c r="Z120">
        <f>IFERROR(_xlfn.XLOOKUP(TRIM(V120), M:M, O:O, "Not Found"), "Not Found")</f>
        <v>0</v>
      </c>
      <c r="AG120" s="15">
        <v>0</v>
      </c>
      <c r="AH120" s="15">
        <v>0</v>
      </c>
      <c r="AI120" s="15">
        <v>0</v>
      </c>
      <c r="AJ120" s="15">
        <v>0</v>
      </c>
      <c r="AK120" s="15">
        <v>0</v>
      </c>
      <c r="AL120" s="15">
        <v>0</v>
      </c>
      <c r="AM120" s="15">
        <v>0</v>
      </c>
      <c r="AO120" t="s">
        <v>1240</v>
      </c>
    </row>
    <row r="121" spans="8:41">
      <c r="H121" t="s">
        <v>1028</v>
      </c>
      <c r="I121" t="str">
        <f t="shared" si="2"/>
        <v>corby</v>
      </c>
      <c r="J121" t="str">
        <v>corby</v>
      </c>
      <c r="K121" t="str">
        <f>IFERROR(_xlfn.XLOOKUP(TRIM(H121), M:M, N:N, "Not Found"), "Not Found")</f>
        <v>Familial based</v>
      </c>
      <c r="V121" t="s">
        <v>970</v>
      </c>
      <c r="W121" t="s">
        <v>966</v>
      </c>
      <c r="X121">
        <f>Z121</f>
        <v>0</v>
      </c>
      <c r="Z121">
        <f>IFERROR(_xlfn.XLOOKUP(TRIM(V121), M:M, O:O, "Not Found"), "Not Found")</f>
        <v>0</v>
      </c>
      <c r="AG121" s="15">
        <v>0</v>
      </c>
      <c r="AH121" s="15">
        <v>0</v>
      </c>
      <c r="AI121" s="15">
        <v>0</v>
      </c>
      <c r="AJ121" s="15">
        <v>0</v>
      </c>
      <c r="AK121" s="15">
        <v>0</v>
      </c>
      <c r="AL121" s="15">
        <v>0</v>
      </c>
      <c r="AM121" s="15">
        <v>0</v>
      </c>
      <c r="AO121" t="s">
        <v>1240</v>
      </c>
    </row>
    <row r="122" spans="8:41">
      <c r="H122" t="s">
        <v>965</v>
      </c>
      <c r="I122" t="str">
        <f t="shared" si="2"/>
        <v>schapelle corby</v>
      </c>
      <c r="J122" t="str">
        <v>schapelle corby</v>
      </c>
      <c r="K122" t="str">
        <f>IFERROR(_xlfn.XLOOKUP(TRIM(H122), M:M, N:N, "Not Found"), "Not Found")</f>
        <v>Case Related</v>
      </c>
      <c r="V122" t="s">
        <v>970</v>
      </c>
      <c r="W122" t="s">
        <v>966</v>
      </c>
      <c r="X122">
        <f>Z122</f>
        <v>0</v>
      </c>
      <c r="Z122">
        <f>IFERROR(_xlfn.XLOOKUP(TRIM(V122), M:M, O:O, "Not Found"), "Not Found")</f>
        <v>0</v>
      </c>
      <c r="AG122" s="15">
        <v>0</v>
      </c>
      <c r="AH122" s="15">
        <v>0</v>
      </c>
      <c r="AI122" s="15">
        <v>0</v>
      </c>
      <c r="AJ122" s="15">
        <v>0</v>
      </c>
      <c r="AK122" s="15">
        <v>0</v>
      </c>
      <c r="AL122" s="15">
        <v>0</v>
      </c>
      <c r="AM122" s="15">
        <v>0</v>
      </c>
      <c r="AO122" t="s">
        <v>1240</v>
      </c>
    </row>
    <row r="123" spans="8:41">
      <c r="H123" t="s">
        <v>1028</v>
      </c>
      <c r="I123" t="str">
        <f t="shared" si="2"/>
        <v>corby</v>
      </c>
      <c r="J123" t="str">
        <v>corby</v>
      </c>
      <c r="K123" t="str">
        <f>IFERROR(_xlfn.XLOOKUP(TRIM(H123), M:M, N:N, "Not Found"), "Not Found")</f>
        <v>Familial based</v>
      </c>
      <c r="V123" t="s">
        <v>970</v>
      </c>
      <c r="W123" t="s">
        <v>966</v>
      </c>
      <c r="X123">
        <f>Z123</f>
        <v>0</v>
      </c>
      <c r="Z123">
        <f>IFERROR(_xlfn.XLOOKUP(TRIM(V123), M:M, O:O, "Not Found"), "Not Found")</f>
        <v>0</v>
      </c>
      <c r="AG123" s="15">
        <v>0</v>
      </c>
      <c r="AH123" s="15">
        <v>0</v>
      </c>
      <c r="AI123" s="15">
        <v>0</v>
      </c>
      <c r="AJ123" s="15">
        <v>0</v>
      </c>
      <c r="AK123" s="15">
        <v>0</v>
      </c>
      <c r="AL123" s="15">
        <v>0</v>
      </c>
      <c r="AM123" s="15">
        <v>0</v>
      </c>
      <c r="AO123" t="s">
        <v>1240</v>
      </c>
    </row>
    <row r="124" spans="8:41">
      <c r="H124" t="s">
        <v>965</v>
      </c>
      <c r="I124" t="str">
        <f t="shared" si="2"/>
        <v>schapelle corby</v>
      </c>
      <c r="J124" t="str">
        <v>schapelle corby</v>
      </c>
      <c r="K124" t="str">
        <f>IFERROR(_xlfn.XLOOKUP(TRIM(H124), M:M, N:N, "Not Found"), "Not Found")</f>
        <v>Case Related</v>
      </c>
      <c r="V124" t="s">
        <v>970</v>
      </c>
      <c r="W124" t="s">
        <v>966</v>
      </c>
      <c r="X124">
        <f>Z124</f>
        <v>0</v>
      </c>
      <c r="Z124">
        <f>IFERROR(_xlfn.XLOOKUP(TRIM(V124), M:M, O:O, "Not Found"), "Not Found")</f>
        <v>0</v>
      </c>
      <c r="AG124" s="15">
        <v>0</v>
      </c>
      <c r="AH124" s="15">
        <v>0</v>
      </c>
      <c r="AI124" s="15">
        <v>0</v>
      </c>
      <c r="AJ124" s="15">
        <v>0</v>
      </c>
      <c r="AK124" s="15">
        <v>0</v>
      </c>
      <c r="AL124" s="15">
        <v>0</v>
      </c>
      <c r="AM124" s="15">
        <v>0</v>
      </c>
      <c r="AO124" t="s">
        <v>1240</v>
      </c>
    </row>
    <row r="125" spans="8:41">
      <c r="H125" t="s">
        <v>1028</v>
      </c>
      <c r="I125" t="str">
        <f t="shared" si="2"/>
        <v>corby</v>
      </c>
      <c r="J125" t="str">
        <v>corby</v>
      </c>
      <c r="K125" t="str">
        <f>IFERROR(_xlfn.XLOOKUP(TRIM(H125), M:M, N:N, "Not Found"), "Not Found")</f>
        <v>Familial based</v>
      </c>
      <c r="V125" t="s">
        <v>970</v>
      </c>
      <c r="W125" t="s">
        <v>966</v>
      </c>
      <c r="X125">
        <f>Z125</f>
        <v>0</v>
      </c>
      <c r="Z125">
        <f>IFERROR(_xlfn.XLOOKUP(TRIM(V125), M:M, O:O, "Not Found"), "Not Found")</f>
        <v>0</v>
      </c>
      <c r="AG125" s="15">
        <v>0</v>
      </c>
      <c r="AH125" s="15">
        <v>0</v>
      </c>
      <c r="AI125" s="15">
        <v>0</v>
      </c>
      <c r="AJ125" s="15">
        <v>0</v>
      </c>
      <c r="AK125" s="15">
        <v>0</v>
      </c>
      <c r="AL125" s="15">
        <v>0</v>
      </c>
      <c r="AM125" s="15">
        <v>0</v>
      </c>
      <c r="AO125" t="s">
        <v>1245</v>
      </c>
    </row>
    <row r="126" spans="8:41">
      <c r="H126" t="s">
        <v>965</v>
      </c>
      <c r="I126" t="str">
        <f t="shared" si="2"/>
        <v>schapelle corby</v>
      </c>
      <c r="J126" t="str">
        <v>schapelle corby</v>
      </c>
      <c r="K126" t="str">
        <f>IFERROR(_xlfn.XLOOKUP(TRIM(H126), M:M, N:N, "Not Found"), "Not Found")</f>
        <v>Case Related</v>
      </c>
      <c r="V126" t="s">
        <v>970</v>
      </c>
      <c r="W126" t="s">
        <v>966</v>
      </c>
      <c r="X126">
        <f>Z126</f>
        <v>0</v>
      </c>
      <c r="Z126">
        <f>IFERROR(_xlfn.XLOOKUP(TRIM(V126), M:M, O:O, "Not Found"), "Not Found")</f>
        <v>0</v>
      </c>
      <c r="AG126" s="15">
        <v>0</v>
      </c>
      <c r="AH126" s="15">
        <v>0.5</v>
      </c>
      <c r="AI126" s="15">
        <v>0</v>
      </c>
      <c r="AJ126" s="15">
        <v>0</v>
      </c>
      <c r="AK126" s="15">
        <v>0</v>
      </c>
      <c r="AL126" s="15">
        <v>0</v>
      </c>
      <c r="AM126" s="15">
        <v>0</v>
      </c>
      <c r="AO126" t="s">
        <v>1240</v>
      </c>
    </row>
    <row r="127" spans="8:41">
      <c r="H127" t="s">
        <v>1028</v>
      </c>
      <c r="I127" t="str">
        <f t="shared" si="2"/>
        <v>corby</v>
      </c>
      <c r="J127" t="str">
        <v>corby</v>
      </c>
      <c r="K127" t="str">
        <f>IFERROR(_xlfn.XLOOKUP(TRIM(H127), M:M, N:N, "Not Found"), "Not Found")</f>
        <v>Familial based</v>
      </c>
      <c r="V127" t="s">
        <v>970</v>
      </c>
      <c r="W127" t="s">
        <v>966</v>
      </c>
      <c r="X127">
        <f>Z127</f>
        <v>0</v>
      </c>
      <c r="Z127">
        <f>IFERROR(_xlfn.XLOOKUP(TRIM(V127), M:M, O:O, "Not Found"), "Not Found")</f>
        <v>0</v>
      </c>
      <c r="AG127" s="15">
        <v>0</v>
      </c>
      <c r="AH127" s="15">
        <v>0</v>
      </c>
      <c r="AI127" s="15">
        <v>0</v>
      </c>
      <c r="AJ127" s="15">
        <v>0</v>
      </c>
      <c r="AK127" s="15">
        <v>0</v>
      </c>
      <c r="AL127" s="15">
        <v>0</v>
      </c>
      <c r="AM127" s="15">
        <v>0</v>
      </c>
      <c r="AO127" t="s">
        <v>1240</v>
      </c>
    </row>
    <row r="128" spans="8:41">
      <c r="H128" t="s">
        <v>965</v>
      </c>
      <c r="I128" t="str">
        <f t="shared" si="2"/>
        <v>schapelle corby</v>
      </c>
      <c r="J128" t="str">
        <v>schapelle corby</v>
      </c>
      <c r="K128" t="str">
        <f>IFERROR(_xlfn.XLOOKUP(TRIM(H128), M:M, N:N, "Not Found"), "Not Found")</f>
        <v>Case Related</v>
      </c>
      <c r="V128" t="s">
        <v>970</v>
      </c>
      <c r="W128" t="s">
        <v>966</v>
      </c>
      <c r="X128">
        <f>Z128</f>
        <v>0</v>
      </c>
      <c r="Z128">
        <f>IFERROR(_xlfn.XLOOKUP(TRIM(V128), M:M, O:O, "Not Found"), "Not Found")</f>
        <v>0</v>
      </c>
      <c r="AG128" s="15">
        <v>0</v>
      </c>
      <c r="AH128" s="15">
        <v>0</v>
      </c>
      <c r="AI128" s="15">
        <v>0</v>
      </c>
      <c r="AJ128" s="15">
        <v>0</v>
      </c>
      <c r="AK128" s="15">
        <v>0</v>
      </c>
      <c r="AL128" s="15">
        <v>0</v>
      </c>
      <c r="AM128" s="15">
        <v>0</v>
      </c>
      <c r="AO128" t="s">
        <v>1240</v>
      </c>
    </row>
    <row r="129" spans="8:41">
      <c r="H129" t="s">
        <v>1028</v>
      </c>
      <c r="I129" t="str">
        <f t="shared" si="2"/>
        <v>corby</v>
      </c>
      <c r="J129" t="str">
        <v>corby</v>
      </c>
      <c r="K129" t="str">
        <f>IFERROR(_xlfn.XLOOKUP(TRIM(H129), M:M, N:N, "Not Found"), "Not Found")</f>
        <v>Familial based</v>
      </c>
      <c r="V129" t="s">
        <v>970</v>
      </c>
      <c r="W129" t="s">
        <v>966</v>
      </c>
      <c r="X129">
        <f>Z129</f>
        <v>0</v>
      </c>
      <c r="Z129">
        <f>IFERROR(_xlfn.XLOOKUP(TRIM(V129), M:M, O:O, "Not Found"), "Not Found")</f>
        <v>0</v>
      </c>
      <c r="AG129" s="15">
        <v>0</v>
      </c>
      <c r="AH129" s="15">
        <v>0</v>
      </c>
      <c r="AI129" s="15">
        <v>0</v>
      </c>
      <c r="AJ129" s="15">
        <v>0</v>
      </c>
      <c r="AK129" s="15">
        <v>0</v>
      </c>
      <c r="AL129" s="15">
        <v>0</v>
      </c>
      <c r="AM129" s="15">
        <v>0</v>
      </c>
      <c r="AO129" t="s">
        <v>1240</v>
      </c>
    </row>
    <row r="130" spans="8:41">
      <c r="H130" t="s">
        <v>1069</v>
      </c>
      <c r="I130" t="str">
        <f t="shared" si="2"/>
        <v>parole</v>
      </c>
      <c r="J130" t="str">
        <v>parole</v>
      </c>
      <c r="K130" t="str">
        <f>IFERROR(_xlfn.XLOOKUP(TRIM(H130), M:M, N:N, "Not Found"), "Not Found")</f>
        <v>Legality based</v>
      </c>
      <c r="V130" t="s">
        <v>970</v>
      </c>
      <c r="W130" t="s">
        <v>966</v>
      </c>
      <c r="X130">
        <f>Z130</f>
        <v>0</v>
      </c>
      <c r="Z130">
        <f>IFERROR(_xlfn.XLOOKUP(TRIM(V130), M:M, O:O, "Not Found"), "Not Found")</f>
        <v>0</v>
      </c>
      <c r="AG130" s="15">
        <v>0</v>
      </c>
      <c r="AH130" s="15">
        <v>0</v>
      </c>
      <c r="AI130" s="15">
        <v>0</v>
      </c>
      <c r="AJ130" s="15">
        <v>0</v>
      </c>
      <c r="AK130" s="15">
        <v>0</v>
      </c>
      <c r="AL130" s="15">
        <v>0</v>
      </c>
      <c r="AM130" s="15">
        <v>0</v>
      </c>
      <c r="AO130" t="s">
        <v>1240</v>
      </c>
    </row>
    <row r="131" spans="8:41">
      <c r="H131" t="s">
        <v>965</v>
      </c>
      <c r="I131" t="str">
        <f t="shared" si="2"/>
        <v>schapelle corby</v>
      </c>
      <c r="J131" t="str">
        <v>schapelle corby</v>
      </c>
      <c r="K131" t="str">
        <f>IFERROR(_xlfn.XLOOKUP(TRIM(H131), M:M, N:N, "Not Found"), "Not Found")</f>
        <v>Case Related</v>
      </c>
      <c r="V131" t="s">
        <v>968</v>
      </c>
      <c r="W131" t="s">
        <v>966</v>
      </c>
      <c r="X131">
        <f>Z131</f>
        <v>0</v>
      </c>
      <c r="Z131">
        <f>IFERROR(_xlfn.XLOOKUP(TRIM(V131), M:M, O:O, "Not Found"), "Not Found")</f>
        <v>0</v>
      </c>
      <c r="AG131" s="15">
        <v>0</v>
      </c>
      <c r="AH131" s="15">
        <v>0</v>
      </c>
      <c r="AI131" s="15">
        <v>0</v>
      </c>
      <c r="AJ131" s="15">
        <v>0</v>
      </c>
      <c r="AK131" s="15">
        <v>0</v>
      </c>
      <c r="AL131" s="15">
        <v>0</v>
      </c>
      <c r="AM131" s="15">
        <v>0</v>
      </c>
      <c r="AO131" t="s">
        <v>1259</v>
      </c>
    </row>
    <row r="132" spans="8:41">
      <c r="H132" t="s">
        <v>1028</v>
      </c>
      <c r="I132" t="str">
        <f t="shared" ref="I132:I195" si="3">TRIM(LOWER(H132))</f>
        <v>corby</v>
      </c>
      <c r="J132" t="str">
        <v>corby</v>
      </c>
      <c r="K132" t="str">
        <f>IFERROR(_xlfn.XLOOKUP(TRIM(H132), M:M, N:N, "Not Found"), "Not Found")</f>
        <v>Familial based</v>
      </c>
      <c r="V132" t="s">
        <v>968</v>
      </c>
      <c r="W132" t="s">
        <v>966</v>
      </c>
      <c r="X132">
        <f>Z132</f>
        <v>0</v>
      </c>
      <c r="Z132">
        <f>IFERROR(_xlfn.XLOOKUP(TRIM(V132), M:M, O:O, "Not Found"), "Not Found")</f>
        <v>0</v>
      </c>
      <c r="AG132" s="15">
        <v>0</v>
      </c>
      <c r="AH132" s="15">
        <v>1</v>
      </c>
      <c r="AI132" s="15">
        <v>1</v>
      </c>
      <c r="AJ132" s="15">
        <v>0</v>
      </c>
      <c r="AK132" s="15">
        <v>0</v>
      </c>
      <c r="AL132" s="15">
        <v>0</v>
      </c>
      <c r="AM132" s="15">
        <v>0</v>
      </c>
      <c r="AO132" t="s">
        <v>1240</v>
      </c>
    </row>
    <row r="133" spans="8:41">
      <c r="H133" t="s">
        <v>965</v>
      </c>
      <c r="I133" t="str">
        <f t="shared" si="3"/>
        <v>schapelle corby</v>
      </c>
      <c r="J133" t="str">
        <v>schapelle corby</v>
      </c>
      <c r="K133" t="str">
        <f>IFERROR(_xlfn.XLOOKUP(TRIM(H133), M:M, N:N, "Not Found"), "Not Found")</f>
        <v>Case Related</v>
      </c>
      <c r="V133" t="s">
        <v>968</v>
      </c>
      <c r="W133" t="s">
        <v>966</v>
      </c>
      <c r="X133">
        <f>Z133</f>
        <v>0</v>
      </c>
      <c r="Z133">
        <f>IFERROR(_xlfn.XLOOKUP(TRIM(V133), M:M, O:O, "Not Found"), "Not Found")</f>
        <v>0</v>
      </c>
      <c r="AG133" s="15">
        <v>0</v>
      </c>
      <c r="AH133" s="15">
        <v>0</v>
      </c>
      <c r="AI133" s="15">
        <v>0</v>
      </c>
      <c r="AJ133" s="15">
        <v>0</v>
      </c>
      <c r="AK133" s="15">
        <v>0</v>
      </c>
      <c r="AL133" s="15">
        <v>0</v>
      </c>
      <c r="AM133" s="15">
        <v>0</v>
      </c>
      <c r="AO133" t="s">
        <v>1245</v>
      </c>
    </row>
    <row r="134" spans="8:41">
      <c r="H134" t="s">
        <v>1028</v>
      </c>
      <c r="I134" t="str">
        <f t="shared" si="3"/>
        <v>corby</v>
      </c>
      <c r="J134" t="str">
        <v>corby</v>
      </c>
      <c r="K134" t="str">
        <f>IFERROR(_xlfn.XLOOKUP(TRIM(H134), M:M, N:N, "Not Found"), "Not Found")</f>
        <v>Familial based</v>
      </c>
      <c r="V134" t="s">
        <v>968</v>
      </c>
      <c r="W134" t="s">
        <v>966</v>
      </c>
      <c r="X134">
        <f>Z134</f>
        <v>0</v>
      </c>
      <c r="Z134">
        <f>IFERROR(_xlfn.XLOOKUP(TRIM(V134), M:M, O:O, "Not Found"), "Not Found")</f>
        <v>0</v>
      </c>
      <c r="AG134" s="15">
        <v>0</v>
      </c>
      <c r="AH134" s="15">
        <v>0.5</v>
      </c>
      <c r="AI134" s="15">
        <v>0</v>
      </c>
      <c r="AJ134" s="15">
        <v>0</v>
      </c>
      <c r="AK134" s="15">
        <v>0</v>
      </c>
      <c r="AL134" s="15">
        <v>0</v>
      </c>
      <c r="AM134" s="15">
        <v>0</v>
      </c>
      <c r="AO134" t="s">
        <v>1240</v>
      </c>
    </row>
    <row r="135" spans="8:41">
      <c r="H135" t="s">
        <v>965</v>
      </c>
      <c r="I135" t="str">
        <f t="shared" si="3"/>
        <v>schapelle corby</v>
      </c>
      <c r="J135" t="str">
        <v>schapelle corby</v>
      </c>
      <c r="K135" t="str">
        <f>IFERROR(_xlfn.XLOOKUP(TRIM(H135), M:M, N:N, "Not Found"), "Not Found")</f>
        <v>Case Related</v>
      </c>
      <c r="V135" t="s">
        <v>968</v>
      </c>
      <c r="W135" t="s">
        <v>966</v>
      </c>
      <c r="X135">
        <f>Z135</f>
        <v>0</v>
      </c>
      <c r="Z135">
        <f>IFERROR(_xlfn.XLOOKUP(TRIM(V135), M:M, O:O, "Not Found"), "Not Found")</f>
        <v>0</v>
      </c>
      <c r="AG135" s="15">
        <v>0</v>
      </c>
      <c r="AH135" s="15">
        <v>0</v>
      </c>
      <c r="AI135" s="15">
        <v>0</v>
      </c>
      <c r="AJ135" s="15">
        <v>0</v>
      </c>
      <c r="AK135" s="15">
        <v>0</v>
      </c>
      <c r="AL135" s="15">
        <v>0</v>
      </c>
      <c r="AM135" s="15">
        <v>0</v>
      </c>
      <c r="AO135" t="s">
        <v>1240</v>
      </c>
    </row>
    <row r="136" spans="8:41">
      <c r="H136" t="s">
        <v>1239</v>
      </c>
      <c r="I136" t="str">
        <f t="shared" si="3"/>
        <v>indonesia</v>
      </c>
      <c r="J136" t="str">
        <v>indonesia</v>
      </c>
      <c r="K136" t="str">
        <f>IFERROR(_xlfn.XLOOKUP(TRIM(H136), M:M, N:N, "Not Found"), "Not Found")</f>
        <v>Not Found</v>
      </c>
      <c r="V136" t="s">
        <v>968</v>
      </c>
      <c r="W136" t="s">
        <v>966</v>
      </c>
      <c r="X136">
        <f>Z136</f>
        <v>0</v>
      </c>
      <c r="Z136">
        <f>IFERROR(_xlfn.XLOOKUP(TRIM(V136), M:M, O:O, "Not Found"), "Not Found")</f>
        <v>0</v>
      </c>
      <c r="AG136" s="15">
        <v>0</v>
      </c>
      <c r="AH136" s="15">
        <v>0</v>
      </c>
      <c r="AI136" s="15">
        <v>0</v>
      </c>
      <c r="AJ136" s="15">
        <v>0</v>
      </c>
      <c r="AK136" s="15">
        <v>0</v>
      </c>
      <c r="AL136" s="15">
        <v>0</v>
      </c>
      <c r="AM136" s="15">
        <v>0</v>
      </c>
      <c r="AO136" t="s">
        <v>1240</v>
      </c>
    </row>
    <row r="137" spans="8:41">
      <c r="H137" t="s">
        <v>1028</v>
      </c>
      <c r="I137" t="str">
        <f t="shared" si="3"/>
        <v>corby</v>
      </c>
      <c r="J137" t="str">
        <v>corby</v>
      </c>
      <c r="K137" t="str">
        <f>IFERROR(_xlfn.XLOOKUP(TRIM(H137), M:M, N:N, "Not Found"), "Not Found")</f>
        <v>Familial based</v>
      </c>
      <c r="V137" t="s">
        <v>968</v>
      </c>
      <c r="W137" t="s">
        <v>966</v>
      </c>
      <c r="X137">
        <f>Z137</f>
        <v>0</v>
      </c>
      <c r="Z137">
        <f>IFERROR(_xlfn.XLOOKUP(TRIM(V137), M:M, O:O, "Not Found"), "Not Found")</f>
        <v>0</v>
      </c>
      <c r="AG137" s="15">
        <v>0</v>
      </c>
      <c r="AH137" s="15">
        <v>0</v>
      </c>
      <c r="AI137" s="15">
        <v>0</v>
      </c>
      <c r="AJ137" s="15">
        <v>0</v>
      </c>
      <c r="AK137" s="15">
        <v>0</v>
      </c>
      <c r="AL137" s="15">
        <v>0</v>
      </c>
      <c r="AM137" s="15">
        <v>0</v>
      </c>
      <c r="AO137" t="s">
        <v>1240</v>
      </c>
    </row>
    <row r="138" spans="8:41">
      <c r="H138" t="s">
        <v>965</v>
      </c>
      <c r="I138" t="str">
        <f t="shared" si="3"/>
        <v>schapelle corby</v>
      </c>
      <c r="J138" t="str">
        <v>schapelle corby</v>
      </c>
      <c r="K138" t="str">
        <f>IFERROR(_xlfn.XLOOKUP(TRIM(H138), M:M, N:N, "Not Found"), "Not Found")</f>
        <v>Case Related</v>
      </c>
      <c r="V138" t="s">
        <v>968</v>
      </c>
      <c r="W138" t="s">
        <v>966</v>
      </c>
      <c r="X138">
        <f>Z138</f>
        <v>0</v>
      </c>
      <c r="Z138">
        <f>IFERROR(_xlfn.XLOOKUP(TRIM(V138), M:M, O:O, "Not Found"), "Not Found")</f>
        <v>0</v>
      </c>
      <c r="AG138" s="15">
        <v>0</v>
      </c>
      <c r="AH138" s="15">
        <v>0</v>
      </c>
      <c r="AI138" s="15">
        <v>0</v>
      </c>
      <c r="AJ138" s="15">
        <v>0</v>
      </c>
      <c r="AK138" s="15">
        <v>0</v>
      </c>
      <c r="AL138" s="15">
        <v>0</v>
      </c>
      <c r="AM138" s="15">
        <v>0</v>
      </c>
      <c r="AO138" t="s">
        <v>1246</v>
      </c>
    </row>
    <row r="139" spans="8:41">
      <c r="H139" t="s">
        <v>970</v>
      </c>
      <c r="I139" t="str">
        <f t="shared" si="3"/>
        <v>australian</v>
      </c>
      <c r="J139" t="str">
        <v>australian</v>
      </c>
      <c r="K139" t="str">
        <f>IFERROR(_xlfn.XLOOKUP(TRIM(H139), M:M, N:N, "Not Found"), "Not Found")</f>
        <v>Case Related</v>
      </c>
      <c r="V139" t="s">
        <v>968</v>
      </c>
      <c r="W139" t="s">
        <v>966</v>
      </c>
      <c r="X139">
        <f>Z139</f>
        <v>0</v>
      </c>
      <c r="Z139">
        <f>IFERROR(_xlfn.XLOOKUP(TRIM(V139), M:M, O:O, "Not Found"), "Not Found")</f>
        <v>0</v>
      </c>
      <c r="AG139" s="15">
        <v>0</v>
      </c>
      <c r="AH139" s="15">
        <v>0</v>
      </c>
      <c r="AI139" s="15">
        <v>0</v>
      </c>
      <c r="AJ139" s="15">
        <v>0</v>
      </c>
      <c r="AK139" s="15">
        <v>0</v>
      </c>
      <c r="AL139" s="15">
        <v>0</v>
      </c>
      <c r="AM139" s="15">
        <v>0</v>
      </c>
      <c r="AO139" t="s">
        <v>1238</v>
      </c>
    </row>
    <row r="140" spans="8:41">
      <c r="H140" t="s">
        <v>983</v>
      </c>
      <c r="I140" t="str">
        <f t="shared" si="3"/>
        <v>australia</v>
      </c>
      <c r="J140" t="str">
        <v>australia</v>
      </c>
      <c r="K140" t="str">
        <f>IFERROR(_xlfn.XLOOKUP(TRIM(H140), M:M, N:N, "Not Found"), "Not Found")</f>
        <v>Case Related</v>
      </c>
      <c r="V140" t="s">
        <v>968</v>
      </c>
      <c r="W140" t="s">
        <v>966</v>
      </c>
      <c r="X140">
        <f>Z140</f>
        <v>0</v>
      </c>
      <c r="Z140">
        <f>IFERROR(_xlfn.XLOOKUP(TRIM(V140), M:M, O:O, "Not Found"), "Not Found")</f>
        <v>0</v>
      </c>
      <c r="AG140" s="15">
        <v>0</v>
      </c>
      <c r="AH140" s="15">
        <v>0.5</v>
      </c>
      <c r="AI140" s="15">
        <v>0</v>
      </c>
      <c r="AJ140" s="15">
        <v>0</v>
      </c>
      <c r="AK140" s="15">
        <v>0</v>
      </c>
      <c r="AL140" s="15">
        <v>0</v>
      </c>
      <c r="AM140" s="15">
        <v>0</v>
      </c>
      <c r="AO140" t="s">
        <v>1240</v>
      </c>
    </row>
    <row r="141" spans="8:41">
      <c r="H141" t="s">
        <v>1028</v>
      </c>
      <c r="I141" t="str">
        <f t="shared" si="3"/>
        <v>corby</v>
      </c>
      <c r="J141" t="str">
        <v>corby</v>
      </c>
      <c r="K141" t="str">
        <f>IFERROR(_xlfn.XLOOKUP(TRIM(H141), M:M, N:N, "Not Found"), "Not Found")</f>
        <v>Familial based</v>
      </c>
      <c r="V141" t="s">
        <v>968</v>
      </c>
      <c r="W141" t="s">
        <v>966</v>
      </c>
      <c r="X141">
        <f>Z141</f>
        <v>0</v>
      </c>
      <c r="Z141">
        <f>IFERROR(_xlfn.XLOOKUP(TRIM(V141), M:M, O:O, "Not Found"), "Not Found")</f>
        <v>0</v>
      </c>
      <c r="AG141" s="15">
        <v>0</v>
      </c>
      <c r="AH141" s="15">
        <v>0</v>
      </c>
      <c r="AI141" s="15">
        <v>0</v>
      </c>
      <c r="AJ141" s="15">
        <v>0</v>
      </c>
      <c r="AK141" s="15">
        <v>0</v>
      </c>
      <c r="AL141" s="15">
        <v>0</v>
      </c>
      <c r="AM141" s="15">
        <v>0</v>
      </c>
      <c r="AO141" t="s">
        <v>1261</v>
      </c>
    </row>
    <row r="142" spans="8:41">
      <c r="H142" t="s">
        <v>965</v>
      </c>
      <c r="I142" t="str">
        <f t="shared" si="3"/>
        <v>schapelle corby</v>
      </c>
      <c r="J142" t="str">
        <v>schapelle corby</v>
      </c>
      <c r="K142" t="str">
        <f>IFERROR(_xlfn.XLOOKUP(TRIM(H142), M:M, N:N, "Not Found"), "Not Found")</f>
        <v>Case Related</v>
      </c>
      <c r="V142" t="s">
        <v>972</v>
      </c>
      <c r="W142" t="s">
        <v>966</v>
      </c>
      <c r="X142">
        <f>Z142</f>
        <v>0</v>
      </c>
      <c r="Z142">
        <f>IFERROR(_xlfn.XLOOKUP(TRIM(V142), M:M, O:O, "Not Found"), "Not Found")</f>
        <v>0</v>
      </c>
      <c r="AG142" s="15">
        <v>0</v>
      </c>
      <c r="AH142" s="15">
        <v>0</v>
      </c>
      <c r="AI142" s="15">
        <v>1</v>
      </c>
      <c r="AJ142" s="15">
        <v>0</v>
      </c>
      <c r="AK142" s="15">
        <v>0</v>
      </c>
      <c r="AL142" s="15">
        <v>0</v>
      </c>
      <c r="AM142" s="15">
        <v>0</v>
      </c>
      <c r="AO142" t="s">
        <v>1240</v>
      </c>
    </row>
    <row r="143" spans="8:41">
      <c r="H143" t="s">
        <v>988</v>
      </c>
      <c r="I143" t="str">
        <f t="shared" si="3"/>
        <v>convicted drug smuggler</v>
      </c>
      <c r="J143" t="str">
        <v>convicted drug smuggler</v>
      </c>
      <c r="K143" t="str">
        <f>IFERROR(_xlfn.XLOOKUP(TRIM(H143), M:M, N:N, "Not Found"), "Not Found")</f>
        <v>Crime based</v>
      </c>
      <c r="V143" t="s">
        <v>972</v>
      </c>
      <c r="W143" t="s">
        <v>966</v>
      </c>
      <c r="X143">
        <f>Z143</f>
        <v>0</v>
      </c>
      <c r="Z143">
        <f>IFERROR(_xlfn.XLOOKUP(TRIM(V143), M:M, O:O, "Not Found"), "Not Found")</f>
        <v>0</v>
      </c>
      <c r="AG143" s="15">
        <v>0</v>
      </c>
      <c r="AH143" s="15">
        <v>0</v>
      </c>
      <c r="AI143" s="15">
        <v>0</v>
      </c>
      <c r="AJ143" s="15">
        <v>0</v>
      </c>
      <c r="AK143" s="15">
        <v>0</v>
      </c>
      <c r="AL143" s="15">
        <v>0</v>
      </c>
      <c r="AM143" s="15">
        <v>0</v>
      </c>
      <c r="AO143" t="s">
        <v>1245</v>
      </c>
    </row>
    <row r="144" spans="8:41">
      <c r="H144" t="s">
        <v>992</v>
      </c>
      <c r="I144" t="str">
        <f t="shared" si="3"/>
        <v>drug smuggler</v>
      </c>
      <c r="J144" t="str">
        <v>drug smuggler</v>
      </c>
      <c r="K144" t="str">
        <f>IFERROR(_xlfn.XLOOKUP(TRIM(H144), M:M, N:N, "Not Found"), "Not Found")</f>
        <v>Crime based</v>
      </c>
      <c r="V144" t="s">
        <v>972</v>
      </c>
      <c r="W144" t="s">
        <v>966</v>
      </c>
      <c r="X144">
        <f>Z144</f>
        <v>0</v>
      </c>
      <c r="Z144">
        <f>IFERROR(_xlfn.XLOOKUP(TRIM(V144), M:M, O:O, "Not Found"), "Not Found")</f>
        <v>0</v>
      </c>
      <c r="AG144" s="15">
        <v>0</v>
      </c>
      <c r="AH144" s="15">
        <v>0.5</v>
      </c>
      <c r="AI144" s="15">
        <v>0</v>
      </c>
      <c r="AJ144" s="15">
        <v>0</v>
      </c>
      <c r="AK144" s="15">
        <v>0</v>
      </c>
      <c r="AL144" s="15">
        <v>0</v>
      </c>
      <c r="AM144" s="15">
        <v>0</v>
      </c>
      <c r="AO144" t="s">
        <v>1245</v>
      </c>
    </row>
    <row r="145" spans="8:41">
      <c r="H145" t="s">
        <v>1028</v>
      </c>
      <c r="I145" t="str">
        <f t="shared" si="3"/>
        <v>corby</v>
      </c>
      <c r="J145" t="str">
        <v>corby</v>
      </c>
      <c r="K145" t="str">
        <f>IFERROR(_xlfn.XLOOKUP(TRIM(H145), M:M, N:N, "Not Found"), "Not Found")</f>
        <v>Familial based</v>
      </c>
      <c r="V145" t="s">
        <v>972</v>
      </c>
      <c r="W145" t="s">
        <v>966</v>
      </c>
      <c r="X145">
        <f>Z145</f>
        <v>0</v>
      </c>
      <c r="Z145">
        <f>IFERROR(_xlfn.XLOOKUP(TRIM(V145), M:M, O:O, "Not Found"), "Not Found")</f>
        <v>0</v>
      </c>
      <c r="AG145" s="15">
        <v>0</v>
      </c>
      <c r="AH145" s="15">
        <v>0.5</v>
      </c>
      <c r="AI145" s="15">
        <v>0</v>
      </c>
      <c r="AJ145" s="15">
        <v>0</v>
      </c>
      <c r="AK145" s="15">
        <v>0</v>
      </c>
      <c r="AL145" s="15">
        <v>0</v>
      </c>
      <c r="AM145" s="15">
        <v>0</v>
      </c>
      <c r="AO145" t="s">
        <v>1240</v>
      </c>
    </row>
    <row r="146" spans="8:41">
      <c r="H146" t="s">
        <v>1073</v>
      </c>
      <c r="I146" t="str">
        <f t="shared" si="3"/>
        <v>convicted</v>
      </c>
      <c r="J146" t="str">
        <v>convicted</v>
      </c>
      <c r="K146" t="str">
        <f>IFERROR(_xlfn.XLOOKUP(TRIM(H146), M:M, N:N, "Not Found"), "Not Found")</f>
        <v>Legality based</v>
      </c>
      <c r="V146" t="s">
        <v>972</v>
      </c>
      <c r="W146" t="s">
        <v>966</v>
      </c>
      <c r="X146">
        <f>Z146</f>
        <v>0</v>
      </c>
      <c r="Z146">
        <f>IFERROR(_xlfn.XLOOKUP(TRIM(V146), M:M, O:O, "Not Found"), "Not Found")</f>
        <v>0</v>
      </c>
      <c r="AG146" s="15">
        <v>0</v>
      </c>
      <c r="AH146" s="15">
        <v>0</v>
      </c>
      <c r="AI146" s="15">
        <v>0</v>
      </c>
      <c r="AJ146" s="15">
        <v>0</v>
      </c>
      <c r="AK146" s="15">
        <v>0</v>
      </c>
      <c r="AL146" s="15">
        <v>0</v>
      </c>
      <c r="AM146" s="15">
        <v>0</v>
      </c>
      <c r="AO146" t="s">
        <v>1256</v>
      </c>
    </row>
    <row r="147" spans="8:41">
      <c r="H147" t="s">
        <v>965</v>
      </c>
      <c r="I147" t="str">
        <f t="shared" si="3"/>
        <v>schapelle corby</v>
      </c>
      <c r="J147" t="str">
        <v>schapelle corby</v>
      </c>
      <c r="K147" t="str">
        <f>IFERROR(_xlfn.XLOOKUP(TRIM(H147), M:M, N:N, "Not Found"), "Not Found")</f>
        <v>Case Related</v>
      </c>
      <c r="V147" t="s">
        <v>972</v>
      </c>
      <c r="W147" t="s">
        <v>966</v>
      </c>
      <c r="X147">
        <f>Z147</f>
        <v>0</v>
      </c>
      <c r="Z147">
        <f>IFERROR(_xlfn.XLOOKUP(TRIM(V147), M:M, O:O, "Not Found"), "Not Found")</f>
        <v>0</v>
      </c>
      <c r="AG147" s="15">
        <v>0</v>
      </c>
      <c r="AH147" s="15">
        <v>0</v>
      </c>
      <c r="AI147" s="15">
        <v>1</v>
      </c>
      <c r="AJ147" s="15">
        <v>0</v>
      </c>
      <c r="AK147" s="15">
        <v>0</v>
      </c>
      <c r="AL147" s="15">
        <v>0</v>
      </c>
      <c r="AM147" s="15">
        <v>0</v>
      </c>
      <c r="AO147" t="s">
        <v>1240</v>
      </c>
    </row>
    <row r="148" spans="8:41">
      <c r="H148" t="s">
        <v>1028</v>
      </c>
      <c r="I148" t="str">
        <f t="shared" si="3"/>
        <v>corby</v>
      </c>
      <c r="J148" t="str">
        <v>corby</v>
      </c>
      <c r="K148" t="str">
        <f>IFERROR(_xlfn.XLOOKUP(TRIM(H148), M:M, N:N, "Not Found"), "Not Found")</f>
        <v>Familial based</v>
      </c>
      <c r="V148" t="s">
        <v>972</v>
      </c>
      <c r="W148" t="s">
        <v>966</v>
      </c>
      <c r="X148">
        <f>Z148</f>
        <v>0</v>
      </c>
      <c r="Z148">
        <f>IFERROR(_xlfn.XLOOKUP(TRIM(V148), M:M, O:O, "Not Found"), "Not Found")</f>
        <v>0</v>
      </c>
      <c r="AG148" s="15">
        <v>0</v>
      </c>
      <c r="AH148" s="15">
        <v>0</v>
      </c>
      <c r="AI148" s="15">
        <v>0</v>
      </c>
      <c r="AJ148" s="15">
        <v>0</v>
      </c>
      <c r="AK148" s="15">
        <v>0</v>
      </c>
      <c r="AL148" s="15">
        <v>0</v>
      </c>
      <c r="AM148" s="15">
        <v>0</v>
      </c>
      <c r="AO148" t="s">
        <v>1240</v>
      </c>
    </row>
    <row r="149" spans="8:41">
      <c r="H149" t="s">
        <v>965</v>
      </c>
      <c r="I149" t="str">
        <f t="shared" si="3"/>
        <v>schapelle corby</v>
      </c>
      <c r="J149" t="str">
        <v>schapelle corby</v>
      </c>
      <c r="K149" t="str">
        <f>IFERROR(_xlfn.XLOOKUP(TRIM(H149), M:M, N:N, "Not Found"), "Not Found")</f>
        <v>Case Related</v>
      </c>
      <c r="V149" t="s">
        <v>972</v>
      </c>
      <c r="W149" t="s">
        <v>966</v>
      </c>
      <c r="X149">
        <f>Z149</f>
        <v>0</v>
      </c>
      <c r="Z149">
        <f>IFERROR(_xlfn.XLOOKUP(TRIM(V149), M:M, O:O, "Not Found"), "Not Found")</f>
        <v>0</v>
      </c>
      <c r="AG149" s="15">
        <v>0</v>
      </c>
      <c r="AH149" s="15">
        <v>0</v>
      </c>
      <c r="AI149" s="15">
        <v>0</v>
      </c>
      <c r="AJ149" s="15">
        <v>0</v>
      </c>
      <c r="AK149" s="15">
        <v>0</v>
      </c>
      <c r="AL149" s="15">
        <v>0</v>
      </c>
      <c r="AM149" s="15">
        <v>0</v>
      </c>
      <c r="AO149" t="s">
        <v>1240</v>
      </c>
    </row>
    <row r="150" spans="8:41">
      <c r="H150" t="s">
        <v>970</v>
      </c>
      <c r="I150" t="str">
        <f t="shared" si="3"/>
        <v>australian</v>
      </c>
      <c r="J150" t="str">
        <v>australian</v>
      </c>
      <c r="K150" t="str">
        <f>IFERROR(_xlfn.XLOOKUP(TRIM(H150), M:M, N:N, "Not Found"), "Not Found")</f>
        <v>Case Related</v>
      </c>
      <c r="V150" t="s">
        <v>978</v>
      </c>
      <c r="W150" t="s">
        <v>966</v>
      </c>
      <c r="X150">
        <f>Z150</f>
        <v>0</v>
      </c>
      <c r="Z150">
        <f>IFERROR(_xlfn.XLOOKUP(TRIM(V150), M:M, O:O, "Not Found"), "Not Found")</f>
        <v>0</v>
      </c>
      <c r="AG150" s="15">
        <v>0</v>
      </c>
      <c r="AH150" s="15">
        <v>0</v>
      </c>
      <c r="AI150" s="15">
        <v>0</v>
      </c>
      <c r="AJ150" s="15">
        <v>0</v>
      </c>
      <c r="AK150" s="15">
        <v>0</v>
      </c>
      <c r="AL150" s="15">
        <v>0</v>
      </c>
      <c r="AM150" s="15">
        <v>0</v>
      </c>
      <c r="AO150" t="s">
        <v>1240</v>
      </c>
    </row>
    <row r="151" spans="8:41">
      <c r="H151" t="s">
        <v>983</v>
      </c>
      <c r="I151" t="str">
        <f t="shared" si="3"/>
        <v>australia</v>
      </c>
      <c r="J151" t="str">
        <v>australia</v>
      </c>
      <c r="K151" t="str">
        <f>IFERROR(_xlfn.XLOOKUP(TRIM(H151), M:M, N:N, "Not Found"), "Not Found")</f>
        <v>Case Related</v>
      </c>
      <c r="V151" t="s">
        <v>978</v>
      </c>
      <c r="W151" t="s">
        <v>966</v>
      </c>
      <c r="X151">
        <f>Z151</f>
        <v>0</v>
      </c>
      <c r="Z151">
        <f>IFERROR(_xlfn.XLOOKUP(TRIM(V151), M:M, O:O, "Not Found"), "Not Found")</f>
        <v>0</v>
      </c>
      <c r="AG151" s="15">
        <v>0</v>
      </c>
      <c r="AH151" s="15">
        <v>0</v>
      </c>
      <c r="AI151" s="15">
        <v>0</v>
      </c>
      <c r="AJ151" s="15">
        <v>0</v>
      </c>
      <c r="AK151" s="15">
        <v>0</v>
      </c>
      <c r="AL151" s="15">
        <v>0</v>
      </c>
      <c r="AM151" s="15">
        <v>0</v>
      </c>
      <c r="AO151" t="s">
        <v>1240</v>
      </c>
    </row>
    <row r="152" spans="8:41">
      <c r="H152" t="s">
        <v>1028</v>
      </c>
      <c r="I152" t="str">
        <f t="shared" si="3"/>
        <v>corby</v>
      </c>
      <c r="J152" t="str">
        <v>corby</v>
      </c>
      <c r="K152" t="str">
        <f>IFERROR(_xlfn.XLOOKUP(TRIM(H152), M:M, N:N, "Not Found"), "Not Found")</f>
        <v>Familial based</v>
      </c>
      <c r="V152" t="s">
        <v>978</v>
      </c>
      <c r="W152" t="s">
        <v>966</v>
      </c>
      <c r="X152">
        <f>Z152</f>
        <v>0</v>
      </c>
      <c r="Z152">
        <f>IFERROR(_xlfn.XLOOKUP(TRIM(V152), M:M, O:O, "Not Found"), "Not Found")</f>
        <v>0</v>
      </c>
      <c r="AG152" s="15">
        <v>0</v>
      </c>
      <c r="AH152" s="15">
        <v>0</v>
      </c>
      <c r="AI152" s="15">
        <v>0</v>
      </c>
      <c r="AJ152" s="15">
        <v>0</v>
      </c>
      <c r="AK152" s="15">
        <v>0</v>
      </c>
      <c r="AL152" s="15">
        <v>0</v>
      </c>
      <c r="AM152" s="15">
        <v>0</v>
      </c>
      <c r="AO152" t="s">
        <v>1240</v>
      </c>
    </row>
    <row r="153" spans="8:41">
      <c r="H153" t="s">
        <v>965</v>
      </c>
      <c r="I153" t="str">
        <f t="shared" si="3"/>
        <v>schapelle corby</v>
      </c>
      <c r="J153" t="str">
        <v>schapelle corby</v>
      </c>
      <c r="K153" t="str">
        <f>IFERROR(_xlfn.XLOOKUP(TRIM(H153), M:M, N:N, "Not Found"), "Not Found")</f>
        <v>Case Related</v>
      </c>
      <c r="V153" t="s">
        <v>978</v>
      </c>
      <c r="W153" t="s">
        <v>966</v>
      </c>
      <c r="X153">
        <f>Z153</f>
        <v>0</v>
      </c>
      <c r="Z153">
        <f>IFERROR(_xlfn.XLOOKUP(TRIM(V153), M:M, O:O, "Not Found"), "Not Found")</f>
        <v>0</v>
      </c>
      <c r="AG153" s="15">
        <v>0</v>
      </c>
      <c r="AH153" s="15">
        <v>0</v>
      </c>
      <c r="AI153" s="15">
        <v>0</v>
      </c>
      <c r="AJ153" s="15">
        <v>0</v>
      </c>
      <c r="AK153" s="15">
        <v>0</v>
      </c>
      <c r="AL153" s="15">
        <v>0</v>
      </c>
      <c r="AM153" s="15">
        <v>0</v>
      </c>
      <c r="AO153" t="s">
        <v>1246</v>
      </c>
    </row>
    <row r="154" spans="8:41">
      <c r="H154" t="s">
        <v>970</v>
      </c>
      <c r="I154" t="str">
        <f t="shared" si="3"/>
        <v>australian</v>
      </c>
      <c r="J154" t="str">
        <v>australian</v>
      </c>
      <c r="K154" t="str">
        <f>IFERROR(_xlfn.XLOOKUP(TRIM(H154), M:M, N:N, "Not Found"), "Not Found")</f>
        <v>Case Related</v>
      </c>
      <c r="V154" t="s">
        <v>978</v>
      </c>
      <c r="W154" t="s">
        <v>966</v>
      </c>
      <c r="X154">
        <f>Z154</f>
        <v>0</v>
      </c>
      <c r="Z154">
        <f>IFERROR(_xlfn.XLOOKUP(TRIM(V154), M:M, O:O, "Not Found"), "Not Found")</f>
        <v>0</v>
      </c>
      <c r="AG154" s="15">
        <v>0</v>
      </c>
      <c r="AH154" s="15">
        <v>0</v>
      </c>
      <c r="AI154" s="15">
        <v>0</v>
      </c>
      <c r="AJ154" s="15">
        <v>0</v>
      </c>
      <c r="AK154" s="15">
        <v>0</v>
      </c>
      <c r="AL154" s="15">
        <v>0</v>
      </c>
      <c r="AM154" s="15">
        <v>0</v>
      </c>
      <c r="AO154" t="s">
        <v>1246</v>
      </c>
    </row>
    <row r="155" spans="8:41">
      <c r="H155" t="s">
        <v>983</v>
      </c>
      <c r="I155" t="str">
        <f t="shared" si="3"/>
        <v>australia</v>
      </c>
      <c r="J155" t="str">
        <v>australia</v>
      </c>
      <c r="K155" t="str">
        <f>IFERROR(_xlfn.XLOOKUP(TRIM(H155), M:M, N:N, "Not Found"), "Not Found")</f>
        <v>Case Related</v>
      </c>
      <c r="V155" t="s">
        <v>978</v>
      </c>
      <c r="W155" t="s">
        <v>966</v>
      </c>
      <c r="X155">
        <f>Z155</f>
        <v>0</v>
      </c>
      <c r="Z155">
        <f>IFERROR(_xlfn.XLOOKUP(TRIM(V155), M:M, O:O, "Not Found"), "Not Found")</f>
        <v>0</v>
      </c>
      <c r="AG155" s="15">
        <v>0</v>
      </c>
      <c r="AH155" s="15">
        <v>0</v>
      </c>
      <c r="AI155" s="15">
        <v>0</v>
      </c>
      <c r="AJ155" s="15">
        <v>0</v>
      </c>
      <c r="AK155" s="15">
        <v>0</v>
      </c>
      <c r="AL155" s="15">
        <v>0</v>
      </c>
      <c r="AM155" s="15">
        <v>0</v>
      </c>
      <c r="AO155" t="s">
        <v>1240</v>
      </c>
    </row>
    <row r="156" spans="8:41">
      <c r="H156" t="s">
        <v>1028</v>
      </c>
      <c r="I156" t="str">
        <f t="shared" si="3"/>
        <v>corby</v>
      </c>
      <c r="J156" t="str">
        <v>corby</v>
      </c>
      <c r="K156" t="str">
        <f>IFERROR(_xlfn.XLOOKUP(TRIM(H156), M:M, N:N, "Not Found"), "Not Found")</f>
        <v>Familial based</v>
      </c>
      <c r="V156" t="s">
        <v>1239</v>
      </c>
      <c r="W156" t="s">
        <v>1107</v>
      </c>
      <c r="X156">
        <v>0</v>
      </c>
      <c r="Z156" t="str">
        <f>IFERROR(_xlfn.XLOOKUP(TRIM(V156), M:M, O:O, "Not Found"), "Not Found")</f>
        <v>Not Found</v>
      </c>
      <c r="AG156" s="15">
        <v>0</v>
      </c>
      <c r="AH156" s="15">
        <v>0</v>
      </c>
      <c r="AI156" s="15">
        <v>0</v>
      </c>
      <c r="AJ156" s="15">
        <v>0</v>
      </c>
      <c r="AK156" s="15">
        <v>0</v>
      </c>
      <c r="AL156" s="15">
        <v>0</v>
      </c>
      <c r="AM156" s="15">
        <v>0</v>
      </c>
      <c r="AO156" t="s">
        <v>1240</v>
      </c>
    </row>
    <row r="157" spans="8:41">
      <c r="H157" t="s">
        <v>965</v>
      </c>
      <c r="I157" t="str">
        <f t="shared" si="3"/>
        <v>schapelle corby</v>
      </c>
      <c r="J157" t="str">
        <v>schapelle corby</v>
      </c>
      <c r="K157" t="str">
        <f>IFERROR(_xlfn.XLOOKUP(TRIM(H157), M:M, N:N, "Not Found"), "Not Found")</f>
        <v>Case Related</v>
      </c>
      <c r="V157" t="s">
        <v>1239</v>
      </c>
      <c r="W157" t="s">
        <v>1107</v>
      </c>
      <c r="X157">
        <v>0</v>
      </c>
      <c r="Z157" t="str">
        <f>IFERROR(_xlfn.XLOOKUP(TRIM(V157), M:M, O:O, "Not Found"), "Not Found")</f>
        <v>Not Found</v>
      </c>
      <c r="AG157" s="15">
        <v>0</v>
      </c>
      <c r="AH157" s="15">
        <v>0</v>
      </c>
      <c r="AI157" s="15">
        <v>0</v>
      </c>
      <c r="AJ157" s="15">
        <v>0</v>
      </c>
      <c r="AK157" s="15">
        <v>0</v>
      </c>
      <c r="AL157" s="15">
        <v>0</v>
      </c>
      <c r="AM157" s="15">
        <v>0</v>
      </c>
      <c r="AO157" t="s">
        <v>1245</v>
      </c>
    </row>
    <row r="158" spans="8:41">
      <c r="H158" t="s">
        <v>970</v>
      </c>
      <c r="I158" t="str">
        <f t="shared" si="3"/>
        <v>australian</v>
      </c>
      <c r="J158" t="str">
        <v>australian</v>
      </c>
      <c r="K158" t="str">
        <f>IFERROR(_xlfn.XLOOKUP(TRIM(H158), M:M, N:N, "Not Found"), "Not Found")</f>
        <v>Case Related</v>
      </c>
      <c r="V158" t="s">
        <v>1239</v>
      </c>
      <c r="W158" t="s">
        <v>1107</v>
      </c>
      <c r="X158">
        <v>0</v>
      </c>
      <c r="Z158" t="str">
        <f>IFERROR(_xlfn.XLOOKUP(TRIM(V158), M:M, O:O, "Not Found"), "Not Found")</f>
        <v>Not Found</v>
      </c>
      <c r="AG158" s="15">
        <v>0</v>
      </c>
      <c r="AH158" s="15">
        <v>0</v>
      </c>
      <c r="AI158" s="15">
        <v>0</v>
      </c>
      <c r="AJ158" s="15">
        <v>0</v>
      </c>
      <c r="AK158" s="15">
        <v>0</v>
      </c>
      <c r="AL158" s="15">
        <v>0</v>
      </c>
      <c r="AM158" s="15">
        <v>0</v>
      </c>
      <c r="AO158" t="s">
        <v>1007</v>
      </c>
    </row>
    <row r="159" spans="8:41">
      <c r="H159" t="s">
        <v>983</v>
      </c>
      <c r="I159" t="str">
        <f t="shared" si="3"/>
        <v>australia</v>
      </c>
      <c r="J159" t="str">
        <v>australia</v>
      </c>
      <c r="K159" t="str">
        <f>IFERROR(_xlfn.XLOOKUP(TRIM(H159), M:M, N:N, "Not Found"), "Not Found")</f>
        <v>Case Related</v>
      </c>
      <c r="V159" t="s">
        <v>1239</v>
      </c>
      <c r="W159" t="s">
        <v>1107</v>
      </c>
      <c r="X159">
        <v>0</v>
      </c>
      <c r="Z159" t="str">
        <f>IFERROR(_xlfn.XLOOKUP(TRIM(V159), M:M, O:O, "Not Found"), "Not Found")</f>
        <v>Not Found</v>
      </c>
      <c r="AG159" s="15">
        <v>0</v>
      </c>
      <c r="AH159" s="15">
        <v>0</v>
      </c>
      <c r="AI159" s="15">
        <v>1</v>
      </c>
      <c r="AJ159" s="15">
        <v>0</v>
      </c>
      <c r="AK159" s="15">
        <v>0</v>
      </c>
      <c r="AL159" s="15">
        <v>0</v>
      </c>
      <c r="AM159" s="15">
        <v>0</v>
      </c>
      <c r="AO159" t="s">
        <v>1262</v>
      </c>
    </row>
    <row r="160" spans="8:41">
      <c r="H160" t="s">
        <v>1028</v>
      </c>
      <c r="I160" t="str">
        <f t="shared" si="3"/>
        <v>corby</v>
      </c>
      <c r="J160" t="str">
        <v>corby</v>
      </c>
      <c r="K160" t="str">
        <f>IFERROR(_xlfn.XLOOKUP(TRIM(H160), M:M, N:N, "Not Found"), "Not Found")</f>
        <v>Familial based</v>
      </c>
      <c r="V160" t="s">
        <v>1239</v>
      </c>
      <c r="W160" t="s">
        <v>1107</v>
      </c>
      <c r="X160">
        <v>0</v>
      </c>
      <c r="Z160" t="str">
        <f>IFERROR(_xlfn.XLOOKUP(TRIM(V160), M:M, O:O, "Not Found"), "Not Found")</f>
        <v>Not Found</v>
      </c>
      <c r="AG160" s="15">
        <v>0</v>
      </c>
      <c r="AH160" s="15">
        <v>0</v>
      </c>
      <c r="AI160" s="15">
        <v>1</v>
      </c>
      <c r="AJ160" s="15">
        <v>0</v>
      </c>
      <c r="AK160" s="15">
        <v>0</v>
      </c>
      <c r="AL160" s="15">
        <v>0</v>
      </c>
      <c r="AM160" s="15">
        <v>0</v>
      </c>
      <c r="AO160" t="s">
        <v>1262</v>
      </c>
    </row>
    <row r="161" spans="8:41">
      <c r="H161" t="s">
        <v>965</v>
      </c>
      <c r="I161" t="str">
        <f t="shared" si="3"/>
        <v>schapelle corby</v>
      </c>
      <c r="J161" t="str">
        <v>schapelle corby</v>
      </c>
      <c r="K161" t="str">
        <f>IFERROR(_xlfn.XLOOKUP(TRIM(H161), M:M, N:N, "Not Found"), "Not Found")</f>
        <v>Case Related</v>
      </c>
      <c r="V161" t="s">
        <v>1239</v>
      </c>
      <c r="W161" t="s">
        <v>1107</v>
      </c>
      <c r="X161">
        <v>0</v>
      </c>
      <c r="Z161" t="str">
        <f>IFERROR(_xlfn.XLOOKUP(TRIM(V161), M:M, O:O, "Not Found"), "Not Found")</f>
        <v>Not Found</v>
      </c>
      <c r="AG161" s="15">
        <v>0</v>
      </c>
      <c r="AH161" s="15">
        <v>0</v>
      </c>
      <c r="AI161" s="15">
        <v>1</v>
      </c>
      <c r="AJ161" s="15">
        <v>0</v>
      </c>
      <c r="AK161" s="15">
        <v>0</v>
      </c>
      <c r="AL161" s="15">
        <v>0</v>
      </c>
      <c r="AM161" s="15">
        <v>0</v>
      </c>
      <c r="AO161" t="s">
        <v>1263</v>
      </c>
    </row>
    <row r="162" spans="8:41">
      <c r="H162" t="s">
        <v>1028</v>
      </c>
      <c r="I162" t="str">
        <f t="shared" si="3"/>
        <v>corby</v>
      </c>
      <c r="J162" t="str">
        <v>corby</v>
      </c>
      <c r="K162" t="str">
        <f>IFERROR(_xlfn.XLOOKUP(TRIM(H162), M:M, N:N, "Not Found"), "Not Found")</f>
        <v>Familial based</v>
      </c>
      <c r="V162" t="s">
        <v>1239</v>
      </c>
      <c r="W162" t="s">
        <v>1107</v>
      </c>
      <c r="X162">
        <v>0</v>
      </c>
      <c r="Z162" t="str">
        <f>IFERROR(_xlfn.XLOOKUP(TRIM(V162), M:M, O:O, "Not Found"), "Not Found")</f>
        <v>Not Found</v>
      </c>
      <c r="AG162" s="15">
        <v>0</v>
      </c>
      <c r="AH162" s="15">
        <v>1</v>
      </c>
      <c r="AI162" s="15">
        <v>1</v>
      </c>
      <c r="AJ162" s="15">
        <v>0</v>
      </c>
      <c r="AK162" s="15">
        <v>0</v>
      </c>
      <c r="AL162" s="15">
        <v>0</v>
      </c>
      <c r="AM162" s="15">
        <v>0</v>
      </c>
      <c r="AO162" t="s">
        <v>1255</v>
      </c>
    </row>
    <row r="163" spans="8:41">
      <c r="H163" t="s">
        <v>965</v>
      </c>
      <c r="I163" t="str">
        <f t="shared" si="3"/>
        <v>schapelle corby</v>
      </c>
      <c r="J163" t="str">
        <v>schapelle corby</v>
      </c>
      <c r="K163" t="str">
        <f>IFERROR(_xlfn.XLOOKUP(TRIM(H163), M:M, N:N, "Not Found"), "Not Found")</f>
        <v>Case Related</v>
      </c>
      <c r="V163" t="s">
        <v>1239</v>
      </c>
      <c r="W163" t="s">
        <v>1107</v>
      </c>
      <c r="X163">
        <v>0</v>
      </c>
      <c r="Z163" t="str">
        <f>IFERROR(_xlfn.XLOOKUP(TRIM(V163), M:M, O:O, "Not Found"), "Not Found")</f>
        <v>Not Found</v>
      </c>
      <c r="AG163" s="15">
        <v>0</v>
      </c>
      <c r="AH163" s="15">
        <v>0</v>
      </c>
      <c r="AI163" s="15">
        <v>0</v>
      </c>
      <c r="AJ163" s="15">
        <v>0</v>
      </c>
      <c r="AK163" s="15">
        <v>0</v>
      </c>
      <c r="AL163" s="15">
        <v>0</v>
      </c>
      <c r="AM163" s="15">
        <v>0</v>
      </c>
      <c r="AO163" t="s">
        <v>1264</v>
      </c>
    </row>
    <row r="164" spans="8:41">
      <c r="H164" t="s">
        <v>1028</v>
      </c>
      <c r="I164" t="str">
        <f t="shared" si="3"/>
        <v>corby</v>
      </c>
      <c r="J164" t="str">
        <v>corby</v>
      </c>
      <c r="K164" t="str">
        <f>IFERROR(_xlfn.XLOOKUP(TRIM(H164), M:M, N:N, "Not Found"), "Not Found")</f>
        <v>Familial based</v>
      </c>
      <c r="V164" t="s">
        <v>1239</v>
      </c>
      <c r="W164" t="s">
        <v>1107</v>
      </c>
      <c r="X164">
        <v>0</v>
      </c>
      <c r="Z164" t="str">
        <f>IFERROR(_xlfn.XLOOKUP(TRIM(V164), M:M, O:O, "Not Found"), "Not Found")</f>
        <v>Not Found</v>
      </c>
      <c r="AG164" s="15">
        <v>0</v>
      </c>
      <c r="AH164" s="15">
        <v>0</v>
      </c>
      <c r="AI164" s="15">
        <v>1</v>
      </c>
      <c r="AJ164" s="15">
        <v>0</v>
      </c>
      <c r="AK164" s="15">
        <v>0</v>
      </c>
      <c r="AL164" s="15">
        <v>0</v>
      </c>
      <c r="AM164" s="15">
        <v>0</v>
      </c>
      <c r="AO164" t="s">
        <v>985</v>
      </c>
    </row>
    <row r="165" spans="8:41">
      <c r="H165" t="s">
        <v>965</v>
      </c>
      <c r="I165" t="str">
        <f t="shared" si="3"/>
        <v>schapelle corby</v>
      </c>
      <c r="J165" t="str">
        <v>schapelle corby</v>
      </c>
      <c r="K165" t="str">
        <f>IFERROR(_xlfn.XLOOKUP(TRIM(H165), M:M, N:N, "Not Found"), "Not Found")</f>
        <v>Case Related</v>
      </c>
      <c r="V165" t="s">
        <v>1239</v>
      </c>
      <c r="W165" t="s">
        <v>1107</v>
      </c>
      <c r="X165">
        <v>0</v>
      </c>
      <c r="Z165" t="str">
        <f>IFERROR(_xlfn.XLOOKUP(TRIM(V165), M:M, O:O, "Not Found"), "Not Found")</f>
        <v>Not Found</v>
      </c>
      <c r="AG165" s="15">
        <v>0</v>
      </c>
      <c r="AH165" s="15">
        <v>1</v>
      </c>
      <c r="AI165" s="15">
        <v>0</v>
      </c>
      <c r="AJ165" s="15">
        <v>0</v>
      </c>
      <c r="AK165" s="15">
        <v>0</v>
      </c>
      <c r="AL165" s="15">
        <v>0</v>
      </c>
      <c r="AM165" s="15">
        <v>0</v>
      </c>
      <c r="AO165" t="s">
        <v>1255</v>
      </c>
    </row>
    <row r="166" spans="8:41">
      <c r="H166" t="s">
        <v>970</v>
      </c>
      <c r="I166" t="str">
        <f t="shared" si="3"/>
        <v>australian</v>
      </c>
      <c r="J166" t="str">
        <v>australian</v>
      </c>
      <c r="K166" t="str">
        <f>IFERROR(_xlfn.XLOOKUP(TRIM(H166), M:M, N:N, "Not Found"), "Not Found")</f>
        <v>Case Related</v>
      </c>
      <c r="V166" t="s">
        <v>982</v>
      </c>
      <c r="W166" t="s">
        <v>966</v>
      </c>
      <c r="X166">
        <f>Z166</f>
        <v>0</v>
      </c>
      <c r="Z166">
        <f>IFERROR(_xlfn.XLOOKUP(TRIM(V166), M:M, O:O, "Not Found"), "Not Found")</f>
        <v>0</v>
      </c>
      <c r="AG166" s="15">
        <v>0</v>
      </c>
      <c r="AH166" s="15">
        <v>0</v>
      </c>
      <c r="AI166" s="15">
        <v>0</v>
      </c>
      <c r="AJ166" s="15">
        <v>0</v>
      </c>
      <c r="AK166" s="15">
        <v>0</v>
      </c>
      <c r="AL166" s="15">
        <v>0</v>
      </c>
      <c r="AM166" s="15">
        <v>0</v>
      </c>
      <c r="AO166" t="s">
        <v>1058</v>
      </c>
    </row>
    <row r="167" spans="8:41">
      <c r="H167" t="s">
        <v>983</v>
      </c>
      <c r="I167" t="str">
        <f t="shared" si="3"/>
        <v>australia</v>
      </c>
      <c r="J167" t="str">
        <v>australia</v>
      </c>
      <c r="K167" t="str">
        <f>IFERROR(_xlfn.XLOOKUP(TRIM(H167), M:M, N:N, "Not Found"), "Not Found")</f>
        <v>Case Related</v>
      </c>
      <c r="V167" t="s">
        <v>982</v>
      </c>
      <c r="W167" t="s">
        <v>966</v>
      </c>
      <c r="X167">
        <f>Z167</f>
        <v>0</v>
      </c>
      <c r="Z167">
        <f>IFERROR(_xlfn.XLOOKUP(TRIM(V167), M:M, O:O, "Not Found"), "Not Found")</f>
        <v>0</v>
      </c>
      <c r="AG167" s="15">
        <v>0</v>
      </c>
      <c r="AH167" s="15">
        <v>0</v>
      </c>
      <c r="AI167" s="15">
        <v>0</v>
      </c>
      <c r="AJ167" s="15">
        <v>0</v>
      </c>
      <c r="AK167" s="15">
        <v>0</v>
      </c>
      <c r="AL167" s="15">
        <v>0</v>
      </c>
      <c r="AM167" s="15">
        <v>0</v>
      </c>
      <c r="AO167" t="s">
        <v>1255</v>
      </c>
    </row>
    <row r="168" spans="8:41">
      <c r="H168" t="s">
        <v>1028</v>
      </c>
      <c r="I168" t="str">
        <f t="shared" si="3"/>
        <v>corby</v>
      </c>
      <c r="J168" t="str">
        <v>corby</v>
      </c>
      <c r="K168" t="str">
        <f>IFERROR(_xlfn.XLOOKUP(TRIM(H168), M:M, N:N, "Not Found"), "Not Found")</f>
        <v>Familial based</v>
      </c>
      <c r="V168" t="s">
        <v>965</v>
      </c>
      <c r="W168" t="s">
        <v>966</v>
      </c>
      <c r="X168">
        <f>Z168</f>
        <v>0</v>
      </c>
      <c r="Z168">
        <f>IFERROR(_xlfn.XLOOKUP(TRIM(V168), M:M, O:O, "Not Found"), "Not Found")</f>
        <v>0</v>
      </c>
      <c r="AG168" s="15">
        <v>0</v>
      </c>
      <c r="AH168" s="15">
        <v>0</v>
      </c>
      <c r="AI168" s="15">
        <v>0</v>
      </c>
      <c r="AJ168" s="15">
        <v>0</v>
      </c>
      <c r="AK168" s="15">
        <v>0</v>
      </c>
      <c r="AL168" s="15">
        <v>0</v>
      </c>
      <c r="AM168" s="15">
        <v>0</v>
      </c>
      <c r="AO168" t="s">
        <v>1058</v>
      </c>
    </row>
    <row r="169" spans="8:41">
      <c r="H169" t="s">
        <v>965</v>
      </c>
      <c r="I169" t="str">
        <f t="shared" si="3"/>
        <v>schapelle corby</v>
      </c>
      <c r="J169" t="str">
        <v>schapelle corby</v>
      </c>
      <c r="K169" t="str">
        <f>IFERROR(_xlfn.XLOOKUP(TRIM(H169), M:M, N:N, "Not Found"), "Not Found")</f>
        <v>Case Related</v>
      </c>
      <c r="V169" t="s">
        <v>965</v>
      </c>
      <c r="W169" t="s">
        <v>966</v>
      </c>
      <c r="X169">
        <f>Z169</f>
        <v>0</v>
      </c>
      <c r="Z169">
        <f>IFERROR(_xlfn.XLOOKUP(TRIM(V169), M:M, O:O, "Not Found"), "Not Found")</f>
        <v>0</v>
      </c>
      <c r="AG169" s="15">
        <v>0</v>
      </c>
      <c r="AH169" s="15">
        <v>0</v>
      </c>
      <c r="AI169" s="15">
        <v>0</v>
      </c>
      <c r="AJ169" s="15">
        <v>0</v>
      </c>
      <c r="AK169" s="15">
        <v>0</v>
      </c>
      <c r="AL169" s="15">
        <v>0</v>
      </c>
      <c r="AM169" s="15">
        <v>0</v>
      </c>
      <c r="AO169" t="s">
        <v>1255</v>
      </c>
    </row>
    <row r="170" spans="8:41">
      <c r="H170" t="s">
        <v>1028</v>
      </c>
      <c r="I170" t="str">
        <f t="shared" si="3"/>
        <v>corby</v>
      </c>
      <c r="J170" t="str">
        <v>corby</v>
      </c>
      <c r="K170" t="str">
        <f>IFERROR(_xlfn.XLOOKUP(TRIM(H170), M:M, N:N, "Not Found"), "Not Found")</f>
        <v>Familial based</v>
      </c>
      <c r="V170" t="s">
        <v>965</v>
      </c>
      <c r="W170" t="s">
        <v>966</v>
      </c>
      <c r="X170">
        <f>Z170</f>
        <v>0</v>
      </c>
      <c r="Z170">
        <f>IFERROR(_xlfn.XLOOKUP(TRIM(V170), M:M, O:O, "Not Found"), "Not Found")</f>
        <v>0</v>
      </c>
      <c r="AG170" s="15">
        <v>0</v>
      </c>
      <c r="AH170" s="15">
        <v>0</v>
      </c>
      <c r="AI170" s="15">
        <v>0</v>
      </c>
      <c r="AJ170" s="15">
        <v>0</v>
      </c>
      <c r="AK170" s="15">
        <v>0</v>
      </c>
      <c r="AL170" s="15">
        <v>0</v>
      </c>
      <c r="AM170" s="15">
        <v>0</v>
      </c>
      <c r="AO170" t="s">
        <v>966</v>
      </c>
    </row>
    <row r="171" spans="8:41">
      <c r="H171" t="s">
        <v>965</v>
      </c>
      <c r="I171" t="str">
        <f t="shared" si="3"/>
        <v>schapelle corby</v>
      </c>
      <c r="J171" t="str">
        <v>schapelle corby</v>
      </c>
      <c r="K171" t="str">
        <f>IFERROR(_xlfn.XLOOKUP(TRIM(H171), M:M, N:N, "Not Found"), "Not Found")</f>
        <v>Case Related</v>
      </c>
      <c r="V171" t="s">
        <v>965</v>
      </c>
      <c r="W171" t="s">
        <v>966</v>
      </c>
      <c r="X171">
        <f>Z171</f>
        <v>0</v>
      </c>
      <c r="Z171">
        <f>IFERROR(_xlfn.XLOOKUP(TRIM(V171), M:M, O:O, "Not Found"), "Not Found")</f>
        <v>0</v>
      </c>
      <c r="AG171" s="15">
        <v>0</v>
      </c>
      <c r="AH171" s="15">
        <v>0</v>
      </c>
      <c r="AI171" s="15">
        <v>3</v>
      </c>
      <c r="AJ171" s="15">
        <v>0</v>
      </c>
      <c r="AK171" s="15">
        <v>0</v>
      </c>
      <c r="AL171" s="15">
        <v>0</v>
      </c>
      <c r="AM171" s="15">
        <v>0</v>
      </c>
      <c r="AO171" t="s">
        <v>1255</v>
      </c>
    </row>
    <row r="172" spans="8:41">
      <c r="H172" t="s">
        <v>1020</v>
      </c>
      <c r="I172" t="str">
        <f t="shared" si="3"/>
        <v>af</v>
      </c>
      <c r="J172" t="str">
        <v>af</v>
      </c>
      <c r="K172" t="str">
        <f>IFERROR(_xlfn.XLOOKUP(TRIM(H172), M:M, N:N, "Not Found"), "Not Found")</f>
        <v>Intelligence based</v>
      </c>
      <c r="V172" t="s">
        <v>965</v>
      </c>
      <c r="W172" t="s">
        <v>966</v>
      </c>
      <c r="X172">
        <f>Z172</f>
        <v>0</v>
      </c>
      <c r="Z172">
        <f>IFERROR(_xlfn.XLOOKUP(TRIM(V172), M:M, O:O, "Not Found"), "Not Found")</f>
        <v>0</v>
      </c>
      <c r="AG172" s="15">
        <v>0</v>
      </c>
      <c r="AH172" s="15">
        <v>0</v>
      </c>
      <c r="AI172" s="15">
        <v>0</v>
      </c>
      <c r="AJ172" s="15">
        <v>0</v>
      </c>
      <c r="AK172" s="15">
        <v>0</v>
      </c>
      <c r="AL172" s="15">
        <v>0</v>
      </c>
      <c r="AM172" s="15">
        <v>0</v>
      </c>
      <c r="AO172" t="s">
        <v>1032</v>
      </c>
    </row>
    <row r="173" spans="8:41">
      <c r="H173" t="s">
        <v>1028</v>
      </c>
      <c r="I173" t="str">
        <f t="shared" si="3"/>
        <v>corby</v>
      </c>
      <c r="J173" t="str">
        <v>corby</v>
      </c>
      <c r="K173" t="str">
        <f>IFERROR(_xlfn.XLOOKUP(TRIM(H173), M:M, N:N, "Not Found"), "Not Found")</f>
        <v>Familial based</v>
      </c>
      <c r="V173" t="s">
        <v>965</v>
      </c>
      <c r="W173" t="s">
        <v>966</v>
      </c>
      <c r="X173">
        <f>Z173</f>
        <v>0</v>
      </c>
      <c r="Z173">
        <f>IFERROR(_xlfn.XLOOKUP(TRIM(V173), M:M, O:O, "Not Found"), "Not Found")</f>
        <v>0</v>
      </c>
      <c r="AG173" s="15">
        <v>0</v>
      </c>
      <c r="AH173" s="15">
        <v>0</v>
      </c>
      <c r="AI173" s="15">
        <v>0</v>
      </c>
      <c r="AJ173" s="15">
        <v>0</v>
      </c>
      <c r="AK173" s="15">
        <v>3</v>
      </c>
      <c r="AL173" s="15">
        <v>0</v>
      </c>
      <c r="AM173" s="15">
        <v>0</v>
      </c>
      <c r="AO173" t="s">
        <v>1255</v>
      </c>
    </row>
    <row r="174" spans="8:41">
      <c r="H174" t="s">
        <v>965</v>
      </c>
      <c r="I174" t="str">
        <f t="shared" si="3"/>
        <v>schapelle corby</v>
      </c>
      <c r="J174" t="str">
        <v>schapelle corby</v>
      </c>
      <c r="K174" t="str">
        <f>IFERROR(_xlfn.XLOOKUP(TRIM(H174), M:M, N:N, "Not Found"), "Not Found")</f>
        <v>Case Related</v>
      </c>
      <c r="V174" t="s">
        <v>965</v>
      </c>
      <c r="W174" t="s">
        <v>966</v>
      </c>
      <c r="X174">
        <f>Z174</f>
        <v>0</v>
      </c>
      <c r="Z174">
        <f>IFERROR(_xlfn.XLOOKUP(TRIM(V174), M:M, O:O, "Not Found"), "Not Found")</f>
        <v>0</v>
      </c>
      <c r="AG174" s="15">
        <v>0</v>
      </c>
      <c r="AH174" s="15">
        <v>0</v>
      </c>
      <c r="AI174" s="15">
        <v>0</v>
      </c>
      <c r="AJ174" s="15">
        <v>0</v>
      </c>
      <c r="AK174" s="15">
        <v>0</v>
      </c>
      <c r="AL174" s="15">
        <v>0</v>
      </c>
      <c r="AM174" s="15">
        <v>0</v>
      </c>
      <c r="AO174" t="s">
        <v>1255</v>
      </c>
    </row>
    <row r="175" spans="8:41">
      <c r="H175" t="s">
        <v>1028</v>
      </c>
      <c r="I175" t="str">
        <f t="shared" si="3"/>
        <v>corby</v>
      </c>
      <c r="J175" t="str">
        <v>corby</v>
      </c>
      <c r="K175" t="str">
        <f>IFERROR(_xlfn.XLOOKUP(TRIM(H175), M:M, N:N, "Not Found"), "Not Found")</f>
        <v>Familial based</v>
      </c>
      <c r="V175" t="s">
        <v>965</v>
      </c>
      <c r="W175" t="s">
        <v>966</v>
      </c>
      <c r="X175">
        <f>Z175</f>
        <v>0</v>
      </c>
      <c r="Z175">
        <f>IFERROR(_xlfn.XLOOKUP(TRIM(V175), M:M, O:O, "Not Found"), "Not Found")</f>
        <v>0</v>
      </c>
      <c r="AG175" s="15">
        <v>0</v>
      </c>
      <c r="AH175" s="15">
        <v>0</v>
      </c>
      <c r="AI175" s="15">
        <v>0</v>
      </c>
      <c r="AJ175" s="15">
        <v>0</v>
      </c>
      <c r="AK175" s="15">
        <v>0</v>
      </c>
      <c r="AL175" s="15">
        <v>0</v>
      </c>
      <c r="AM175" s="15">
        <v>0</v>
      </c>
      <c r="AO175" t="s">
        <v>1255</v>
      </c>
    </row>
    <row r="176" spans="8:41">
      <c r="H176" t="s">
        <v>965</v>
      </c>
      <c r="I176" t="str">
        <f t="shared" si="3"/>
        <v>schapelle corby</v>
      </c>
      <c r="J176" t="str">
        <v>schapelle corby</v>
      </c>
      <c r="K176" t="str">
        <f>IFERROR(_xlfn.XLOOKUP(TRIM(H176), M:M, N:N, "Not Found"), "Not Found")</f>
        <v>Case Related</v>
      </c>
      <c r="V176" t="s">
        <v>965</v>
      </c>
      <c r="W176" t="s">
        <v>966</v>
      </c>
      <c r="X176">
        <f>Z176</f>
        <v>0</v>
      </c>
      <c r="Z176">
        <f>IFERROR(_xlfn.XLOOKUP(TRIM(V176), M:M, O:O, "Not Found"), "Not Found")</f>
        <v>0</v>
      </c>
      <c r="AG176" s="15">
        <v>0</v>
      </c>
      <c r="AH176" s="15">
        <v>0</v>
      </c>
      <c r="AI176" s="15">
        <v>0</v>
      </c>
      <c r="AJ176" s="15">
        <v>0</v>
      </c>
      <c r="AK176" s="15">
        <v>0</v>
      </c>
      <c r="AL176" s="15">
        <v>0</v>
      </c>
      <c r="AM176" s="15">
        <v>0</v>
      </c>
      <c r="AO176" t="s">
        <v>1255</v>
      </c>
    </row>
    <row r="177" spans="8:41">
      <c r="H177" t="s">
        <v>968</v>
      </c>
      <c r="I177" t="str">
        <f t="shared" si="3"/>
        <v>boogie board</v>
      </c>
      <c r="J177" t="str">
        <v>boogie board</v>
      </c>
      <c r="K177" t="str">
        <f>IFERROR(_xlfn.XLOOKUP(TRIM(H177), M:M, N:N, "Not Found"), "Not Found")</f>
        <v>Case Related</v>
      </c>
      <c r="V177" t="s">
        <v>965</v>
      </c>
      <c r="W177" t="s">
        <v>966</v>
      </c>
      <c r="X177">
        <f>Z177</f>
        <v>0</v>
      </c>
      <c r="Z177">
        <f>IFERROR(_xlfn.XLOOKUP(TRIM(V177), M:M, O:O, "Not Found"), "Not Found")</f>
        <v>0</v>
      </c>
      <c r="AG177" s="15">
        <v>0</v>
      </c>
      <c r="AH177" s="15">
        <v>0</v>
      </c>
      <c r="AI177" s="15">
        <v>0</v>
      </c>
      <c r="AJ177" s="15">
        <v>0</v>
      </c>
      <c r="AK177" s="15">
        <v>0</v>
      </c>
      <c r="AL177" s="15">
        <v>0</v>
      </c>
      <c r="AM177" s="15">
        <v>0</v>
      </c>
      <c r="AO177" t="s">
        <v>1255</v>
      </c>
    </row>
    <row r="178" spans="8:41">
      <c r="H178" t="s">
        <v>1028</v>
      </c>
      <c r="I178" t="str">
        <f t="shared" si="3"/>
        <v>corby</v>
      </c>
      <c r="J178" t="str">
        <v>corby</v>
      </c>
      <c r="K178" t="str">
        <f>IFERROR(_xlfn.XLOOKUP(TRIM(H178), M:M, N:N, "Not Found"), "Not Found")</f>
        <v>Familial based</v>
      </c>
      <c r="V178" t="s">
        <v>965</v>
      </c>
      <c r="W178" t="s">
        <v>966</v>
      </c>
      <c r="X178">
        <f>Z178</f>
        <v>0</v>
      </c>
      <c r="Z178">
        <f>IFERROR(_xlfn.XLOOKUP(TRIM(V178), M:M, O:O, "Not Found"), "Not Found")</f>
        <v>0</v>
      </c>
      <c r="AG178" s="15">
        <v>0</v>
      </c>
      <c r="AH178" s="15">
        <v>0</v>
      </c>
      <c r="AI178" s="15">
        <v>0</v>
      </c>
      <c r="AJ178" s="15">
        <v>0</v>
      </c>
      <c r="AK178" s="15">
        <v>0</v>
      </c>
      <c r="AL178" s="15">
        <v>0</v>
      </c>
      <c r="AM178" s="15">
        <v>0</v>
      </c>
      <c r="AO178" t="s">
        <v>1058</v>
      </c>
    </row>
    <row r="179" spans="8:41">
      <c r="H179" t="s">
        <v>965</v>
      </c>
      <c r="I179" t="str">
        <f t="shared" si="3"/>
        <v>schapelle corby</v>
      </c>
      <c r="J179" t="str">
        <v>schapelle corby</v>
      </c>
      <c r="K179" t="str">
        <f>IFERROR(_xlfn.XLOOKUP(TRIM(H179), M:M, N:N, "Not Found"), "Not Found")</f>
        <v>Case Related</v>
      </c>
      <c r="V179" t="s">
        <v>965</v>
      </c>
      <c r="W179" t="s">
        <v>966</v>
      </c>
      <c r="X179">
        <f>Z179</f>
        <v>0</v>
      </c>
      <c r="Z179">
        <f>IFERROR(_xlfn.XLOOKUP(TRIM(V179), M:M, O:O, "Not Found"), "Not Found")</f>
        <v>0</v>
      </c>
      <c r="AG179" s="15">
        <v>0</v>
      </c>
      <c r="AH179" s="15">
        <v>0</v>
      </c>
      <c r="AI179" s="15">
        <v>0</v>
      </c>
      <c r="AJ179" s="15">
        <v>0</v>
      </c>
      <c r="AK179" s="15">
        <v>0</v>
      </c>
      <c r="AL179" s="15">
        <v>0</v>
      </c>
      <c r="AM179" s="15">
        <v>0</v>
      </c>
      <c r="AO179" t="s">
        <v>1058</v>
      </c>
    </row>
    <row r="180" spans="8:41">
      <c r="H180" t="s">
        <v>988</v>
      </c>
      <c r="I180" t="str">
        <f t="shared" si="3"/>
        <v>convicted drug smuggler</v>
      </c>
      <c r="J180" t="str">
        <v>convicted drug smuggler</v>
      </c>
      <c r="K180" t="str">
        <f>IFERROR(_xlfn.XLOOKUP(TRIM(H180), M:M, N:N, "Not Found"), "Not Found")</f>
        <v>Crime based</v>
      </c>
      <c r="V180" t="s">
        <v>965</v>
      </c>
      <c r="W180" t="s">
        <v>966</v>
      </c>
      <c r="X180">
        <f>Z180</f>
        <v>0</v>
      </c>
      <c r="Z180">
        <f>IFERROR(_xlfn.XLOOKUP(TRIM(V180), M:M, O:O, "Not Found"), "Not Found")</f>
        <v>0</v>
      </c>
      <c r="AG180" s="15">
        <v>0</v>
      </c>
      <c r="AH180" s="15">
        <v>0</v>
      </c>
      <c r="AI180" s="15">
        <v>0</v>
      </c>
      <c r="AJ180" s="15">
        <v>0</v>
      </c>
      <c r="AK180" s="15">
        <v>0</v>
      </c>
      <c r="AL180" s="15">
        <v>0</v>
      </c>
      <c r="AM180" s="15">
        <v>0</v>
      </c>
      <c r="AO180" t="s">
        <v>1255</v>
      </c>
    </row>
    <row r="181" spans="8:41">
      <c r="H181" t="s">
        <v>992</v>
      </c>
      <c r="I181" t="str">
        <f t="shared" si="3"/>
        <v>drug smuggler</v>
      </c>
      <c r="J181" t="str">
        <v>drug smuggler</v>
      </c>
      <c r="K181" t="str">
        <f>IFERROR(_xlfn.XLOOKUP(TRIM(H181), M:M, N:N, "Not Found"), "Not Found")</f>
        <v>Crime based</v>
      </c>
      <c r="V181" t="s">
        <v>965</v>
      </c>
      <c r="W181" t="s">
        <v>966</v>
      </c>
      <c r="X181">
        <f>Z181</f>
        <v>0</v>
      </c>
      <c r="Z181">
        <f>IFERROR(_xlfn.XLOOKUP(TRIM(V181), M:M, O:O, "Not Found"), "Not Found")</f>
        <v>0</v>
      </c>
      <c r="AG181" s="15">
        <v>0</v>
      </c>
      <c r="AH181" s="15">
        <v>0</v>
      </c>
      <c r="AI181" s="15">
        <v>0</v>
      </c>
      <c r="AJ181" s="15">
        <v>0</v>
      </c>
      <c r="AK181" s="15">
        <v>0</v>
      </c>
      <c r="AL181" s="15">
        <v>0</v>
      </c>
      <c r="AM181" s="15">
        <v>0</v>
      </c>
      <c r="AO181" t="s">
        <v>1255</v>
      </c>
    </row>
    <row r="182" spans="8:41">
      <c r="H182" t="s">
        <v>1028</v>
      </c>
      <c r="I182" t="str">
        <f t="shared" si="3"/>
        <v>corby</v>
      </c>
      <c r="J182" t="str">
        <v>corby</v>
      </c>
      <c r="K182" t="str">
        <f>IFERROR(_xlfn.XLOOKUP(TRIM(H182), M:M, N:N, "Not Found"), "Not Found")</f>
        <v>Familial based</v>
      </c>
      <c r="V182" t="s">
        <v>965</v>
      </c>
      <c r="W182" t="s">
        <v>966</v>
      </c>
      <c r="X182">
        <f>Z182</f>
        <v>0</v>
      </c>
      <c r="Z182">
        <f>IFERROR(_xlfn.XLOOKUP(TRIM(V182), M:M, O:O, "Not Found"), "Not Found")</f>
        <v>0</v>
      </c>
      <c r="AG182" s="15">
        <v>0</v>
      </c>
      <c r="AH182" s="15">
        <v>1</v>
      </c>
      <c r="AI182" s="15">
        <v>0</v>
      </c>
      <c r="AJ182" s="15">
        <v>0</v>
      </c>
      <c r="AK182" s="15">
        <v>0</v>
      </c>
      <c r="AL182" s="15">
        <v>0</v>
      </c>
      <c r="AM182" s="15">
        <v>0</v>
      </c>
      <c r="AO182" t="s">
        <v>985</v>
      </c>
    </row>
    <row r="183" spans="8:41">
      <c r="H183" t="s">
        <v>1073</v>
      </c>
      <c r="I183" t="str">
        <f t="shared" si="3"/>
        <v>convicted</v>
      </c>
      <c r="J183" t="str">
        <v>convicted</v>
      </c>
      <c r="K183" t="str">
        <f>IFERROR(_xlfn.XLOOKUP(TRIM(H183), M:M, N:N, "Not Found"), "Not Found")</f>
        <v>Legality based</v>
      </c>
      <c r="V183" t="s">
        <v>965</v>
      </c>
      <c r="W183" t="s">
        <v>966</v>
      </c>
      <c r="X183">
        <f>Z183</f>
        <v>0</v>
      </c>
      <c r="Z183">
        <f>IFERROR(_xlfn.XLOOKUP(TRIM(V183), M:M, O:O, "Not Found"), "Not Found")</f>
        <v>0</v>
      </c>
      <c r="AG183" s="15">
        <v>0</v>
      </c>
      <c r="AH183" s="15">
        <v>0</v>
      </c>
      <c r="AI183" s="15">
        <v>0</v>
      </c>
      <c r="AJ183" s="15">
        <v>0</v>
      </c>
      <c r="AK183" s="15">
        <v>0</v>
      </c>
      <c r="AL183" s="15">
        <v>0</v>
      </c>
      <c r="AM183" s="15">
        <v>0</v>
      </c>
      <c r="AO183" t="s">
        <v>1255</v>
      </c>
    </row>
    <row r="184" spans="8:41">
      <c r="H184" t="s">
        <v>965</v>
      </c>
      <c r="I184" t="str">
        <f t="shared" si="3"/>
        <v>schapelle corby</v>
      </c>
      <c r="J184" t="str">
        <v>schapelle corby</v>
      </c>
      <c r="K184" t="str">
        <f>IFERROR(_xlfn.XLOOKUP(TRIM(H184), M:M, N:N, "Not Found"), "Not Found")</f>
        <v>Case Related</v>
      </c>
      <c r="V184" t="s">
        <v>965</v>
      </c>
      <c r="W184" t="s">
        <v>966</v>
      </c>
      <c r="X184">
        <f>Z184</f>
        <v>0</v>
      </c>
      <c r="Z184">
        <f>IFERROR(_xlfn.XLOOKUP(TRIM(V184), M:M, O:O, "Not Found"), "Not Found")</f>
        <v>0</v>
      </c>
      <c r="AG184" s="15">
        <v>0</v>
      </c>
      <c r="AH184" s="15">
        <v>0</v>
      </c>
      <c r="AI184" s="15">
        <v>0</v>
      </c>
      <c r="AJ184" s="15">
        <v>0</v>
      </c>
      <c r="AK184" s="15">
        <v>0</v>
      </c>
      <c r="AL184" s="15">
        <v>0</v>
      </c>
      <c r="AM184" s="15">
        <v>0</v>
      </c>
      <c r="AO184" t="s">
        <v>966</v>
      </c>
    </row>
    <row r="185" spans="8:41">
      <c r="H185" t="s">
        <v>1028</v>
      </c>
      <c r="I185" t="str">
        <f t="shared" si="3"/>
        <v>corby</v>
      </c>
      <c r="J185" t="str">
        <v>corby</v>
      </c>
      <c r="K185" t="str">
        <f>IFERROR(_xlfn.XLOOKUP(TRIM(H185), M:M, N:N, "Not Found"), "Not Found")</f>
        <v>Familial based</v>
      </c>
      <c r="V185" t="s">
        <v>965</v>
      </c>
      <c r="W185" t="s">
        <v>966</v>
      </c>
      <c r="X185">
        <f>Z185</f>
        <v>0</v>
      </c>
      <c r="Z185">
        <f>IFERROR(_xlfn.XLOOKUP(TRIM(V185), M:M, O:O, "Not Found"), "Not Found")</f>
        <v>0</v>
      </c>
      <c r="AG185" s="15">
        <v>0</v>
      </c>
      <c r="AH185" s="15">
        <v>0</v>
      </c>
      <c r="AI185" s="15">
        <v>0</v>
      </c>
      <c r="AJ185" s="15">
        <v>0</v>
      </c>
      <c r="AK185" s="15">
        <v>0</v>
      </c>
      <c r="AL185" s="15">
        <v>0</v>
      </c>
      <c r="AM185" s="15">
        <v>0</v>
      </c>
      <c r="AO185" t="s">
        <v>1255</v>
      </c>
    </row>
    <row r="186" spans="8:41">
      <c r="H186" t="s">
        <v>965</v>
      </c>
      <c r="I186" t="str">
        <f t="shared" si="3"/>
        <v>schapelle corby</v>
      </c>
      <c r="J186" t="str">
        <v>schapelle corby</v>
      </c>
      <c r="K186" t="str">
        <f>IFERROR(_xlfn.XLOOKUP(TRIM(H186), M:M, N:N, "Not Found"), "Not Found")</f>
        <v>Case Related</v>
      </c>
      <c r="V186" t="s">
        <v>965</v>
      </c>
      <c r="W186" t="s">
        <v>966</v>
      </c>
      <c r="X186">
        <f>Z186</f>
        <v>0</v>
      </c>
      <c r="Z186">
        <f>IFERROR(_xlfn.XLOOKUP(TRIM(V186), M:M, O:O, "Not Found"), "Not Found")</f>
        <v>0</v>
      </c>
      <c r="AG186" s="15">
        <v>0</v>
      </c>
      <c r="AH186" s="15">
        <v>0</v>
      </c>
      <c r="AI186" s="15">
        <v>0</v>
      </c>
      <c r="AJ186" s="15">
        <v>0</v>
      </c>
      <c r="AK186" s="15">
        <v>0</v>
      </c>
      <c r="AL186" s="15">
        <v>0</v>
      </c>
      <c r="AM186" s="15">
        <v>0</v>
      </c>
      <c r="AO186" t="s">
        <v>1255</v>
      </c>
    </row>
    <row r="187" spans="8:41">
      <c r="H187" t="s">
        <v>1028</v>
      </c>
      <c r="I187" t="str">
        <f t="shared" si="3"/>
        <v>corby</v>
      </c>
      <c r="J187" t="str">
        <v>corby</v>
      </c>
      <c r="K187" t="str">
        <f>IFERROR(_xlfn.XLOOKUP(TRIM(H187), M:M, N:N, "Not Found"), "Not Found")</f>
        <v>Familial based</v>
      </c>
      <c r="V187" t="s">
        <v>965</v>
      </c>
      <c r="W187" t="s">
        <v>966</v>
      </c>
      <c r="X187">
        <f>Z187</f>
        <v>0</v>
      </c>
      <c r="Z187">
        <f>IFERROR(_xlfn.XLOOKUP(TRIM(V187), M:M, O:O, "Not Found"), "Not Found")</f>
        <v>0</v>
      </c>
      <c r="AG187" s="15">
        <v>0</v>
      </c>
      <c r="AH187" s="15">
        <v>0</v>
      </c>
      <c r="AI187" s="15">
        <v>0</v>
      </c>
      <c r="AJ187" s="15">
        <v>0</v>
      </c>
      <c r="AK187" s="15">
        <v>0</v>
      </c>
      <c r="AL187" s="15">
        <v>0</v>
      </c>
      <c r="AM187" s="15">
        <v>0</v>
      </c>
      <c r="AO187" t="s">
        <v>1240</v>
      </c>
    </row>
    <row r="188" spans="8:41">
      <c r="H188" t="s">
        <v>965</v>
      </c>
      <c r="I188" t="str">
        <f t="shared" si="3"/>
        <v>schapelle corby</v>
      </c>
      <c r="J188" t="str">
        <v>schapelle corby</v>
      </c>
      <c r="K188" t="str">
        <f>IFERROR(_xlfn.XLOOKUP(TRIM(H188), M:M, N:N, "Not Found"), "Not Found")</f>
        <v>Case Related</v>
      </c>
      <c r="V188" t="s">
        <v>965</v>
      </c>
      <c r="W188" t="s">
        <v>966</v>
      </c>
      <c r="X188">
        <f>Z188</f>
        <v>0</v>
      </c>
      <c r="Z188">
        <f>IFERROR(_xlfn.XLOOKUP(TRIM(V188), M:M, O:O, "Not Found"), "Not Found")</f>
        <v>0</v>
      </c>
      <c r="AG188" s="15">
        <v>0</v>
      </c>
      <c r="AH188" s="15">
        <v>0</v>
      </c>
      <c r="AI188" s="15">
        <v>0</v>
      </c>
      <c r="AJ188" s="15">
        <v>0</v>
      </c>
      <c r="AK188" s="15">
        <v>0</v>
      </c>
      <c r="AL188" s="15">
        <v>0</v>
      </c>
      <c r="AM188" s="15">
        <v>0</v>
      </c>
      <c r="AO188" t="s">
        <v>1265</v>
      </c>
    </row>
    <row r="189" spans="8:41">
      <c r="H189" t="s">
        <v>1028</v>
      </c>
      <c r="I189" t="str">
        <f t="shared" si="3"/>
        <v>corby</v>
      </c>
      <c r="J189" t="str">
        <v>corby</v>
      </c>
      <c r="K189" t="str">
        <f>IFERROR(_xlfn.XLOOKUP(TRIM(H189), M:M, N:N, "Not Found"), "Not Found")</f>
        <v>Familial based</v>
      </c>
      <c r="V189" t="s">
        <v>965</v>
      </c>
      <c r="W189" t="s">
        <v>966</v>
      </c>
      <c r="X189">
        <f>Z189</f>
        <v>0</v>
      </c>
      <c r="Z189">
        <f>IFERROR(_xlfn.XLOOKUP(TRIM(V189), M:M, O:O, "Not Found"), "Not Found")</f>
        <v>0</v>
      </c>
      <c r="AG189" s="15">
        <v>0</v>
      </c>
      <c r="AH189" s="15">
        <v>0.5</v>
      </c>
      <c r="AI189" s="15">
        <v>0</v>
      </c>
      <c r="AJ189" s="15">
        <v>0</v>
      </c>
      <c r="AK189" s="15">
        <v>0</v>
      </c>
      <c r="AL189" s="15">
        <v>0</v>
      </c>
      <c r="AM189" s="15">
        <v>0</v>
      </c>
      <c r="AO189" t="s">
        <v>1255</v>
      </c>
    </row>
    <row r="190" spans="8:41">
      <c r="H190" t="s">
        <v>965</v>
      </c>
      <c r="I190" t="str">
        <f t="shared" si="3"/>
        <v>schapelle corby</v>
      </c>
      <c r="J190" t="str">
        <v>schapelle corby</v>
      </c>
      <c r="K190" t="str">
        <f>IFERROR(_xlfn.XLOOKUP(TRIM(H190), M:M, N:N, "Not Found"), "Not Found")</f>
        <v>Case Related</v>
      </c>
      <c r="V190" t="s">
        <v>965</v>
      </c>
      <c r="W190" t="s">
        <v>966</v>
      </c>
      <c r="X190">
        <f>Z190</f>
        <v>0</v>
      </c>
      <c r="Z190">
        <f>IFERROR(_xlfn.XLOOKUP(TRIM(V190), M:M, O:O, "Not Found"), "Not Found")</f>
        <v>0</v>
      </c>
      <c r="AG190" s="15">
        <v>0</v>
      </c>
      <c r="AH190" s="15">
        <v>0</v>
      </c>
      <c r="AI190" s="15">
        <v>0</v>
      </c>
      <c r="AJ190" s="15">
        <v>0</v>
      </c>
      <c r="AK190" s="15">
        <v>0</v>
      </c>
      <c r="AL190" s="15">
        <v>0</v>
      </c>
      <c r="AM190" s="15">
        <v>0</v>
      </c>
      <c r="AO190" t="s">
        <v>1255</v>
      </c>
    </row>
    <row r="191" spans="8:41">
      <c r="H191" t="s">
        <v>1028</v>
      </c>
      <c r="I191" t="str">
        <f t="shared" si="3"/>
        <v>corby</v>
      </c>
      <c r="J191" t="str">
        <v>corby</v>
      </c>
      <c r="K191" t="str">
        <f>IFERROR(_xlfn.XLOOKUP(TRIM(H191), M:M, N:N, "Not Found"), "Not Found")</f>
        <v>Familial based</v>
      </c>
      <c r="V191" t="s">
        <v>965</v>
      </c>
      <c r="W191" t="s">
        <v>966</v>
      </c>
      <c r="X191">
        <f>Z191</f>
        <v>0</v>
      </c>
      <c r="Z191">
        <f>IFERROR(_xlfn.XLOOKUP(TRIM(V191), M:M, O:O, "Not Found"), "Not Found")</f>
        <v>0</v>
      </c>
      <c r="AG191" s="15">
        <v>0</v>
      </c>
      <c r="AH191" s="15">
        <v>0</v>
      </c>
      <c r="AI191" s="15">
        <v>0</v>
      </c>
      <c r="AJ191" s="15">
        <v>0</v>
      </c>
      <c r="AK191" s="15">
        <v>0</v>
      </c>
      <c r="AL191" s="15">
        <v>0</v>
      </c>
      <c r="AM191" s="15">
        <v>0</v>
      </c>
      <c r="AO191" t="s">
        <v>1266</v>
      </c>
    </row>
    <row r="192" spans="8:41">
      <c r="H192" t="s">
        <v>965</v>
      </c>
      <c r="I192" t="str">
        <f t="shared" si="3"/>
        <v>schapelle corby</v>
      </c>
      <c r="J192" t="str">
        <v>schapelle corby</v>
      </c>
      <c r="K192" t="str">
        <f>IFERROR(_xlfn.XLOOKUP(TRIM(H192), M:M, N:N, "Not Found"), "Not Found")</f>
        <v>Case Related</v>
      </c>
      <c r="V192" t="s">
        <v>965</v>
      </c>
      <c r="W192" t="s">
        <v>966</v>
      </c>
      <c r="X192">
        <f>Z192</f>
        <v>0</v>
      </c>
      <c r="Z192">
        <f>IFERROR(_xlfn.XLOOKUP(TRIM(V192), M:M, O:O, "Not Found"), "Not Found")</f>
        <v>0</v>
      </c>
      <c r="AG192" s="15">
        <v>0</v>
      </c>
      <c r="AH192" s="15">
        <v>0</v>
      </c>
      <c r="AI192" s="15">
        <v>0</v>
      </c>
      <c r="AJ192" s="15">
        <v>0</v>
      </c>
      <c r="AK192" s="15">
        <v>3.5</v>
      </c>
      <c r="AL192" s="15">
        <v>0</v>
      </c>
      <c r="AM192" s="15">
        <v>0</v>
      </c>
      <c r="AO192" t="s">
        <v>1267</v>
      </c>
    </row>
    <row r="193" spans="8:41">
      <c r="H193" t="s">
        <v>1028</v>
      </c>
      <c r="I193" t="str">
        <f t="shared" si="3"/>
        <v>corby</v>
      </c>
      <c r="J193" t="str">
        <v>corby</v>
      </c>
      <c r="K193" t="str">
        <f>IFERROR(_xlfn.XLOOKUP(TRIM(H193), M:M, N:N, "Not Found"), "Not Found")</f>
        <v>Familial based</v>
      </c>
      <c r="V193" t="s">
        <v>965</v>
      </c>
      <c r="W193" t="s">
        <v>966</v>
      </c>
      <c r="X193">
        <f>Z193</f>
        <v>0</v>
      </c>
      <c r="Z193">
        <f>IFERROR(_xlfn.XLOOKUP(TRIM(V193), M:M, O:O, "Not Found"), "Not Found")</f>
        <v>0</v>
      </c>
      <c r="AG193" s="15">
        <v>0</v>
      </c>
      <c r="AH193" s="15">
        <v>0</v>
      </c>
      <c r="AI193" s="15">
        <v>0</v>
      </c>
      <c r="AJ193" s="15">
        <v>0</v>
      </c>
      <c r="AK193" s="15">
        <v>3</v>
      </c>
      <c r="AL193" s="15">
        <v>0</v>
      </c>
      <c r="AM193" s="15">
        <v>0</v>
      </c>
      <c r="AO193" t="s">
        <v>1255</v>
      </c>
    </row>
    <row r="194" spans="8:41">
      <c r="H194" t="s">
        <v>965</v>
      </c>
      <c r="I194" t="str">
        <f t="shared" si="3"/>
        <v>schapelle corby</v>
      </c>
      <c r="J194" t="str">
        <v>schapelle corby</v>
      </c>
      <c r="K194" t="str">
        <f>IFERROR(_xlfn.XLOOKUP(TRIM(H194), M:M, N:N, "Not Found"), "Not Found")</f>
        <v>Case Related</v>
      </c>
      <c r="V194" t="s">
        <v>965</v>
      </c>
      <c r="W194" t="s">
        <v>966</v>
      </c>
      <c r="X194">
        <f>Z194</f>
        <v>0</v>
      </c>
      <c r="Z194">
        <f>IFERROR(_xlfn.XLOOKUP(TRIM(V194), M:M, O:O, "Not Found"), "Not Found")</f>
        <v>0</v>
      </c>
      <c r="AG194" s="15">
        <v>0</v>
      </c>
      <c r="AH194" s="15">
        <v>0</v>
      </c>
      <c r="AI194" s="15">
        <v>0</v>
      </c>
      <c r="AJ194" s="15">
        <v>0</v>
      </c>
      <c r="AK194" s="15">
        <v>0</v>
      </c>
      <c r="AL194" s="15">
        <v>0</v>
      </c>
      <c r="AM194" s="15">
        <v>0</v>
      </c>
      <c r="AO194" t="s">
        <v>1255</v>
      </c>
    </row>
    <row r="195" spans="8:41">
      <c r="H195" t="s">
        <v>996</v>
      </c>
      <c r="I195" t="str">
        <f t="shared" si="3"/>
        <v>jail</v>
      </c>
      <c r="J195" t="str">
        <v>jail</v>
      </c>
      <c r="K195" t="str">
        <f>IFERROR(_xlfn.XLOOKUP(TRIM(H195), M:M, N:N, "Not Found"), "Not Found")</f>
        <v>Crime based</v>
      </c>
      <c r="V195" t="s">
        <v>965</v>
      </c>
      <c r="W195" t="s">
        <v>966</v>
      </c>
      <c r="X195">
        <f>Z195</f>
        <v>0</v>
      </c>
      <c r="Z195">
        <f>IFERROR(_xlfn.XLOOKUP(TRIM(V195), M:M, O:O, "Not Found"), "Not Found")</f>
        <v>0</v>
      </c>
      <c r="AG195" s="15">
        <v>0</v>
      </c>
      <c r="AH195" s="15">
        <v>0</v>
      </c>
      <c r="AI195" s="15">
        <v>0</v>
      </c>
      <c r="AJ195" s="15">
        <v>0</v>
      </c>
      <c r="AK195" s="15">
        <v>0</v>
      </c>
      <c r="AL195" s="15">
        <v>0</v>
      </c>
      <c r="AM195" s="15">
        <v>0</v>
      </c>
      <c r="AO195" t="s">
        <v>1268</v>
      </c>
    </row>
    <row r="196" spans="8:41">
      <c r="H196" t="s">
        <v>1028</v>
      </c>
      <c r="I196" t="str">
        <f t="shared" ref="I196:I259" si="4">TRIM(LOWER(H196))</f>
        <v>corby</v>
      </c>
      <c r="J196" t="str">
        <v>corby</v>
      </c>
      <c r="K196" t="str">
        <f>IFERROR(_xlfn.XLOOKUP(TRIM(H196), M:M, N:N, "Not Found"), "Not Found")</f>
        <v>Familial based</v>
      </c>
      <c r="V196" t="s">
        <v>965</v>
      </c>
      <c r="W196" t="s">
        <v>966</v>
      </c>
      <c r="X196">
        <f>Z196</f>
        <v>0</v>
      </c>
      <c r="Z196">
        <f>IFERROR(_xlfn.XLOOKUP(TRIM(V196), M:M, O:O, "Not Found"), "Not Found")</f>
        <v>0</v>
      </c>
      <c r="AG196" s="15">
        <v>0</v>
      </c>
      <c r="AH196" s="15">
        <v>0</v>
      </c>
      <c r="AI196" s="15">
        <v>0</v>
      </c>
      <c r="AJ196" s="15">
        <v>0</v>
      </c>
      <c r="AK196" s="15">
        <v>0</v>
      </c>
      <c r="AL196" s="15">
        <v>0</v>
      </c>
      <c r="AM196" s="15">
        <v>0</v>
      </c>
      <c r="AO196" t="s">
        <v>1269</v>
      </c>
    </row>
    <row r="197" spans="8:41">
      <c r="H197" t="s">
        <v>965</v>
      </c>
      <c r="I197" t="str">
        <f t="shared" si="4"/>
        <v>schapelle corby</v>
      </c>
      <c r="J197" t="str">
        <v>schapelle corby</v>
      </c>
      <c r="K197" t="str">
        <f>IFERROR(_xlfn.XLOOKUP(TRIM(H197), M:M, N:N, "Not Found"), "Not Found")</f>
        <v>Case Related</v>
      </c>
      <c r="V197" t="s">
        <v>965</v>
      </c>
      <c r="W197" t="s">
        <v>966</v>
      </c>
      <c r="X197">
        <f>Z197</f>
        <v>0</v>
      </c>
      <c r="Z197">
        <f>IFERROR(_xlfn.XLOOKUP(TRIM(V197), M:M, O:O, "Not Found"), "Not Found")</f>
        <v>0</v>
      </c>
      <c r="AG197" s="15">
        <v>0</v>
      </c>
      <c r="AH197" s="15">
        <v>0</v>
      </c>
      <c r="AI197" s="15">
        <v>0</v>
      </c>
      <c r="AJ197" s="15">
        <v>0</v>
      </c>
      <c r="AK197" s="15">
        <v>0</v>
      </c>
      <c r="AL197" s="15">
        <v>0</v>
      </c>
      <c r="AM197" s="15">
        <v>0</v>
      </c>
      <c r="AO197" t="s">
        <v>1255</v>
      </c>
    </row>
    <row r="198" spans="8:41">
      <c r="H198" t="s">
        <v>983</v>
      </c>
      <c r="I198" t="str">
        <f t="shared" si="4"/>
        <v>australia</v>
      </c>
      <c r="J198" t="str">
        <v>australia</v>
      </c>
      <c r="K198" t="str">
        <f>IFERROR(_xlfn.XLOOKUP(TRIM(H198), M:M, N:N, "Not Found"), "Not Found")</f>
        <v>Case Related</v>
      </c>
      <c r="V198" t="s">
        <v>965</v>
      </c>
      <c r="W198" t="s">
        <v>966</v>
      </c>
      <c r="X198">
        <f>Z198</f>
        <v>0</v>
      </c>
      <c r="Z198">
        <f>IFERROR(_xlfn.XLOOKUP(TRIM(V198), M:M, O:O, "Not Found"), "Not Found")</f>
        <v>0</v>
      </c>
      <c r="AG198" s="15">
        <v>0</v>
      </c>
      <c r="AH198" s="15">
        <v>0</v>
      </c>
      <c r="AI198" s="15">
        <v>0</v>
      </c>
      <c r="AJ198" s="15">
        <v>0</v>
      </c>
      <c r="AK198" s="15">
        <v>0</v>
      </c>
      <c r="AL198" s="15">
        <v>0</v>
      </c>
      <c r="AM198" s="15">
        <v>0</v>
      </c>
      <c r="AO198" t="s">
        <v>985</v>
      </c>
    </row>
    <row r="199" spans="8:41">
      <c r="H199" t="s">
        <v>1020</v>
      </c>
      <c r="I199" t="str">
        <f t="shared" si="4"/>
        <v>af</v>
      </c>
      <c r="J199" t="str">
        <v>af</v>
      </c>
      <c r="K199" t="str">
        <f>IFERROR(_xlfn.XLOOKUP(TRIM(H199), M:M, N:N, "Not Found"), "Not Found")</f>
        <v>Intelligence based</v>
      </c>
      <c r="V199" t="s">
        <v>965</v>
      </c>
      <c r="W199" t="s">
        <v>966</v>
      </c>
      <c r="X199">
        <f>Z199</f>
        <v>0</v>
      </c>
      <c r="Z199">
        <f>IFERROR(_xlfn.XLOOKUP(TRIM(V199), M:M, O:O, "Not Found"), "Not Found")</f>
        <v>0</v>
      </c>
      <c r="AG199" s="15">
        <v>0</v>
      </c>
      <c r="AH199" s="15">
        <v>0</v>
      </c>
      <c r="AI199" s="15">
        <v>0</v>
      </c>
      <c r="AJ199" s="15">
        <v>0</v>
      </c>
      <c r="AK199" s="15">
        <v>0</v>
      </c>
      <c r="AL199" s="15">
        <v>0</v>
      </c>
      <c r="AM199" s="15">
        <v>0</v>
      </c>
      <c r="AO199" t="s">
        <v>1245</v>
      </c>
    </row>
    <row r="200" spans="8:41">
      <c r="H200" t="s">
        <v>1028</v>
      </c>
      <c r="I200" t="str">
        <f t="shared" si="4"/>
        <v>corby</v>
      </c>
      <c r="J200" t="str">
        <v>corby</v>
      </c>
      <c r="K200" t="str">
        <f>IFERROR(_xlfn.XLOOKUP(TRIM(H200), M:M, N:N, "Not Found"), "Not Found")</f>
        <v>Familial based</v>
      </c>
      <c r="V200" t="s">
        <v>965</v>
      </c>
      <c r="W200" t="s">
        <v>966</v>
      </c>
      <c r="X200">
        <f>Z200</f>
        <v>0</v>
      </c>
      <c r="Z200">
        <f>IFERROR(_xlfn.XLOOKUP(TRIM(V200), M:M, O:O, "Not Found"), "Not Found")</f>
        <v>0</v>
      </c>
      <c r="AG200" s="15">
        <v>0</v>
      </c>
      <c r="AH200" s="15">
        <v>0</v>
      </c>
      <c r="AI200" s="15">
        <v>0</v>
      </c>
      <c r="AJ200" s="15">
        <v>0</v>
      </c>
      <c r="AK200" s="15">
        <v>0</v>
      </c>
      <c r="AL200" s="15">
        <v>0</v>
      </c>
      <c r="AM200" s="15">
        <v>0</v>
      </c>
      <c r="AO200" t="s">
        <v>1270</v>
      </c>
    </row>
    <row r="201" spans="8:41">
      <c r="H201" t="s">
        <v>965</v>
      </c>
      <c r="I201" t="str">
        <f t="shared" si="4"/>
        <v>schapelle corby</v>
      </c>
      <c r="J201" t="str">
        <v>schapelle corby</v>
      </c>
      <c r="K201" t="str">
        <f>IFERROR(_xlfn.XLOOKUP(TRIM(H201), M:M, N:N, "Not Found"), "Not Found")</f>
        <v>Case Related</v>
      </c>
      <c r="V201" t="s">
        <v>965</v>
      </c>
      <c r="W201" t="s">
        <v>966</v>
      </c>
      <c r="X201">
        <f>Z201</f>
        <v>0</v>
      </c>
      <c r="Z201">
        <f>IFERROR(_xlfn.XLOOKUP(TRIM(V201), M:M, O:O, "Not Found"), "Not Found")</f>
        <v>0</v>
      </c>
      <c r="AG201" s="15">
        <v>0</v>
      </c>
      <c r="AH201" s="15">
        <v>0</v>
      </c>
      <c r="AI201" s="15">
        <v>1</v>
      </c>
      <c r="AJ201" s="15">
        <v>0</v>
      </c>
      <c r="AK201" s="15">
        <v>0</v>
      </c>
      <c r="AL201" s="15">
        <v>0</v>
      </c>
      <c r="AM201" s="15">
        <v>0</v>
      </c>
      <c r="AO201" t="s">
        <v>1271</v>
      </c>
    </row>
    <row r="202" spans="8:41">
      <c r="H202" t="s">
        <v>970</v>
      </c>
      <c r="I202" t="str">
        <f t="shared" si="4"/>
        <v>australian</v>
      </c>
      <c r="J202" t="str">
        <v>australian</v>
      </c>
      <c r="K202" t="str">
        <f>IFERROR(_xlfn.XLOOKUP(TRIM(H202), M:M, N:N, "Not Found"), "Not Found")</f>
        <v>Case Related</v>
      </c>
      <c r="V202" t="s">
        <v>965</v>
      </c>
      <c r="W202" t="s">
        <v>966</v>
      </c>
      <c r="X202">
        <f>Z202</f>
        <v>0</v>
      </c>
      <c r="Z202">
        <f>IFERROR(_xlfn.XLOOKUP(TRIM(V202), M:M, O:O, "Not Found"), "Not Found")</f>
        <v>0</v>
      </c>
      <c r="AG202" s="15">
        <v>0</v>
      </c>
      <c r="AH202" s="15">
        <v>0</v>
      </c>
      <c r="AI202" s="15">
        <v>3</v>
      </c>
      <c r="AJ202" s="15">
        <v>0</v>
      </c>
      <c r="AK202" s="15">
        <v>3</v>
      </c>
      <c r="AL202" s="15">
        <v>0</v>
      </c>
      <c r="AM202" s="15">
        <v>0</v>
      </c>
      <c r="AO202" t="s">
        <v>1269</v>
      </c>
    </row>
    <row r="203" spans="8:41">
      <c r="H203" t="s">
        <v>983</v>
      </c>
      <c r="I203" t="str">
        <f t="shared" si="4"/>
        <v>australia</v>
      </c>
      <c r="J203" t="str">
        <v>australia</v>
      </c>
      <c r="K203" t="str">
        <f>IFERROR(_xlfn.XLOOKUP(TRIM(H203), M:M, N:N, "Not Found"), "Not Found")</f>
        <v>Case Related</v>
      </c>
      <c r="V203" t="s">
        <v>965</v>
      </c>
      <c r="W203" t="s">
        <v>966</v>
      </c>
      <c r="X203">
        <f>Z203</f>
        <v>0</v>
      </c>
      <c r="Z203">
        <f>IFERROR(_xlfn.XLOOKUP(TRIM(V203), M:M, O:O, "Not Found"), "Not Found")</f>
        <v>0</v>
      </c>
      <c r="AG203" s="15">
        <v>0</v>
      </c>
      <c r="AH203" s="15">
        <v>0</v>
      </c>
      <c r="AI203" s="15">
        <v>0</v>
      </c>
      <c r="AJ203" s="15">
        <v>0</v>
      </c>
      <c r="AK203" s="15">
        <v>0</v>
      </c>
      <c r="AL203" s="15">
        <v>0</v>
      </c>
      <c r="AM203" s="15">
        <v>0</v>
      </c>
      <c r="AO203" t="s">
        <v>966</v>
      </c>
    </row>
    <row r="204" spans="8:41">
      <c r="H204" t="s">
        <v>1028</v>
      </c>
      <c r="I204" t="str">
        <f t="shared" si="4"/>
        <v>corby</v>
      </c>
      <c r="J204" t="str">
        <v>corby</v>
      </c>
      <c r="K204" t="str">
        <f>IFERROR(_xlfn.XLOOKUP(TRIM(H204), M:M, N:N, "Not Found"), "Not Found")</f>
        <v>Familial based</v>
      </c>
      <c r="V204" t="s">
        <v>965</v>
      </c>
      <c r="W204" t="s">
        <v>966</v>
      </c>
      <c r="X204">
        <f>Z204</f>
        <v>0</v>
      </c>
      <c r="Z204">
        <f>IFERROR(_xlfn.XLOOKUP(TRIM(V204), M:M, O:O, "Not Found"), "Not Found")</f>
        <v>0</v>
      </c>
      <c r="AG204" s="15">
        <v>0</v>
      </c>
      <c r="AH204" s="15">
        <v>0</v>
      </c>
      <c r="AI204" s="15">
        <v>0</v>
      </c>
      <c r="AJ204" s="15">
        <v>0</v>
      </c>
      <c r="AK204" s="15">
        <v>0</v>
      </c>
      <c r="AL204" s="15">
        <v>0</v>
      </c>
      <c r="AM204" s="15">
        <v>0</v>
      </c>
      <c r="AO204" t="s">
        <v>1255</v>
      </c>
    </row>
    <row r="205" spans="8:41">
      <c r="H205" t="s">
        <v>965</v>
      </c>
      <c r="I205" t="str">
        <f t="shared" si="4"/>
        <v>schapelle corby</v>
      </c>
      <c r="J205" t="str">
        <v>schapelle corby</v>
      </c>
      <c r="K205" t="str">
        <f>IFERROR(_xlfn.XLOOKUP(TRIM(H205), M:M, N:N, "Not Found"), "Not Found")</f>
        <v>Case Related</v>
      </c>
      <c r="V205" t="s">
        <v>965</v>
      </c>
      <c r="W205" t="s">
        <v>966</v>
      </c>
      <c r="X205">
        <f>Z205</f>
        <v>0</v>
      </c>
      <c r="Z205">
        <f>IFERROR(_xlfn.XLOOKUP(TRIM(V205), M:M, O:O, "Not Found"), "Not Found")</f>
        <v>0</v>
      </c>
      <c r="AG205" s="15">
        <v>0</v>
      </c>
      <c r="AH205" s="15">
        <v>0</v>
      </c>
      <c r="AI205" s="15">
        <v>0</v>
      </c>
      <c r="AJ205" s="15">
        <v>0</v>
      </c>
      <c r="AK205" s="15">
        <v>0</v>
      </c>
      <c r="AL205" s="15">
        <v>0</v>
      </c>
      <c r="AM205" s="15">
        <v>0</v>
      </c>
      <c r="AO205" t="s">
        <v>985</v>
      </c>
    </row>
    <row r="206" spans="8:41">
      <c r="H206" t="s">
        <v>1028</v>
      </c>
      <c r="I206" t="str">
        <f t="shared" si="4"/>
        <v>corby</v>
      </c>
      <c r="J206" t="str">
        <v>corby</v>
      </c>
      <c r="K206" t="str">
        <f>IFERROR(_xlfn.XLOOKUP(TRIM(H206), M:M, N:N, "Not Found"), "Not Found")</f>
        <v>Familial based</v>
      </c>
      <c r="V206" t="s">
        <v>965</v>
      </c>
      <c r="W206" t="s">
        <v>966</v>
      </c>
      <c r="X206">
        <f>Z206</f>
        <v>0</v>
      </c>
      <c r="Z206">
        <f>IFERROR(_xlfn.XLOOKUP(TRIM(V206), M:M, O:O, "Not Found"), "Not Found")</f>
        <v>0</v>
      </c>
      <c r="AG206" s="15">
        <v>0</v>
      </c>
      <c r="AH206" s="15">
        <v>1</v>
      </c>
      <c r="AI206" s="15">
        <v>0</v>
      </c>
      <c r="AJ206" s="15">
        <v>0</v>
      </c>
      <c r="AK206" s="15">
        <v>0</v>
      </c>
      <c r="AL206" s="15">
        <v>0</v>
      </c>
      <c r="AM206" s="15">
        <v>0</v>
      </c>
      <c r="AO206" t="s">
        <v>1255</v>
      </c>
    </row>
    <row r="207" spans="8:41">
      <c r="H207" t="s">
        <v>965</v>
      </c>
      <c r="I207" t="str">
        <f t="shared" si="4"/>
        <v>schapelle corby</v>
      </c>
      <c r="J207" t="str">
        <v>schapelle corby</v>
      </c>
      <c r="K207" t="str">
        <f>IFERROR(_xlfn.XLOOKUP(TRIM(H207), M:M, N:N, "Not Found"), "Not Found")</f>
        <v>Case Related</v>
      </c>
      <c r="V207" t="s">
        <v>965</v>
      </c>
      <c r="W207" t="s">
        <v>966</v>
      </c>
      <c r="X207">
        <f>Z207</f>
        <v>0</v>
      </c>
      <c r="Z207">
        <f>IFERROR(_xlfn.XLOOKUP(TRIM(V207), M:M, O:O, "Not Found"), "Not Found")</f>
        <v>0</v>
      </c>
      <c r="AG207" s="15">
        <v>0</v>
      </c>
      <c r="AH207" s="15">
        <v>0</v>
      </c>
      <c r="AI207" s="15">
        <v>0</v>
      </c>
      <c r="AJ207" s="15">
        <v>0</v>
      </c>
      <c r="AK207" s="15">
        <v>0</v>
      </c>
      <c r="AL207" s="15">
        <v>0</v>
      </c>
      <c r="AM207" s="15">
        <v>0</v>
      </c>
      <c r="AO207" t="s">
        <v>1272</v>
      </c>
    </row>
    <row r="208" spans="8:41">
      <c r="H208" t="s">
        <v>991</v>
      </c>
      <c r="I208" t="str">
        <f t="shared" si="4"/>
        <v>drug trafficking</v>
      </c>
      <c r="J208" t="str">
        <v>drug trafficking</v>
      </c>
      <c r="K208" t="str">
        <f>IFERROR(_xlfn.XLOOKUP(TRIM(H208), M:M, N:N, "Not Found"), "Not Found")</f>
        <v>Crime based</v>
      </c>
      <c r="V208" t="s">
        <v>965</v>
      </c>
      <c r="W208" t="s">
        <v>966</v>
      </c>
      <c r="X208">
        <f>Z208</f>
        <v>0</v>
      </c>
      <c r="Z208">
        <f>IFERROR(_xlfn.XLOOKUP(TRIM(V208), M:M, O:O, "Not Found"), "Not Found")</f>
        <v>0</v>
      </c>
      <c r="AG208" s="15">
        <v>0</v>
      </c>
      <c r="AH208" s="15">
        <v>0</v>
      </c>
      <c r="AI208" s="15">
        <v>0</v>
      </c>
      <c r="AJ208" s="15">
        <v>0</v>
      </c>
      <c r="AK208" s="15">
        <v>0</v>
      </c>
      <c r="AL208" s="15">
        <v>0</v>
      </c>
      <c r="AM208" s="15">
        <v>0</v>
      </c>
      <c r="AO208" t="s">
        <v>1273</v>
      </c>
    </row>
    <row r="209" spans="8:41">
      <c r="H209" t="s">
        <v>1020</v>
      </c>
      <c r="I209" t="str">
        <f t="shared" si="4"/>
        <v>af</v>
      </c>
      <c r="J209" t="str">
        <v>af</v>
      </c>
      <c r="K209" t="str">
        <f>IFERROR(_xlfn.XLOOKUP(TRIM(H209), M:M, N:N, "Not Found"), "Not Found")</f>
        <v>Intelligence based</v>
      </c>
      <c r="V209" t="s">
        <v>965</v>
      </c>
      <c r="W209" t="s">
        <v>966</v>
      </c>
      <c r="X209">
        <f>Z209</f>
        <v>0</v>
      </c>
      <c r="Z209">
        <f>IFERROR(_xlfn.XLOOKUP(TRIM(V209), M:M, O:O, "Not Found"), "Not Found")</f>
        <v>0</v>
      </c>
      <c r="AG209" s="15">
        <v>0</v>
      </c>
      <c r="AH209" s="15">
        <v>0</v>
      </c>
      <c r="AI209" s="15">
        <v>3</v>
      </c>
      <c r="AJ209" s="15">
        <v>0</v>
      </c>
      <c r="AK209" s="15">
        <v>0</v>
      </c>
      <c r="AL209" s="15">
        <v>0</v>
      </c>
      <c r="AM209" s="15">
        <v>0</v>
      </c>
      <c r="AO209" t="s">
        <v>1255</v>
      </c>
    </row>
    <row r="210" spans="8:41">
      <c r="H210" t="s">
        <v>1028</v>
      </c>
      <c r="I210" t="str">
        <f t="shared" si="4"/>
        <v>corby</v>
      </c>
      <c r="J210" t="str">
        <v>corby</v>
      </c>
      <c r="K210" t="str">
        <f>IFERROR(_xlfn.XLOOKUP(TRIM(H210), M:M, N:N, "Not Found"), "Not Found")</f>
        <v>Familial based</v>
      </c>
      <c r="V210" t="s">
        <v>965</v>
      </c>
      <c r="W210" t="s">
        <v>966</v>
      </c>
      <c r="X210">
        <f>Z210</f>
        <v>0</v>
      </c>
      <c r="Z210">
        <f>IFERROR(_xlfn.XLOOKUP(TRIM(V210), M:M, O:O, "Not Found"), "Not Found")</f>
        <v>0</v>
      </c>
      <c r="AG210" s="15">
        <v>0</v>
      </c>
      <c r="AH210" s="15">
        <v>0</v>
      </c>
      <c r="AI210" s="15">
        <v>0</v>
      </c>
      <c r="AJ210" s="15">
        <v>0</v>
      </c>
      <c r="AK210" s="15">
        <v>0</v>
      </c>
      <c r="AL210" s="15">
        <v>0</v>
      </c>
      <c r="AM210" s="15">
        <v>0</v>
      </c>
      <c r="AO210" t="s">
        <v>1270</v>
      </c>
    </row>
    <row r="211" spans="8:41">
      <c r="H211" t="s">
        <v>1060</v>
      </c>
      <c r="I211" t="str">
        <f t="shared" si="4"/>
        <v>innocent</v>
      </c>
      <c r="J211" t="str">
        <v>innocent</v>
      </c>
      <c r="K211" t="str">
        <f>IFERROR(_xlfn.XLOOKUP(TRIM(H211), M:M, N:N, "Not Found"), "Not Found")</f>
        <v>Legality based</v>
      </c>
      <c r="V211" t="s">
        <v>965</v>
      </c>
      <c r="W211" t="s">
        <v>966</v>
      </c>
      <c r="X211">
        <f>Z211</f>
        <v>0</v>
      </c>
      <c r="Z211">
        <f>IFERROR(_xlfn.XLOOKUP(TRIM(V211), M:M, O:O, "Not Found"), "Not Found")</f>
        <v>0</v>
      </c>
      <c r="AG211" s="15">
        <v>0</v>
      </c>
      <c r="AH211" s="15">
        <v>0</v>
      </c>
      <c r="AI211" s="15">
        <v>3</v>
      </c>
      <c r="AJ211" s="15">
        <v>0</v>
      </c>
      <c r="AK211" s="15">
        <v>0</v>
      </c>
      <c r="AL211" s="15">
        <v>0</v>
      </c>
      <c r="AM211" s="15">
        <v>0</v>
      </c>
      <c r="AO211" t="s">
        <v>1032</v>
      </c>
    </row>
    <row r="212" spans="8:41">
      <c r="H212" t="s">
        <v>965</v>
      </c>
      <c r="I212" t="str">
        <f t="shared" si="4"/>
        <v>schapelle corby</v>
      </c>
      <c r="J212" t="str">
        <v>schapelle corby</v>
      </c>
      <c r="K212" t="str">
        <f>IFERROR(_xlfn.XLOOKUP(TRIM(H212), M:M, N:N, "Not Found"), "Not Found")</f>
        <v>Case Related</v>
      </c>
      <c r="V212" t="s">
        <v>965</v>
      </c>
      <c r="W212" t="s">
        <v>966</v>
      </c>
      <c r="X212">
        <f>Z212</f>
        <v>0</v>
      </c>
      <c r="Z212">
        <f>IFERROR(_xlfn.XLOOKUP(TRIM(V212), M:M, O:O, "Not Found"), "Not Found")</f>
        <v>0</v>
      </c>
      <c r="AG212" s="15">
        <v>0</v>
      </c>
      <c r="AH212" s="15">
        <v>0</v>
      </c>
      <c r="AI212" s="15">
        <v>0</v>
      </c>
      <c r="AJ212" s="15">
        <v>0</v>
      </c>
      <c r="AK212" s="15">
        <v>3</v>
      </c>
      <c r="AL212" s="15">
        <v>0</v>
      </c>
      <c r="AM212" s="15">
        <v>0</v>
      </c>
      <c r="AO212" t="s">
        <v>1032</v>
      </c>
    </row>
    <row r="213" spans="8:41">
      <c r="H213" t="s">
        <v>1028</v>
      </c>
      <c r="I213" t="str">
        <f t="shared" si="4"/>
        <v>corby</v>
      </c>
      <c r="J213" t="str">
        <v>corby</v>
      </c>
      <c r="K213" t="str">
        <f>IFERROR(_xlfn.XLOOKUP(TRIM(H213), M:M, N:N, "Not Found"), "Not Found")</f>
        <v>Familial based</v>
      </c>
      <c r="V213" t="s">
        <v>965</v>
      </c>
      <c r="W213" t="s">
        <v>966</v>
      </c>
      <c r="X213">
        <f>Z213</f>
        <v>0</v>
      </c>
      <c r="Z213">
        <f>IFERROR(_xlfn.XLOOKUP(TRIM(V213), M:M, O:O, "Not Found"), "Not Found")</f>
        <v>0</v>
      </c>
      <c r="AG213" s="15">
        <v>0</v>
      </c>
      <c r="AH213" s="15">
        <v>0</v>
      </c>
      <c r="AI213" s="15">
        <v>0</v>
      </c>
      <c r="AJ213" s="15">
        <v>0</v>
      </c>
      <c r="AK213" s="15">
        <v>3</v>
      </c>
      <c r="AL213" s="15">
        <v>0</v>
      </c>
      <c r="AM213" s="15">
        <v>0</v>
      </c>
      <c r="AO213" t="s">
        <v>1270</v>
      </c>
    </row>
    <row r="214" spans="8:41">
      <c r="H214" t="s">
        <v>965</v>
      </c>
      <c r="I214" t="str">
        <f t="shared" si="4"/>
        <v>schapelle corby</v>
      </c>
      <c r="J214" t="str">
        <v>schapelle corby</v>
      </c>
      <c r="K214" t="str">
        <f>IFERROR(_xlfn.XLOOKUP(TRIM(H214), M:M, N:N, "Not Found"), "Not Found")</f>
        <v>Case Related</v>
      </c>
      <c r="V214" t="s">
        <v>965</v>
      </c>
      <c r="W214" t="s">
        <v>966</v>
      </c>
      <c r="X214">
        <f>Z214</f>
        <v>0</v>
      </c>
      <c r="Z214">
        <f>IFERROR(_xlfn.XLOOKUP(TRIM(V214), M:M, O:O, "Not Found"), "Not Found")</f>
        <v>0</v>
      </c>
      <c r="AG214" s="15">
        <v>0</v>
      </c>
      <c r="AH214" s="15">
        <v>0</v>
      </c>
      <c r="AI214" s="15">
        <v>3</v>
      </c>
      <c r="AJ214" s="15">
        <v>0</v>
      </c>
      <c r="AK214" s="15">
        <v>0</v>
      </c>
      <c r="AL214" s="15">
        <v>0</v>
      </c>
      <c r="AM214" s="15">
        <v>0</v>
      </c>
      <c r="AO214" t="s">
        <v>1240</v>
      </c>
    </row>
    <row r="215" spans="8:41">
      <c r="H215" t="s">
        <v>1028</v>
      </c>
      <c r="I215" t="str">
        <f t="shared" si="4"/>
        <v>corby</v>
      </c>
      <c r="J215" t="str">
        <v>corby</v>
      </c>
      <c r="K215" t="str">
        <f>IFERROR(_xlfn.XLOOKUP(TRIM(H215), M:M, N:N, "Not Found"), "Not Found")</f>
        <v>Familial based</v>
      </c>
      <c r="V215" t="s">
        <v>965</v>
      </c>
      <c r="W215" t="s">
        <v>966</v>
      </c>
      <c r="X215">
        <f>Z215</f>
        <v>0</v>
      </c>
      <c r="Z215">
        <f>IFERROR(_xlfn.XLOOKUP(TRIM(V215), M:M, O:O, "Not Found"), "Not Found")</f>
        <v>0</v>
      </c>
      <c r="AG215" s="15">
        <v>0</v>
      </c>
      <c r="AH215" s="15">
        <v>0</v>
      </c>
      <c r="AI215" s="15">
        <v>0</v>
      </c>
      <c r="AJ215" s="15">
        <v>0</v>
      </c>
      <c r="AK215" s="15">
        <v>0</v>
      </c>
      <c r="AL215" s="15">
        <v>0</v>
      </c>
      <c r="AM215" s="15">
        <v>0</v>
      </c>
      <c r="AO215" t="s">
        <v>1058</v>
      </c>
    </row>
    <row r="216" spans="8:41">
      <c r="H216" t="s">
        <v>965</v>
      </c>
      <c r="I216" t="str">
        <f t="shared" si="4"/>
        <v>schapelle corby</v>
      </c>
      <c r="J216" t="str">
        <v>schapelle corby</v>
      </c>
      <c r="K216" t="str">
        <f>IFERROR(_xlfn.XLOOKUP(TRIM(H216), M:M, N:N, "Not Found"), "Not Found")</f>
        <v>Case Related</v>
      </c>
      <c r="V216" t="s">
        <v>965</v>
      </c>
      <c r="W216" t="s">
        <v>966</v>
      </c>
      <c r="X216">
        <f>Z216</f>
        <v>0</v>
      </c>
      <c r="Z216">
        <f>IFERROR(_xlfn.XLOOKUP(TRIM(V216), M:M, O:O, "Not Found"), "Not Found")</f>
        <v>0</v>
      </c>
      <c r="AG216" s="15">
        <v>0</v>
      </c>
      <c r="AH216" s="15">
        <v>0</v>
      </c>
      <c r="AI216" s="15">
        <v>0</v>
      </c>
      <c r="AJ216" s="15">
        <v>0</v>
      </c>
      <c r="AK216" s="15">
        <v>0</v>
      </c>
      <c r="AL216" s="15">
        <v>0</v>
      </c>
      <c r="AM216" s="15">
        <v>0</v>
      </c>
      <c r="AO216" t="s">
        <v>1255</v>
      </c>
    </row>
    <row r="217" spans="8:41">
      <c r="H217" t="s">
        <v>1028</v>
      </c>
      <c r="I217" t="str">
        <f t="shared" si="4"/>
        <v>corby</v>
      </c>
      <c r="J217" t="str">
        <v>corby</v>
      </c>
      <c r="K217" t="str">
        <f>IFERROR(_xlfn.XLOOKUP(TRIM(H217), M:M, N:N, "Not Found"), "Not Found")</f>
        <v>Familial based</v>
      </c>
      <c r="V217" t="s">
        <v>965</v>
      </c>
      <c r="W217" t="s">
        <v>966</v>
      </c>
      <c r="X217">
        <f>Z217</f>
        <v>0</v>
      </c>
      <c r="Z217">
        <f>IFERROR(_xlfn.XLOOKUP(TRIM(V217), M:M, O:O, "Not Found"), "Not Found")</f>
        <v>0</v>
      </c>
      <c r="AG217" s="15">
        <v>0</v>
      </c>
      <c r="AH217" s="15">
        <v>0</v>
      </c>
      <c r="AI217" s="15">
        <v>0</v>
      </c>
      <c r="AJ217" s="15">
        <v>0</v>
      </c>
      <c r="AK217" s="15">
        <v>0</v>
      </c>
      <c r="AL217" s="15">
        <v>0</v>
      </c>
      <c r="AM217" s="15">
        <v>0</v>
      </c>
      <c r="AO217" t="s">
        <v>1269</v>
      </c>
    </row>
    <row r="218" spans="8:41">
      <c r="H218" t="s">
        <v>965</v>
      </c>
      <c r="I218" t="str">
        <f t="shared" si="4"/>
        <v>schapelle corby</v>
      </c>
      <c r="J218" t="str">
        <v>schapelle corby</v>
      </c>
      <c r="K218" t="str">
        <f>IFERROR(_xlfn.XLOOKUP(TRIM(H218), M:M, N:N, "Not Found"), "Not Found")</f>
        <v>Case Related</v>
      </c>
      <c r="V218" t="s">
        <v>965</v>
      </c>
      <c r="W218" t="s">
        <v>966</v>
      </c>
      <c r="X218">
        <f>Z218</f>
        <v>0</v>
      </c>
      <c r="Z218">
        <f>IFERROR(_xlfn.XLOOKUP(TRIM(V218), M:M, O:O, "Not Found"), "Not Found")</f>
        <v>0</v>
      </c>
      <c r="AG218" s="15">
        <v>0</v>
      </c>
      <c r="AH218" s="15">
        <v>1</v>
      </c>
      <c r="AI218" s="15">
        <v>0</v>
      </c>
      <c r="AJ218" s="15">
        <v>0</v>
      </c>
      <c r="AK218" s="15">
        <v>0</v>
      </c>
      <c r="AL218" s="15">
        <v>0</v>
      </c>
      <c r="AM218" s="15">
        <v>0</v>
      </c>
      <c r="AO218" t="s">
        <v>1269</v>
      </c>
    </row>
    <row r="219" spans="8:41">
      <c r="H219" t="s">
        <v>970</v>
      </c>
      <c r="I219" t="str">
        <f t="shared" si="4"/>
        <v>australian</v>
      </c>
      <c r="J219" t="str">
        <v>australian</v>
      </c>
      <c r="K219" t="str">
        <f>IFERROR(_xlfn.XLOOKUP(TRIM(H219), M:M, N:N, "Not Found"), "Not Found")</f>
        <v>Case Related</v>
      </c>
      <c r="V219" t="s">
        <v>965</v>
      </c>
      <c r="W219" t="s">
        <v>966</v>
      </c>
      <c r="X219">
        <f>Z219</f>
        <v>0</v>
      </c>
      <c r="Z219">
        <f>IFERROR(_xlfn.XLOOKUP(TRIM(V219), M:M, O:O, "Not Found"), "Not Found")</f>
        <v>0</v>
      </c>
      <c r="AG219" s="15">
        <v>0</v>
      </c>
      <c r="AH219" s="15">
        <v>1</v>
      </c>
      <c r="AI219" s="15">
        <v>0</v>
      </c>
      <c r="AJ219" s="15">
        <v>0</v>
      </c>
      <c r="AK219" s="15">
        <v>0</v>
      </c>
      <c r="AL219" s="15">
        <v>0</v>
      </c>
      <c r="AM219" s="15">
        <v>0</v>
      </c>
      <c r="AO219" t="s">
        <v>1269</v>
      </c>
    </row>
    <row r="220" spans="8:41">
      <c r="H220" t="s">
        <v>983</v>
      </c>
      <c r="I220" t="str">
        <f t="shared" si="4"/>
        <v>australia</v>
      </c>
      <c r="J220" t="str">
        <v>australia</v>
      </c>
      <c r="K220" t="str">
        <f>IFERROR(_xlfn.XLOOKUP(TRIM(H220), M:M, N:N, "Not Found"), "Not Found")</f>
        <v>Case Related</v>
      </c>
      <c r="V220" t="s">
        <v>965</v>
      </c>
      <c r="W220" t="s">
        <v>966</v>
      </c>
      <c r="X220">
        <f>Z220</f>
        <v>0</v>
      </c>
      <c r="Z220">
        <f>IFERROR(_xlfn.XLOOKUP(TRIM(V220), M:M, O:O, "Not Found"), "Not Found")</f>
        <v>0</v>
      </c>
      <c r="AG220" s="15">
        <v>0</v>
      </c>
      <c r="AH220" s="15">
        <v>1</v>
      </c>
      <c r="AI220" s="15">
        <v>0</v>
      </c>
      <c r="AJ220" s="15">
        <v>0</v>
      </c>
      <c r="AK220" s="15">
        <v>0</v>
      </c>
      <c r="AL220" s="15">
        <v>0</v>
      </c>
      <c r="AM220" s="15">
        <v>0</v>
      </c>
      <c r="AO220" t="s">
        <v>966</v>
      </c>
    </row>
    <row r="221" spans="8:41">
      <c r="H221" t="s">
        <v>992</v>
      </c>
      <c r="I221" t="str">
        <f t="shared" si="4"/>
        <v>drug smuggler</v>
      </c>
      <c r="J221" t="str">
        <v>drug smuggler</v>
      </c>
      <c r="K221" t="str">
        <f>IFERROR(_xlfn.XLOOKUP(TRIM(H221), M:M, N:N, "Not Found"), "Not Found")</f>
        <v>Crime based</v>
      </c>
      <c r="V221" t="s">
        <v>965</v>
      </c>
      <c r="W221" t="s">
        <v>966</v>
      </c>
      <c r="X221">
        <f>Z221</f>
        <v>0</v>
      </c>
      <c r="Z221">
        <f>IFERROR(_xlfn.XLOOKUP(TRIM(V221), M:M, O:O, "Not Found"), "Not Found")</f>
        <v>0</v>
      </c>
      <c r="AG221" s="15">
        <v>0</v>
      </c>
      <c r="AH221" s="15">
        <v>0</v>
      </c>
      <c r="AI221" s="15">
        <v>0</v>
      </c>
      <c r="AJ221" s="15">
        <v>0</v>
      </c>
      <c r="AK221" s="15">
        <v>0</v>
      </c>
      <c r="AL221" s="15">
        <v>0</v>
      </c>
      <c r="AM221" s="15">
        <v>0</v>
      </c>
      <c r="AO221" t="s">
        <v>1274</v>
      </c>
    </row>
    <row r="222" spans="8:41">
      <c r="H222" t="s">
        <v>1028</v>
      </c>
      <c r="I222" t="str">
        <f t="shared" si="4"/>
        <v>corby</v>
      </c>
      <c r="J222" t="str">
        <v>corby</v>
      </c>
      <c r="K222" t="str">
        <f>IFERROR(_xlfn.XLOOKUP(TRIM(H222), M:M, N:N, "Not Found"), "Not Found")</f>
        <v>Familial based</v>
      </c>
      <c r="V222" t="s">
        <v>965</v>
      </c>
      <c r="W222" t="s">
        <v>966</v>
      </c>
      <c r="X222">
        <f>Z222</f>
        <v>0</v>
      </c>
      <c r="Z222">
        <f>IFERROR(_xlfn.XLOOKUP(TRIM(V222), M:M, O:O, "Not Found"), "Not Found")</f>
        <v>0</v>
      </c>
      <c r="AG222" s="15">
        <v>0</v>
      </c>
      <c r="AH222" s="15">
        <v>1</v>
      </c>
      <c r="AI222" s="15">
        <v>1</v>
      </c>
      <c r="AJ222" s="15">
        <v>0</v>
      </c>
      <c r="AK222" s="15">
        <v>0</v>
      </c>
      <c r="AL222" s="15">
        <v>0</v>
      </c>
      <c r="AM222" s="15">
        <v>0</v>
      </c>
      <c r="AO222" t="s">
        <v>1255</v>
      </c>
    </row>
    <row r="223" spans="8:41">
      <c r="H223" t="s">
        <v>965</v>
      </c>
      <c r="I223" t="str">
        <f t="shared" si="4"/>
        <v>schapelle corby</v>
      </c>
      <c r="J223" t="str">
        <v>schapelle corby</v>
      </c>
      <c r="K223" t="str">
        <f>IFERROR(_xlfn.XLOOKUP(TRIM(H223), M:M, N:N, "Not Found"), "Not Found")</f>
        <v>Case Related</v>
      </c>
      <c r="V223" t="s">
        <v>965</v>
      </c>
      <c r="W223" t="s">
        <v>966</v>
      </c>
      <c r="X223">
        <f>Z223</f>
        <v>0</v>
      </c>
      <c r="Z223">
        <f>IFERROR(_xlfn.XLOOKUP(TRIM(V223), M:M, O:O, "Not Found"), "Not Found")</f>
        <v>0</v>
      </c>
      <c r="AG223" s="15">
        <v>0</v>
      </c>
      <c r="AH223" s="15">
        <v>0</v>
      </c>
      <c r="AI223" s="15">
        <v>0</v>
      </c>
      <c r="AJ223" s="15">
        <v>0</v>
      </c>
      <c r="AK223" s="15">
        <v>0</v>
      </c>
      <c r="AL223" s="15">
        <v>0</v>
      </c>
      <c r="AM223" s="15">
        <v>0</v>
      </c>
      <c r="AO223" t="s">
        <v>1255</v>
      </c>
    </row>
    <row r="224" spans="8:41">
      <c r="H224" t="s">
        <v>982</v>
      </c>
      <c r="I224" t="str">
        <f t="shared" si="4"/>
        <v>media circus</v>
      </c>
      <c r="J224" t="str">
        <v>media circus</v>
      </c>
      <c r="K224" t="str">
        <f>IFERROR(_xlfn.XLOOKUP(TRIM(H224), M:M, N:N, "Not Found"), "Not Found")</f>
        <v>Case Related</v>
      </c>
      <c r="V224" t="s">
        <v>965</v>
      </c>
      <c r="W224" t="s">
        <v>966</v>
      </c>
      <c r="X224">
        <f>Z224</f>
        <v>0</v>
      </c>
      <c r="Z224">
        <f>IFERROR(_xlfn.XLOOKUP(TRIM(V224), M:M, O:O, "Not Found"), "Not Found")</f>
        <v>0</v>
      </c>
      <c r="AG224" s="15">
        <v>0</v>
      </c>
      <c r="AH224" s="15">
        <v>0</v>
      </c>
      <c r="AI224" s="15">
        <v>0</v>
      </c>
      <c r="AJ224" s="15">
        <v>0</v>
      </c>
      <c r="AK224" s="15">
        <v>0</v>
      </c>
      <c r="AL224" s="15">
        <v>0</v>
      </c>
      <c r="AM224" s="15">
        <v>0</v>
      </c>
      <c r="AO224" t="s">
        <v>1255</v>
      </c>
    </row>
    <row r="225" spans="8:41">
      <c r="H225" t="s">
        <v>1028</v>
      </c>
      <c r="I225" t="str">
        <f t="shared" si="4"/>
        <v>corby</v>
      </c>
      <c r="J225" t="str">
        <v>corby</v>
      </c>
      <c r="K225" t="str">
        <f>IFERROR(_xlfn.XLOOKUP(TRIM(H225), M:M, N:N, "Not Found"), "Not Found")</f>
        <v>Familial based</v>
      </c>
      <c r="V225" t="s">
        <v>965</v>
      </c>
      <c r="W225" t="s">
        <v>966</v>
      </c>
      <c r="X225">
        <f>Z225</f>
        <v>0</v>
      </c>
      <c r="Z225">
        <f>IFERROR(_xlfn.XLOOKUP(TRIM(V225), M:M, O:O, "Not Found"), "Not Found")</f>
        <v>0</v>
      </c>
      <c r="AG225" s="15">
        <v>0</v>
      </c>
      <c r="AH225" s="15">
        <v>0</v>
      </c>
      <c r="AI225" s="15">
        <v>0</v>
      </c>
      <c r="AJ225" s="15">
        <v>0</v>
      </c>
      <c r="AK225" s="15">
        <v>0</v>
      </c>
      <c r="AL225" s="15">
        <v>0</v>
      </c>
      <c r="AM225" s="15">
        <v>0</v>
      </c>
      <c r="AO225" t="s">
        <v>1255</v>
      </c>
    </row>
    <row r="226" spans="8:41">
      <c r="H226" t="s">
        <v>965</v>
      </c>
      <c r="I226" t="str">
        <f t="shared" si="4"/>
        <v>schapelle corby</v>
      </c>
      <c r="J226" t="str">
        <v>schapelle corby</v>
      </c>
      <c r="K226" t="str">
        <f>IFERROR(_xlfn.XLOOKUP(TRIM(H226), M:M, N:N, "Not Found"), "Not Found")</f>
        <v>Case Related</v>
      </c>
      <c r="V226" t="s">
        <v>965</v>
      </c>
      <c r="W226" t="s">
        <v>966</v>
      </c>
      <c r="X226">
        <f>Z226</f>
        <v>0</v>
      </c>
      <c r="Z226">
        <f>IFERROR(_xlfn.XLOOKUP(TRIM(V226), M:M, O:O, "Not Found"), "Not Found")</f>
        <v>0</v>
      </c>
      <c r="AG226" s="15">
        <v>0</v>
      </c>
      <c r="AH226" s="15">
        <v>0</v>
      </c>
      <c r="AI226" s="15">
        <v>0</v>
      </c>
      <c r="AJ226" s="15">
        <v>0</v>
      </c>
      <c r="AK226" s="15">
        <v>0</v>
      </c>
      <c r="AL226" s="15">
        <v>0</v>
      </c>
      <c r="AM226" s="15">
        <v>0</v>
      </c>
      <c r="AO226" t="s">
        <v>1255</v>
      </c>
    </row>
    <row r="227" spans="8:41">
      <c r="H227" t="s">
        <v>983</v>
      </c>
      <c r="I227" t="str">
        <f t="shared" si="4"/>
        <v>australia</v>
      </c>
      <c r="J227" t="str">
        <v>australia</v>
      </c>
      <c r="K227" t="str">
        <f>IFERROR(_xlfn.XLOOKUP(TRIM(H227), M:M, N:N, "Not Found"), "Not Found")</f>
        <v>Case Related</v>
      </c>
      <c r="V227" t="s">
        <v>965</v>
      </c>
      <c r="W227" t="s">
        <v>966</v>
      </c>
      <c r="X227">
        <f>Z227</f>
        <v>0</v>
      </c>
      <c r="Z227">
        <f>IFERROR(_xlfn.XLOOKUP(TRIM(V227), M:M, O:O, "Not Found"), "Not Found")</f>
        <v>0</v>
      </c>
      <c r="AG227" s="15">
        <v>0</v>
      </c>
      <c r="AH227" s="15">
        <v>0</v>
      </c>
      <c r="AI227" s="15">
        <v>0</v>
      </c>
      <c r="AJ227" s="15">
        <v>0</v>
      </c>
      <c r="AK227" s="15">
        <v>0</v>
      </c>
      <c r="AL227" s="15">
        <v>0</v>
      </c>
      <c r="AM227" s="15">
        <v>0</v>
      </c>
      <c r="AO227" t="s">
        <v>1275</v>
      </c>
    </row>
    <row r="228" spans="8:41">
      <c r="H228" t="s">
        <v>1028</v>
      </c>
      <c r="I228" t="str">
        <f t="shared" si="4"/>
        <v>corby</v>
      </c>
      <c r="J228" t="str">
        <v>corby</v>
      </c>
      <c r="K228" t="str">
        <f>IFERROR(_xlfn.XLOOKUP(TRIM(H228), M:M, N:N, "Not Found"), "Not Found")</f>
        <v>Familial based</v>
      </c>
      <c r="V228" t="s">
        <v>965</v>
      </c>
      <c r="W228" t="s">
        <v>966</v>
      </c>
      <c r="X228">
        <f>Z228</f>
        <v>0</v>
      </c>
      <c r="Z228">
        <f>IFERROR(_xlfn.XLOOKUP(TRIM(V228), M:M, O:O, "Not Found"), "Not Found")</f>
        <v>0</v>
      </c>
      <c r="AG228" s="15">
        <v>0</v>
      </c>
      <c r="AH228" s="15">
        <v>0</v>
      </c>
      <c r="AI228" s="15">
        <v>0</v>
      </c>
      <c r="AJ228" s="15">
        <v>0</v>
      </c>
      <c r="AK228" s="15">
        <v>3</v>
      </c>
      <c r="AL228" s="15">
        <v>0</v>
      </c>
      <c r="AM228" s="15">
        <v>0</v>
      </c>
      <c r="AO228" t="s">
        <v>1269</v>
      </c>
    </row>
    <row r="229" spans="8:41">
      <c r="H229" t="s">
        <v>965</v>
      </c>
      <c r="I229" t="str">
        <f t="shared" si="4"/>
        <v>schapelle corby</v>
      </c>
      <c r="J229" t="str">
        <v>schapelle corby</v>
      </c>
      <c r="K229" t="str">
        <f>IFERROR(_xlfn.XLOOKUP(TRIM(H229), M:M, N:N, "Not Found"), "Not Found")</f>
        <v>Case Related</v>
      </c>
      <c r="V229" t="s">
        <v>965</v>
      </c>
      <c r="W229" t="s">
        <v>966</v>
      </c>
      <c r="X229">
        <f>Z229</f>
        <v>0</v>
      </c>
      <c r="Z229">
        <f>IFERROR(_xlfn.XLOOKUP(TRIM(V229), M:M, O:O, "Not Found"), "Not Found")</f>
        <v>0</v>
      </c>
      <c r="AG229" s="15">
        <v>0</v>
      </c>
      <c r="AH229" s="15">
        <v>1</v>
      </c>
      <c r="AI229" s="15">
        <v>0</v>
      </c>
      <c r="AJ229" s="15">
        <v>0</v>
      </c>
      <c r="AK229" s="15">
        <v>0</v>
      </c>
      <c r="AL229" s="15">
        <v>0</v>
      </c>
      <c r="AM229" s="15">
        <v>0</v>
      </c>
      <c r="AO229" t="s">
        <v>1255</v>
      </c>
    </row>
    <row r="230" spans="8:41">
      <c r="H230" t="s">
        <v>1028</v>
      </c>
      <c r="I230" t="str">
        <f t="shared" si="4"/>
        <v>corby</v>
      </c>
      <c r="J230" t="str">
        <v>corby</v>
      </c>
      <c r="K230" t="str">
        <f>IFERROR(_xlfn.XLOOKUP(TRIM(H230), M:M, N:N, "Not Found"), "Not Found")</f>
        <v>Familial based</v>
      </c>
      <c r="V230" t="s">
        <v>965</v>
      </c>
      <c r="W230" t="s">
        <v>966</v>
      </c>
      <c r="X230">
        <f>Z230</f>
        <v>0</v>
      </c>
      <c r="Z230">
        <f>IFERROR(_xlfn.XLOOKUP(TRIM(V230), M:M, O:O, "Not Found"), "Not Found")</f>
        <v>0</v>
      </c>
      <c r="AG230" s="15">
        <v>0</v>
      </c>
      <c r="AH230" s="15">
        <v>0</v>
      </c>
      <c r="AI230" s="15">
        <v>0</v>
      </c>
      <c r="AJ230" s="15">
        <v>0</v>
      </c>
      <c r="AK230" s="15">
        <v>0</v>
      </c>
      <c r="AL230" s="15">
        <v>0</v>
      </c>
      <c r="AM230" s="15">
        <v>0</v>
      </c>
      <c r="AO230" t="s">
        <v>985</v>
      </c>
    </row>
    <row r="231" spans="8:41">
      <c r="H231" t="s">
        <v>965</v>
      </c>
      <c r="I231" t="str">
        <f t="shared" si="4"/>
        <v>schapelle corby</v>
      </c>
      <c r="J231" t="str">
        <v>schapelle corby</v>
      </c>
      <c r="K231" t="str">
        <f>IFERROR(_xlfn.XLOOKUP(TRIM(H231), M:M, N:N, "Not Found"), "Not Found")</f>
        <v>Case Related</v>
      </c>
      <c r="V231" t="s">
        <v>965</v>
      </c>
      <c r="W231" t="s">
        <v>966</v>
      </c>
      <c r="X231">
        <f>Z231</f>
        <v>0</v>
      </c>
      <c r="Z231">
        <f>IFERROR(_xlfn.XLOOKUP(TRIM(V231), M:M, O:O, "Not Found"), "Not Found")</f>
        <v>0</v>
      </c>
      <c r="AG231" s="15">
        <v>0</v>
      </c>
      <c r="AH231" s="15">
        <v>1</v>
      </c>
      <c r="AI231" s="15">
        <v>0</v>
      </c>
      <c r="AJ231" s="15">
        <v>0</v>
      </c>
      <c r="AK231" s="15">
        <v>0</v>
      </c>
      <c r="AL231" s="15">
        <v>0</v>
      </c>
      <c r="AM231" s="15">
        <v>0</v>
      </c>
      <c r="AO231" t="s">
        <v>1255</v>
      </c>
    </row>
    <row r="232" spans="8:41">
      <c r="H232" t="s">
        <v>1028</v>
      </c>
      <c r="I232" t="str">
        <f t="shared" si="4"/>
        <v>corby</v>
      </c>
      <c r="J232" t="str">
        <v>corby</v>
      </c>
      <c r="K232" t="str">
        <f>IFERROR(_xlfn.XLOOKUP(TRIM(H232), M:M, N:N, "Not Found"), "Not Found")</f>
        <v>Familial based</v>
      </c>
      <c r="V232" t="s">
        <v>965</v>
      </c>
      <c r="W232" t="s">
        <v>966</v>
      </c>
      <c r="X232">
        <f>Z232</f>
        <v>0</v>
      </c>
      <c r="Z232">
        <f>IFERROR(_xlfn.XLOOKUP(TRIM(V232), M:M, O:O, "Not Found"), "Not Found")</f>
        <v>0</v>
      </c>
      <c r="AG232" s="15">
        <v>0</v>
      </c>
      <c r="AH232" s="15">
        <v>0</v>
      </c>
      <c r="AI232" s="15">
        <v>0</v>
      </c>
      <c r="AJ232" s="15">
        <v>0</v>
      </c>
      <c r="AK232" s="15">
        <v>0</v>
      </c>
      <c r="AL232" s="15">
        <v>0</v>
      </c>
      <c r="AM232" s="15">
        <v>0</v>
      </c>
      <c r="AO232" t="s">
        <v>1255</v>
      </c>
    </row>
    <row r="233" spans="8:41">
      <c r="H233" t="s">
        <v>965</v>
      </c>
      <c r="I233" t="str">
        <f t="shared" si="4"/>
        <v>schapelle corby</v>
      </c>
      <c r="J233" t="str">
        <v>schapelle corby</v>
      </c>
      <c r="K233" t="str">
        <f>IFERROR(_xlfn.XLOOKUP(TRIM(H233), M:M, N:N, "Not Found"), "Not Found")</f>
        <v>Case Related</v>
      </c>
      <c r="V233" t="s">
        <v>965</v>
      </c>
      <c r="W233" t="s">
        <v>966</v>
      </c>
      <c r="X233">
        <f>Z233</f>
        <v>0</v>
      </c>
      <c r="Z233">
        <f>IFERROR(_xlfn.XLOOKUP(TRIM(V233), M:M, O:O, "Not Found"), "Not Found")</f>
        <v>0</v>
      </c>
      <c r="AG233" s="15">
        <v>0</v>
      </c>
      <c r="AH233" s="15">
        <v>0</v>
      </c>
      <c r="AI233" s="15">
        <v>0</v>
      </c>
      <c r="AJ233" s="15">
        <v>0</v>
      </c>
      <c r="AK233" s="15">
        <v>0</v>
      </c>
      <c r="AL233" s="15">
        <v>0</v>
      </c>
      <c r="AM233" s="15">
        <v>0</v>
      </c>
      <c r="AO233" t="s">
        <v>1255</v>
      </c>
    </row>
    <row r="234" spans="8:41">
      <c r="H234" t="s">
        <v>1028</v>
      </c>
      <c r="I234" t="str">
        <f t="shared" si="4"/>
        <v>corby</v>
      </c>
      <c r="J234" t="str">
        <v>corby</v>
      </c>
      <c r="K234" t="str">
        <f>IFERROR(_xlfn.XLOOKUP(TRIM(H234), M:M, N:N, "Not Found"), "Not Found")</f>
        <v>Familial based</v>
      </c>
      <c r="V234" t="s">
        <v>965</v>
      </c>
      <c r="W234" t="s">
        <v>966</v>
      </c>
      <c r="X234">
        <f>Z234</f>
        <v>0</v>
      </c>
      <c r="Z234">
        <f>IFERROR(_xlfn.XLOOKUP(TRIM(V234), M:M, O:O, "Not Found"), "Not Found")</f>
        <v>0</v>
      </c>
      <c r="AG234" s="15">
        <v>0</v>
      </c>
      <c r="AH234" s="15">
        <v>0</v>
      </c>
      <c r="AI234" s="15">
        <v>0</v>
      </c>
      <c r="AJ234" s="15">
        <v>0</v>
      </c>
      <c r="AK234" s="15">
        <v>0</v>
      </c>
      <c r="AL234" s="15">
        <v>0</v>
      </c>
      <c r="AM234" s="15">
        <v>0</v>
      </c>
      <c r="AO234" t="s">
        <v>1255</v>
      </c>
    </row>
    <row r="235" spans="8:41">
      <c r="H235" t="s">
        <v>965</v>
      </c>
      <c r="I235" t="str">
        <f t="shared" si="4"/>
        <v>schapelle corby</v>
      </c>
      <c r="J235" t="str">
        <v>schapelle corby</v>
      </c>
      <c r="K235" t="str">
        <f>IFERROR(_xlfn.XLOOKUP(TRIM(H235), M:M, N:N, "Not Found"), "Not Found")</f>
        <v>Case Related</v>
      </c>
      <c r="V235" t="s">
        <v>965</v>
      </c>
      <c r="W235" t="s">
        <v>966</v>
      </c>
      <c r="X235">
        <f>Z235</f>
        <v>0</v>
      </c>
      <c r="Z235">
        <f>IFERROR(_xlfn.XLOOKUP(TRIM(V235), M:M, O:O, "Not Found"), "Not Found")</f>
        <v>0</v>
      </c>
      <c r="AG235" s="15">
        <v>0</v>
      </c>
      <c r="AH235" s="15">
        <v>0</v>
      </c>
      <c r="AI235" s="15">
        <v>0</v>
      </c>
      <c r="AJ235" s="15">
        <v>0</v>
      </c>
      <c r="AK235" s="15">
        <v>0</v>
      </c>
      <c r="AL235" s="15">
        <v>0</v>
      </c>
      <c r="AM235" s="15">
        <v>0</v>
      </c>
      <c r="AO235" t="s">
        <v>1276</v>
      </c>
    </row>
    <row r="236" spans="8:41">
      <c r="H236" t="s">
        <v>983</v>
      </c>
      <c r="I236" t="str">
        <f t="shared" si="4"/>
        <v>australia</v>
      </c>
      <c r="J236" t="str">
        <v>australia</v>
      </c>
      <c r="K236" t="str">
        <f>IFERROR(_xlfn.XLOOKUP(TRIM(H236), M:M, N:N, "Not Found"), "Not Found")</f>
        <v>Case Related</v>
      </c>
      <c r="V236" t="s">
        <v>965</v>
      </c>
      <c r="W236" t="s">
        <v>966</v>
      </c>
      <c r="X236">
        <f>Z236</f>
        <v>0</v>
      </c>
      <c r="Z236">
        <f>IFERROR(_xlfn.XLOOKUP(TRIM(V236), M:M, O:O, "Not Found"), "Not Found")</f>
        <v>0</v>
      </c>
      <c r="AG236" s="15">
        <v>0</v>
      </c>
      <c r="AH236" s="15">
        <v>0</v>
      </c>
      <c r="AI236" s="15">
        <v>0</v>
      </c>
      <c r="AJ236" s="15">
        <v>0</v>
      </c>
      <c r="AK236" s="15">
        <v>0</v>
      </c>
      <c r="AL236" s="15">
        <v>0</v>
      </c>
      <c r="AM236" s="15">
        <v>3</v>
      </c>
      <c r="AO236" t="s">
        <v>1022</v>
      </c>
    </row>
    <row r="237" spans="8:41">
      <c r="H237" t="s">
        <v>1028</v>
      </c>
      <c r="I237" t="str">
        <f t="shared" si="4"/>
        <v>corby</v>
      </c>
      <c r="J237" t="str">
        <v>corby</v>
      </c>
      <c r="K237" t="str">
        <f>IFERROR(_xlfn.XLOOKUP(TRIM(H237), M:M, N:N, "Not Found"), "Not Found")</f>
        <v>Familial based</v>
      </c>
      <c r="V237" t="s">
        <v>965</v>
      </c>
      <c r="W237" t="s">
        <v>966</v>
      </c>
      <c r="X237">
        <f>Z237</f>
        <v>0</v>
      </c>
      <c r="Z237">
        <f>IFERROR(_xlfn.XLOOKUP(TRIM(V237), M:M, O:O, "Not Found"), "Not Found")</f>
        <v>0</v>
      </c>
      <c r="AG237" s="15">
        <v>0</v>
      </c>
      <c r="AH237" s="15">
        <v>0</v>
      </c>
      <c r="AI237" s="15">
        <v>0</v>
      </c>
      <c r="AJ237" s="15">
        <v>0</v>
      </c>
      <c r="AK237" s="15">
        <v>0</v>
      </c>
      <c r="AL237" s="15">
        <v>0</v>
      </c>
      <c r="AM237" s="15">
        <v>0</v>
      </c>
      <c r="AO237" t="s">
        <v>1255</v>
      </c>
    </row>
    <row r="238" spans="8:41">
      <c r="H238" t="s">
        <v>965</v>
      </c>
      <c r="I238" t="str">
        <f t="shared" si="4"/>
        <v>schapelle corby</v>
      </c>
      <c r="J238" t="str">
        <v>schapelle corby</v>
      </c>
      <c r="K238" t="str">
        <f>IFERROR(_xlfn.XLOOKUP(TRIM(H238), M:M, N:N, "Not Found"), "Not Found")</f>
        <v>Case Related</v>
      </c>
      <c r="V238" t="s">
        <v>965</v>
      </c>
      <c r="W238" t="s">
        <v>966</v>
      </c>
      <c r="X238">
        <f>Z238</f>
        <v>0</v>
      </c>
      <c r="Z238">
        <f>IFERROR(_xlfn.XLOOKUP(TRIM(V238), M:M, O:O, "Not Found"), "Not Found")</f>
        <v>0</v>
      </c>
      <c r="AG238" s="15">
        <v>0</v>
      </c>
      <c r="AH238" s="15">
        <v>0</v>
      </c>
      <c r="AI238" s="15">
        <v>0</v>
      </c>
      <c r="AJ238" s="15">
        <v>0</v>
      </c>
      <c r="AK238" s="15">
        <v>0</v>
      </c>
      <c r="AL238" s="15">
        <v>0</v>
      </c>
      <c r="AM238" s="15">
        <v>0</v>
      </c>
      <c r="AO238" t="s">
        <v>1255</v>
      </c>
    </row>
    <row r="239" spans="8:41">
      <c r="H239" t="s">
        <v>978</v>
      </c>
      <c r="I239" t="str">
        <f t="shared" si="4"/>
        <v>conviction</v>
      </c>
      <c r="J239" t="str">
        <v>conviction</v>
      </c>
      <c r="K239" t="str">
        <f>IFERROR(_xlfn.XLOOKUP(TRIM(H239), M:M, N:N, "Not Found"), "Not Found")</f>
        <v>Case Related</v>
      </c>
      <c r="V239" t="s">
        <v>965</v>
      </c>
      <c r="W239" t="s">
        <v>966</v>
      </c>
      <c r="X239">
        <f>Z239</f>
        <v>0</v>
      </c>
      <c r="Z239">
        <f>IFERROR(_xlfn.XLOOKUP(TRIM(V239), M:M, O:O, "Not Found"), "Not Found")</f>
        <v>0</v>
      </c>
      <c r="AG239" s="15">
        <v>0</v>
      </c>
      <c r="AH239" s="15">
        <v>0</v>
      </c>
      <c r="AI239" s="15">
        <v>0</v>
      </c>
      <c r="AJ239" s="15">
        <v>0</v>
      </c>
      <c r="AK239" s="15">
        <v>0</v>
      </c>
      <c r="AL239" s="15">
        <v>0</v>
      </c>
      <c r="AM239" s="15">
        <v>0</v>
      </c>
      <c r="AO239" t="s">
        <v>1255</v>
      </c>
    </row>
    <row r="240" spans="8:41">
      <c r="H240" t="s">
        <v>1028</v>
      </c>
      <c r="I240" t="str">
        <f t="shared" si="4"/>
        <v>corby</v>
      </c>
      <c r="J240" t="str">
        <v>corby</v>
      </c>
      <c r="K240" t="str">
        <f>IFERROR(_xlfn.XLOOKUP(TRIM(H240), M:M, N:N, "Not Found"), "Not Found")</f>
        <v>Familial based</v>
      </c>
      <c r="V240" t="s">
        <v>965</v>
      </c>
      <c r="W240" t="s">
        <v>966</v>
      </c>
      <c r="X240">
        <f>Z240</f>
        <v>0</v>
      </c>
      <c r="Z240">
        <f>IFERROR(_xlfn.XLOOKUP(TRIM(V240), M:M, O:O, "Not Found"), "Not Found")</f>
        <v>0</v>
      </c>
      <c r="AG240" s="15">
        <v>0</v>
      </c>
      <c r="AH240" s="15">
        <v>0</v>
      </c>
      <c r="AI240" s="15">
        <v>0</v>
      </c>
      <c r="AJ240" s="15">
        <v>0</v>
      </c>
      <c r="AK240" s="15">
        <v>0</v>
      </c>
      <c r="AL240" s="15">
        <v>0</v>
      </c>
      <c r="AM240" s="15">
        <v>0</v>
      </c>
      <c r="AO240" t="s">
        <v>1255</v>
      </c>
    </row>
    <row r="241" spans="8:41">
      <c r="H241" t="s">
        <v>978</v>
      </c>
      <c r="I241" t="str">
        <f t="shared" si="4"/>
        <v>conviction</v>
      </c>
      <c r="J241" t="str">
        <v>conviction</v>
      </c>
      <c r="K241" t="str">
        <f>IFERROR(_xlfn.XLOOKUP(TRIM(H241), M:M, N:N, "Not Found"), "Not Found")</f>
        <v>Case Related</v>
      </c>
      <c r="V241" t="s">
        <v>965</v>
      </c>
      <c r="W241" t="s">
        <v>966</v>
      </c>
      <c r="X241">
        <f>Z241</f>
        <v>0</v>
      </c>
      <c r="Z241">
        <f>IFERROR(_xlfn.XLOOKUP(TRIM(V241), M:M, O:O, "Not Found"), "Not Found")</f>
        <v>0</v>
      </c>
      <c r="AG241" s="15">
        <v>0</v>
      </c>
      <c r="AH241" s="15">
        <v>0</v>
      </c>
      <c r="AI241" s="15">
        <v>0</v>
      </c>
      <c r="AJ241" s="15">
        <v>0</v>
      </c>
      <c r="AK241" s="15">
        <v>0</v>
      </c>
      <c r="AL241" s="15">
        <v>0</v>
      </c>
      <c r="AM241" s="15">
        <v>0</v>
      </c>
      <c r="AO241" t="s">
        <v>1255</v>
      </c>
    </row>
    <row r="242" spans="8:41">
      <c r="H242" t="s">
        <v>965</v>
      </c>
      <c r="I242" t="str">
        <f t="shared" si="4"/>
        <v>schapelle corby</v>
      </c>
      <c r="J242" t="str">
        <v>schapelle corby</v>
      </c>
      <c r="K242" t="str">
        <f>IFERROR(_xlfn.XLOOKUP(TRIM(H242), M:M, N:N, "Not Found"), "Not Found")</f>
        <v>Case Related</v>
      </c>
      <c r="V242" t="s">
        <v>965</v>
      </c>
      <c r="W242" t="s">
        <v>966</v>
      </c>
      <c r="X242">
        <f>Z242</f>
        <v>0</v>
      </c>
      <c r="Z242">
        <f>IFERROR(_xlfn.XLOOKUP(TRIM(V242), M:M, O:O, "Not Found"), "Not Found")</f>
        <v>0</v>
      </c>
      <c r="AG242" s="15">
        <v>0</v>
      </c>
      <c r="AH242" s="15">
        <v>0</v>
      </c>
      <c r="AI242" s="15">
        <v>0</v>
      </c>
      <c r="AJ242" s="15">
        <v>0</v>
      </c>
      <c r="AK242" s="15">
        <v>0</v>
      </c>
      <c r="AL242" s="15">
        <v>0</v>
      </c>
      <c r="AM242" s="15">
        <v>0</v>
      </c>
      <c r="AO242" t="s">
        <v>1022</v>
      </c>
    </row>
    <row r="243" spans="8:41">
      <c r="H243" t="s">
        <v>1028</v>
      </c>
      <c r="I243" t="str">
        <f t="shared" si="4"/>
        <v>corby</v>
      </c>
      <c r="J243" t="str">
        <v>corby</v>
      </c>
      <c r="K243" t="str">
        <f>IFERROR(_xlfn.XLOOKUP(TRIM(H243), M:M, N:N, "Not Found"), "Not Found")</f>
        <v>Familial based</v>
      </c>
      <c r="V243" t="s">
        <v>965</v>
      </c>
      <c r="W243" t="s">
        <v>966</v>
      </c>
      <c r="X243">
        <f>Z243</f>
        <v>0</v>
      </c>
      <c r="Z243">
        <f>IFERROR(_xlfn.XLOOKUP(TRIM(V243), M:M, O:O, "Not Found"), "Not Found")</f>
        <v>0</v>
      </c>
      <c r="AG243" s="15">
        <v>0</v>
      </c>
      <c r="AH243" s="15">
        <v>0</v>
      </c>
      <c r="AI243" s="15">
        <v>0</v>
      </c>
      <c r="AJ243" s="15">
        <v>0</v>
      </c>
      <c r="AK243" s="15">
        <v>0</v>
      </c>
      <c r="AL243" s="15">
        <v>0</v>
      </c>
      <c r="AM243" s="15">
        <v>0</v>
      </c>
      <c r="AO243" t="s">
        <v>1277</v>
      </c>
    </row>
    <row r="244" spans="8:41">
      <c r="H244" t="s">
        <v>965</v>
      </c>
      <c r="I244" t="str">
        <f t="shared" si="4"/>
        <v>schapelle corby</v>
      </c>
      <c r="J244" t="str">
        <v>schapelle corby</v>
      </c>
      <c r="K244" t="str">
        <f>IFERROR(_xlfn.XLOOKUP(TRIM(H244), M:M, N:N, "Not Found"), "Not Found")</f>
        <v>Case Related</v>
      </c>
      <c r="V244" t="s">
        <v>965</v>
      </c>
      <c r="W244" t="s">
        <v>966</v>
      </c>
      <c r="X244">
        <f>Z244</f>
        <v>0</v>
      </c>
      <c r="Z244">
        <f>IFERROR(_xlfn.XLOOKUP(TRIM(V244), M:M, O:O, "Not Found"), "Not Found")</f>
        <v>0</v>
      </c>
      <c r="AG244" s="15">
        <v>0</v>
      </c>
      <c r="AH244" s="15">
        <v>0</v>
      </c>
      <c r="AI244" s="15">
        <v>0</v>
      </c>
      <c r="AJ244" s="15">
        <v>0</v>
      </c>
      <c r="AK244" s="15">
        <v>3</v>
      </c>
      <c r="AL244" s="15">
        <v>0</v>
      </c>
      <c r="AM244" s="15">
        <v>0</v>
      </c>
      <c r="AO244" t="s">
        <v>1278</v>
      </c>
    </row>
    <row r="245" spans="8:41">
      <c r="H245" t="s">
        <v>1028</v>
      </c>
      <c r="I245" t="str">
        <f t="shared" si="4"/>
        <v>corby</v>
      </c>
      <c r="J245" t="str">
        <v>corby</v>
      </c>
      <c r="K245" t="str">
        <f>IFERROR(_xlfn.XLOOKUP(TRIM(H245), M:M, N:N, "Not Found"), "Not Found")</f>
        <v>Familial based</v>
      </c>
      <c r="V245" t="s">
        <v>965</v>
      </c>
      <c r="W245" t="s">
        <v>966</v>
      </c>
      <c r="X245">
        <f>Z245</f>
        <v>0</v>
      </c>
      <c r="Z245">
        <f>IFERROR(_xlfn.XLOOKUP(TRIM(V245), M:M, O:O, "Not Found"), "Not Found")</f>
        <v>0</v>
      </c>
      <c r="AG245" s="15">
        <v>0</v>
      </c>
      <c r="AH245" s="15">
        <v>0</v>
      </c>
      <c r="AI245" s="15">
        <v>1</v>
      </c>
      <c r="AJ245" s="15">
        <v>0</v>
      </c>
      <c r="AK245" s="15">
        <v>0</v>
      </c>
      <c r="AL245" s="15">
        <v>0</v>
      </c>
      <c r="AM245" s="15">
        <v>0</v>
      </c>
      <c r="AO245" t="s">
        <v>1255</v>
      </c>
    </row>
    <row r="246" spans="8:41">
      <c r="H246" t="s">
        <v>1021</v>
      </c>
      <c r="I246" t="str">
        <f t="shared" si="4"/>
        <v>mercedes corby</v>
      </c>
      <c r="J246" t="str">
        <v>Mercedes Corby</v>
      </c>
      <c r="K246" t="str">
        <f>IFERROR(_xlfn.XLOOKUP(TRIM(H246), M:M, N:N, "Not Found"), "Not Found")</f>
        <v>Familial based</v>
      </c>
      <c r="V246" t="s">
        <v>965</v>
      </c>
      <c r="W246" t="s">
        <v>966</v>
      </c>
      <c r="X246">
        <f>Z246</f>
        <v>0</v>
      </c>
      <c r="Z246">
        <f>IFERROR(_xlfn.XLOOKUP(TRIM(V246), M:M, O:O, "Not Found"), "Not Found")</f>
        <v>0</v>
      </c>
      <c r="AG246" s="15">
        <v>0</v>
      </c>
      <c r="AH246" s="15">
        <v>0</v>
      </c>
      <c r="AI246" s="15">
        <v>0</v>
      </c>
      <c r="AJ246" s="15">
        <v>0</v>
      </c>
      <c r="AK246" s="15">
        <v>0</v>
      </c>
      <c r="AL246" s="15">
        <v>0</v>
      </c>
      <c r="AM246" s="15">
        <v>0</v>
      </c>
      <c r="AO246" t="s">
        <v>1279</v>
      </c>
    </row>
    <row r="247" spans="8:41">
      <c r="H247" t="s">
        <v>1027</v>
      </c>
      <c r="I247" t="str">
        <f t="shared" si="4"/>
        <v>mercedes</v>
      </c>
      <c r="J247" t="str">
        <v>mercedes</v>
      </c>
      <c r="K247" t="str">
        <f>IFERROR(_xlfn.XLOOKUP(TRIM(H247), M:M, N:N, "Not Found"), "Not Found")</f>
        <v>Familial based</v>
      </c>
      <c r="V247" t="s">
        <v>965</v>
      </c>
      <c r="W247" t="s">
        <v>966</v>
      </c>
      <c r="X247">
        <f>Z247</f>
        <v>0</v>
      </c>
      <c r="Z247">
        <f>IFERROR(_xlfn.XLOOKUP(TRIM(V247), M:M, O:O, "Not Found"), "Not Found")</f>
        <v>0</v>
      </c>
      <c r="AG247" s="15">
        <v>0</v>
      </c>
      <c r="AH247" s="15">
        <v>0</v>
      </c>
      <c r="AI247" s="15">
        <v>1</v>
      </c>
      <c r="AJ247" s="15">
        <v>0</v>
      </c>
      <c r="AK247" s="15">
        <v>3</v>
      </c>
      <c r="AL247" s="15">
        <v>0</v>
      </c>
      <c r="AM247" s="15">
        <v>0</v>
      </c>
      <c r="AO247" t="s">
        <v>1007</v>
      </c>
    </row>
    <row r="248" spans="8:41">
      <c r="H248" t="s">
        <v>1028</v>
      </c>
      <c r="I248" t="str">
        <f t="shared" si="4"/>
        <v>corby</v>
      </c>
      <c r="J248" t="str">
        <v>corby</v>
      </c>
      <c r="K248" t="str">
        <f>IFERROR(_xlfn.XLOOKUP(TRIM(H248), M:M, N:N, "Not Found"), "Not Found")</f>
        <v>Familial based</v>
      </c>
      <c r="V248" t="s">
        <v>965</v>
      </c>
      <c r="W248" t="s">
        <v>966</v>
      </c>
      <c r="X248">
        <f>Z248</f>
        <v>0</v>
      </c>
      <c r="Z248">
        <f>IFERROR(_xlfn.XLOOKUP(TRIM(V248), M:M, O:O, "Not Found"), "Not Found")</f>
        <v>0</v>
      </c>
      <c r="AG248" s="15">
        <v>0</v>
      </c>
      <c r="AH248" s="15">
        <v>0</v>
      </c>
      <c r="AI248" s="15">
        <v>1</v>
      </c>
      <c r="AJ248" s="15">
        <v>0</v>
      </c>
      <c r="AK248" s="15">
        <v>0</v>
      </c>
      <c r="AL248" s="15">
        <v>0</v>
      </c>
      <c r="AM248" s="15">
        <v>0</v>
      </c>
      <c r="AO248" t="s">
        <v>1280</v>
      </c>
    </row>
    <row r="249" spans="8:41">
      <c r="H249" t="s">
        <v>965</v>
      </c>
      <c r="I249" t="str">
        <f t="shared" si="4"/>
        <v>schapelle corby</v>
      </c>
      <c r="J249" t="str">
        <v>schapelle corby</v>
      </c>
      <c r="K249" t="str">
        <f>IFERROR(_xlfn.XLOOKUP(TRIM(H249), M:M, N:N, "Not Found"), "Not Found")</f>
        <v>Case Related</v>
      </c>
      <c r="V249" t="s">
        <v>965</v>
      </c>
      <c r="W249" t="s">
        <v>966</v>
      </c>
      <c r="X249">
        <f>Z249</f>
        <v>0</v>
      </c>
      <c r="Z249">
        <f>IFERROR(_xlfn.XLOOKUP(TRIM(V249), M:M, O:O, "Not Found"), "Not Found")</f>
        <v>0</v>
      </c>
      <c r="AG249" s="15">
        <v>0</v>
      </c>
      <c r="AH249" s="15">
        <v>0</v>
      </c>
      <c r="AI249" s="15">
        <v>0</v>
      </c>
      <c r="AJ249" s="15">
        <v>0</v>
      </c>
      <c r="AK249" s="15">
        <v>0</v>
      </c>
      <c r="AL249" s="15">
        <v>0</v>
      </c>
      <c r="AM249" s="15">
        <v>2</v>
      </c>
      <c r="AO249" t="s">
        <v>1255</v>
      </c>
    </row>
    <row r="250" spans="8:41">
      <c r="H250" t="s">
        <v>1028</v>
      </c>
      <c r="I250" t="str">
        <f t="shared" si="4"/>
        <v>corby</v>
      </c>
      <c r="J250" t="str">
        <v>corby</v>
      </c>
      <c r="K250" t="str">
        <f>IFERROR(_xlfn.XLOOKUP(TRIM(H250), M:M, N:N, "Not Found"), "Not Found")</f>
        <v>Familial based</v>
      </c>
      <c r="V250" t="s">
        <v>965</v>
      </c>
      <c r="W250" t="s">
        <v>966</v>
      </c>
      <c r="X250">
        <f>Z250</f>
        <v>0</v>
      </c>
      <c r="Z250">
        <f>IFERROR(_xlfn.XLOOKUP(TRIM(V250), M:M, O:O, "Not Found"), "Not Found")</f>
        <v>0</v>
      </c>
      <c r="AG250" s="15">
        <v>0</v>
      </c>
      <c r="AH250" s="15">
        <v>0</v>
      </c>
      <c r="AI250" s="15">
        <v>0</v>
      </c>
      <c r="AJ250" s="15">
        <v>0</v>
      </c>
      <c r="AK250" s="15">
        <v>0</v>
      </c>
      <c r="AL250" s="15">
        <v>0</v>
      </c>
      <c r="AM250" s="15">
        <v>0</v>
      </c>
      <c r="AO250" t="s">
        <v>1255</v>
      </c>
    </row>
    <row r="251" spans="8:41">
      <c r="H251" t="s">
        <v>965</v>
      </c>
      <c r="I251" t="str">
        <f t="shared" si="4"/>
        <v>schapelle corby</v>
      </c>
      <c r="J251" t="str">
        <v>schapelle corby</v>
      </c>
      <c r="K251" t="str">
        <f>IFERROR(_xlfn.XLOOKUP(TRIM(H251), M:M, N:N, "Not Found"), "Not Found")</f>
        <v>Case Related</v>
      </c>
      <c r="V251" t="s">
        <v>965</v>
      </c>
      <c r="W251" t="s">
        <v>966</v>
      </c>
      <c r="X251">
        <f>Z251</f>
        <v>0</v>
      </c>
      <c r="Z251">
        <f>IFERROR(_xlfn.XLOOKUP(TRIM(V251), M:M, O:O, "Not Found"), "Not Found")</f>
        <v>0</v>
      </c>
      <c r="AG251" s="15">
        <v>0</v>
      </c>
      <c r="AH251" s="15">
        <v>0</v>
      </c>
      <c r="AI251" s="15">
        <v>0</v>
      </c>
      <c r="AJ251" s="15">
        <v>0</v>
      </c>
      <c r="AK251" s="15">
        <v>0</v>
      </c>
      <c r="AL251" s="15">
        <v>0</v>
      </c>
      <c r="AM251" s="15">
        <v>0</v>
      </c>
      <c r="AO251" t="s">
        <v>1278</v>
      </c>
    </row>
    <row r="252" spans="8:41">
      <c r="H252" t="s">
        <v>1028</v>
      </c>
      <c r="I252" t="str">
        <f t="shared" si="4"/>
        <v>corby</v>
      </c>
      <c r="J252" t="str">
        <v>corby</v>
      </c>
      <c r="K252" t="str">
        <f>IFERROR(_xlfn.XLOOKUP(TRIM(H252), M:M, N:N, "Not Found"), "Not Found")</f>
        <v>Familial based</v>
      </c>
      <c r="V252" t="s">
        <v>965</v>
      </c>
      <c r="W252" t="s">
        <v>966</v>
      </c>
      <c r="X252">
        <f>Z252</f>
        <v>0</v>
      </c>
      <c r="Z252">
        <f>IFERROR(_xlfn.XLOOKUP(TRIM(V252), M:M, O:O, "Not Found"), "Not Found")</f>
        <v>0</v>
      </c>
      <c r="AG252" s="15">
        <v>0</v>
      </c>
      <c r="AH252" s="15">
        <v>0</v>
      </c>
      <c r="AI252" s="15">
        <v>1</v>
      </c>
      <c r="AJ252" s="15">
        <v>0</v>
      </c>
      <c r="AK252" s="15">
        <v>0</v>
      </c>
      <c r="AL252" s="15">
        <v>0</v>
      </c>
      <c r="AM252" s="15">
        <v>0</v>
      </c>
      <c r="AO252" t="s">
        <v>1278</v>
      </c>
    </row>
    <row r="253" spans="8:41">
      <c r="H253" t="s">
        <v>965</v>
      </c>
      <c r="I253" t="str">
        <f t="shared" si="4"/>
        <v>schapelle corby</v>
      </c>
      <c r="J253" t="str">
        <v>schapelle corby</v>
      </c>
      <c r="K253" t="str">
        <f>IFERROR(_xlfn.XLOOKUP(TRIM(H253), M:M, N:N, "Not Found"), "Not Found")</f>
        <v>Case Related</v>
      </c>
      <c r="V253" t="s">
        <v>965</v>
      </c>
      <c r="W253" t="s">
        <v>966</v>
      </c>
      <c r="X253">
        <f>Z253</f>
        <v>0</v>
      </c>
      <c r="Z253">
        <f>IFERROR(_xlfn.XLOOKUP(TRIM(V253), M:M, O:O, "Not Found"), "Not Found")</f>
        <v>0</v>
      </c>
      <c r="AG253" s="15">
        <v>0</v>
      </c>
      <c r="AH253" s="15">
        <v>0</v>
      </c>
      <c r="AI253" s="15">
        <v>1</v>
      </c>
      <c r="AJ253" s="15">
        <v>0</v>
      </c>
      <c r="AK253" s="15">
        <v>0</v>
      </c>
      <c r="AL253" s="15">
        <v>0</v>
      </c>
      <c r="AM253" s="15">
        <v>0</v>
      </c>
      <c r="AO253" t="s">
        <v>1022</v>
      </c>
    </row>
    <row r="254" spans="8:41">
      <c r="H254" t="s">
        <v>1028</v>
      </c>
      <c r="I254" t="str">
        <f t="shared" si="4"/>
        <v>corby</v>
      </c>
      <c r="J254" t="str">
        <v>corby</v>
      </c>
      <c r="K254" t="str">
        <f>IFERROR(_xlfn.XLOOKUP(TRIM(H254), M:M, N:N, "Not Found"), "Not Found")</f>
        <v>Familial based</v>
      </c>
      <c r="V254" t="s">
        <v>965</v>
      </c>
      <c r="W254" t="s">
        <v>966</v>
      </c>
      <c r="X254">
        <f>Z254</f>
        <v>0</v>
      </c>
      <c r="Z254">
        <f>IFERROR(_xlfn.XLOOKUP(TRIM(V254), M:M, O:O, "Not Found"), "Not Found")</f>
        <v>0</v>
      </c>
      <c r="AG254" s="15">
        <v>0</v>
      </c>
      <c r="AH254" s="15">
        <v>0</v>
      </c>
      <c r="AI254" s="15">
        <v>0</v>
      </c>
      <c r="AJ254" s="15">
        <v>0</v>
      </c>
      <c r="AK254" s="15">
        <v>0</v>
      </c>
      <c r="AL254" s="15">
        <v>0</v>
      </c>
      <c r="AM254" s="15">
        <v>0</v>
      </c>
      <c r="AO254" t="s">
        <v>1255</v>
      </c>
    </row>
    <row r="255" spans="8:41">
      <c r="H255" t="s">
        <v>965</v>
      </c>
      <c r="I255" t="str">
        <f t="shared" si="4"/>
        <v>schapelle corby</v>
      </c>
      <c r="J255" t="str">
        <v>schapelle corby</v>
      </c>
      <c r="K255" t="str">
        <f>IFERROR(_xlfn.XLOOKUP(TRIM(H255), M:M, N:N, "Not Found"), "Not Found")</f>
        <v>Case Related</v>
      </c>
      <c r="V255" t="s">
        <v>965</v>
      </c>
      <c r="W255" t="s">
        <v>966</v>
      </c>
      <c r="X255">
        <f>Z255</f>
        <v>0</v>
      </c>
      <c r="Z255">
        <f>IFERROR(_xlfn.XLOOKUP(TRIM(V255), M:M, O:O, "Not Found"), "Not Found")</f>
        <v>0</v>
      </c>
      <c r="AG255" s="15">
        <v>0</v>
      </c>
      <c r="AH255" s="15">
        <v>0</v>
      </c>
      <c r="AI255" s="15">
        <v>0</v>
      </c>
      <c r="AJ255" s="15">
        <v>0</v>
      </c>
      <c r="AK255" s="15">
        <v>0</v>
      </c>
      <c r="AL255" s="15">
        <v>0</v>
      </c>
      <c r="AM255" s="15">
        <v>0</v>
      </c>
      <c r="AO255" t="s">
        <v>1255</v>
      </c>
    </row>
    <row r="256" spans="8:41">
      <c r="H256" t="s">
        <v>1239</v>
      </c>
      <c r="I256" t="str">
        <f t="shared" si="4"/>
        <v>indonesia</v>
      </c>
      <c r="J256" t="str">
        <v>indonesia</v>
      </c>
      <c r="K256" t="str">
        <f>IFERROR(_xlfn.XLOOKUP(TRIM(H256), M:M, N:N, "Not Found"), "Not Found")</f>
        <v>Not Found</v>
      </c>
      <c r="V256" t="s">
        <v>965</v>
      </c>
      <c r="W256" t="s">
        <v>966</v>
      </c>
      <c r="X256">
        <f>Z256</f>
        <v>0</v>
      </c>
      <c r="Z256">
        <f>IFERROR(_xlfn.XLOOKUP(TRIM(V256), M:M, O:O, "Not Found"), "Not Found")</f>
        <v>0</v>
      </c>
      <c r="AG256" s="15">
        <v>0</v>
      </c>
      <c r="AH256" s="15">
        <v>0</v>
      </c>
      <c r="AI256" s="15">
        <v>0</v>
      </c>
      <c r="AJ256" s="15">
        <v>0</v>
      </c>
      <c r="AK256" s="15">
        <v>0</v>
      </c>
      <c r="AL256" s="15">
        <v>0</v>
      </c>
      <c r="AM256" s="15">
        <v>0</v>
      </c>
      <c r="AO256" t="s">
        <v>1255</v>
      </c>
    </row>
    <row r="257" spans="8:41">
      <c r="H257" t="s">
        <v>983</v>
      </c>
      <c r="I257" t="str">
        <f t="shared" si="4"/>
        <v>australia</v>
      </c>
      <c r="J257" t="str">
        <v>australia</v>
      </c>
      <c r="K257" t="str">
        <f>IFERROR(_xlfn.XLOOKUP(TRIM(H257), M:M, N:N, "Not Found"), "Not Found")</f>
        <v>Case Related</v>
      </c>
      <c r="V257" t="s">
        <v>965</v>
      </c>
      <c r="W257" t="s">
        <v>966</v>
      </c>
      <c r="X257">
        <f>Z257</f>
        <v>0</v>
      </c>
      <c r="Z257">
        <f>IFERROR(_xlfn.XLOOKUP(TRIM(V257), M:M, O:O, "Not Found"), "Not Found")</f>
        <v>0</v>
      </c>
      <c r="AG257" s="15">
        <v>0</v>
      </c>
      <c r="AH257" s="15">
        <v>0</v>
      </c>
      <c r="AI257" s="15">
        <v>0</v>
      </c>
      <c r="AJ257" s="15">
        <v>0</v>
      </c>
      <c r="AK257" s="15">
        <v>0</v>
      </c>
      <c r="AL257" s="15">
        <v>0</v>
      </c>
      <c r="AM257" s="15">
        <v>0</v>
      </c>
      <c r="AO257" t="s">
        <v>1022</v>
      </c>
    </row>
    <row r="258" spans="8:41">
      <c r="H258" t="s">
        <v>991</v>
      </c>
      <c r="I258" t="str">
        <f t="shared" si="4"/>
        <v>drug trafficking</v>
      </c>
      <c r="J258" t="str">
        <v>drug trafficking</v>
      </c>
      <c r="K258" t="str">
        <f>IFERROR(_xlfn.XLOOKUP(TRIM(H258), M:M, N:N, "Not Found"), "Not Found")</f>
        <v>Crime based</v>
      </c>
      <c r="V258" t="s">
        <v>965</v>
      </c>
      <c r="W258" t="s">
        <v>966</v>
      </c>
      <c r="X258">
        <f>Z258</f>
        <v>0</v>
      </c>
      <c r="Z258">
        <f>IFERROR(_xlfn.XLOOKUP(TRIM(V258), M:M, O:O, "Not Found"), "Not Found")</f>
        <v>0</v>
      </c>
      <c r="AG258" s="15">
        <v>0</v>
      </c>
      <c r="AH258" s="15">
        <v>0</v>
      </c>
      <c r="AI258" s="15">
        <v>0</v>
      </c>
      <c r="AJ258" s="15">
        <v>0</v>
      </c>
      <c r="AK258" s="15">
        <v>0</v>
      </c>
      <c r="AL258" s="15">
        <v>0</v>
      </c>
      <c r="AM258" s="15">
        <v>0</v>
      </c>
      <c r="AO258" t="s">
        <v>1255</v>
      </c>
    </row>
    <row r="259" spans="8:41">
      <c r="H259" t="s">
        <v>1020</v>
      </c>
      <c r="I259" t="str">
        <f t="shared" si="4"/>
        <v>af</v>
      </c>
      <c r="J259" t="str">
        <v>af</v>
      </c>
      <c r="K259" t="str">
        <f>IFERROR(_xlfn.XLOOKUP(TRIM(H259), M:M, N:N, "Not Found"), "Not Found")</f>
        <v>Intelligence based</v>
      </c>
      <c r="V259" t="s">
        <v>965</v>
      </c>
      <c r="W259" t="s">
        <v>966</v>
      </c>
      <c r="X259">
        <f>Z259</f>
        <v>0</v>
      </c>
      <c r="Z259">
        <f>IFERROR(_xlfn.XLOOKUP(TRIM(V259), M:M, O:O, "Not Found"), "Not Found")</f>
        <v>0</v>
      </c>
      <c r="AG259" s="15">
        <v>0</v>
      </c>
      <c r="AH259" s="15">
        <v>0</v>
      </c>
      <c r="AI259" s="15">
        <v>0</v>
      </c>
      <c r="AJ259" s="15">
        <v>0</v>
      </c>
      <c r="AK259" s="15">
        <v>0</v>
      </c>
      <c r="AL259" s="15">
        <v>0</v>
      </c>
      <c r="AM259" s="15">
        <v>0</v>
      </c>
      <c r="AO259" t="s">
        <v>1255</v>
      </c>
    </row>
    <row r="260" spans="8:41">
      <c r="H260" t="s">
        <v>1028</v>
      </c>
      <c r="I260" t="str">
        <f t="shared" ref="I260:I323" si="5">TRIM(LOWER(H260))</f>
        <v>corby</v>
      </c>
      <c r="J260" t="str">
        <v>corby</v>
      </c>
      <c r="K260" t="str">
        <f>IFERROR(_xlfn.XLOOKUP(TRIM(H260), M:M, N:N, "Not Found"), "Not Found")</f>
        <v>Familial based</v>
      </c>
      <c r="V260" t="s">
        <v>965</v>
      </c>
      <c r="W260" t="s">
        <v>966</v>
      </c>
      <c r="X260">
        <f>Z260</f>
        <v>0</v>
      </c>
      <c r="Z260">
        <f>IFERROR(_xlfn.XLOOKUP(TRIM(V260), M:M, O:O, "Not Found"), "Not Found")</f>
        <v>0</v>
      </c>
      <c r="AG260" s="15">
        <v>0</v>
      </c>
      <c r="AH260" s="15">
        <v>0</v>
      </c>
      <c r="AI260" s="15">
        <v>0</v>
      </c>
      <c r="AJ260" s="15">
        <v>0</v>
      </c>
      <c r="AK260" s="15">
        <v>0</v>
      </c>
      <c r="AL260" s="15">
        <v>0</v>
      </c>
      <c r="AM260" s="15">
        <v>0</v>
      </c>
      <c r="AO260" t="s">
        <v>1032</v>
      </c>
    </row>
    <row r="261" spans="8:41">
      <c r="H261" t="s">
        <v>965</v>
      </c>
      <c r="I261" t="str">
        <f t="shared" si="5"/>
        <v>schapelle corby</v>
      </c>
      <c r="J261" t="str">
        <v>schapelle corby</v>
      </c>
      <c r="K261" t="str">
        <f>IFERROR(_xlfn.XLOOKUP(TRIM(H261), M:M, N:N, "Not Found"), "Not Found")</f>
        <v>Case Related</v>
      </c>
      <c r="V261" t="s">
        <v>965</v>
      </c>
      <c r="W261" t="s">
        <v>966</v>
      </c>
      <c r="X261">
        <f>Z261</f>
        <v>0</v>
      </c>
      <c r="Z261">
        <f>IFERROR(_xlfn.XLOOKUP(TRIM(V261), M:M, O:O, "Not Found"), "Not Found")</f>
        <v>0</v>
      </c>
      <c r="AG261" s="15">
        <v>0</v>
      </c>
      <c r="AH261" s="15">
        <v>0</v>
      </c>
      <c r="AI261" s="15">
        <v>0</v>
      </c>
      <c r="AJ261" s="15">
        <v>0</v>
      </c>
      <c r="AK261" s="15">
        <v>3</v>
      </c>
      <c r="AL261" s="15">
        <v>0</v>
      </c>
      <c r="AM261" s="15">
        <v>0</v>
      </c>
      <c r="AO261" t="s">
        <v>1255</v>
      </c>
    </row>
    <row r="262" spans="8:41">
      <c r="H262" t="s">
        <v>1028</v>
      </c>
      <c r="I262" t="str">
        <f t="shared" si="5"/>
        <v>corby</v>
      </c>
      <c r="J262" t="str">
        <v>corby</v>
      </c>
      <c r="K262" t="str">
        <f>IFERROR(_xlfn.XLOOKUP(TRIM(H262), M:M, N:N, "Not Found"), "Not Found")</f>
        <v>Familial based</v>
      </c>
      <c r="V262" t="s">
        <v>965</v>
      </c>
      <c r="W262" t="s">
        <v>966</v>
      </c>
      <c r="X262">
        <f>Z262</f>
        <v>0</v>
      </c>
      <c r="Z262">
        <f>IFERROR(_xlfn.XLOOKUP(TRIM(V262), M:M, O:O, "Not Found"), "Not Found")</f>
        <v>0</v>
      </c>
      <c r="AG262" s="15">
        <v>0</v>
      </c>
      <c r="AH262" s="15">
        <v>0</v>
      </c>
      <c r="AI262" s="15">
        <v>0</v>
      </c>
      <c r="AJ262" s="15">
        <v>0</v>
      </c>
      <c r="AK262" s="15">
        <v>0</v>
      </c>
      <c r="AL262" s="15">
        <v>0</v>
      </c>
      <c r="AM262" s="15">
        <v>0</v>
      </c>
      <c r="AO262" t="s">
        <v>1255</v>
      </c>
    </row>
    <row r="263" spans="8:41">
      <c r="H263" t="s">
        <v>1029</v>
      </c>
      <c r="I263" t="str">
        <f t="shared" si="5"/>
        <v>brother</v>
      </c>
      <c r="J263" t="str">
        <v>brother</v>
      </c>
      <c r="K263" t="str">
        <f>IFERROR(_xlfn.XLOOKUP(TRIM(H263), M:M, N:N, "Not Found"), "Not Found")</f>
        <v>Familial based</v>
      </c>
      <c r="V263" t="s">
        <v>965</v>
      </c>
      <c r="W263" t="s">
        <v>966</v>
      </c>
      <c r="X263">
        <f>Z263</f>
        <v>0</v>
      </c>
      <c r="Z263">
        <f>IFERROR(_xlfn.XLOOKUP(TRIM(V263), M:M, O:O, "Not Found"), "Not Found")</f>
        <v>0</v>
      </c>
      <c r="AG263" s="15">
        <v>0</v>
      </c>
      <c r="AH263" s="15">
        <v>0</v>
      </c>
      <c r="AI263" s="15">
        <v>0</v>
      </c>
      <c r="AJ263" s="15">
        <v>0</v>
      </c>
      <c r="AK263" s="15">
        <v>0</v>
      </c>
      <c r="AL263" s="15">
        <v>0</v>
      </c>
      <c r="AM263" s="15">
        <v>0</v>
      </c>
      <c r="AO263" t="s">
        <v>1058</v>
      </c>
    </row>
    <row r="264" spans="8:41">
      <c r="H264" t="s">
        <v>965</v>
      </c>
      <c r="I264" t="str">
        <f t="shared" si="5"/>
        <v>schapelle corby</v>
      </c>
      <c r="J264" t="str">
        <v>schapelle corby</v>
      </c>
      <c r="K264" t="str">
        <f>IFERROR(_xlfn.XLOOKUP(TRIM(H264), M:M, N:N, "Not Found"), "Not Found")</f>
        <v>Case Related</v>
      </c>
      <c r="V264" t="s">
        <v>965</v>
      </c>
      <c r="W264" t="s">
        <v>966</v>
      </c>
      <c r="X264">
        <f>Z264</f>
        <v>0</v>
      </c>
      <c r="Z264">
        <f>IFERROR(_xlfn.XLOOKUP(TRIM(V264), M:M, O:O, "Not Found"), "Not Found")</f>
        <v>0</v>
      </c>
      <c r="AG264" s="15">
        <v>0</v>
      </c>
      <c r="AH264" s="15">
        <v>0</v>
      </c>
      <c r="AI264" s="15">
        <v>0</v>
      </c>
      <c r="AJ264" s="15">
        <v>0</v>
      </c>
      <c r="AK264" s="15">
        <v>0</v>
      </c>
      <c r="AL264" s="15">
        <v>0</v>
      </c>
      <c r="AM264" s="15">
        <v>0</v>
      </c>
      <c r="AO264" t="s">
        <v>1255</v>
      </c>
    </row>
    <row r="265" spans="8:41">
      <c r="H265" t="s">
        <v>1239</v>
      </c>
      <c r="I265" t="str">
        <f t="shared" si="5"/>
        <v>indonesia</v>
      </c>
      <c r="J265" t="str">
        <v>indonesia</v>
      </c>
      <c r="K265" t="str">
        <f>IFERROR(_xlfn.XLOOKUP(TRIM(H265), M:M, N:N, "Not Found"), "Not Found")</f>
        <v>Not Found</v>
      </c>
      <c r="V265" t="s">
        <v>965</v>
      </c>
      <c r="W265" t="s">
        <v>966</v>
      </c>
      <c r="X265">
        <f>Z265</f>
        <v>0</v>
      </c>
      <c r="Z265">
        <f>IFERROR(_xlfn.XLOOKUP(TRIM(V265), M:M, O:O, "Not Found"), "Not Found")</f>
        <v>0</v>
      </c>
      <c r="AG265" s="15">
        <v>0</v>
      </c>
      <c r="AH265" s="15">
        <v>0</v>
      </c>
      <c r="AI265" s="15">
        <v>0</v>
      </c>
      <c r="AJ265" s="15">
        <v>0</v>
      </c>
      <c r="AK265" s="15">
        <v>0</v>
      </c>
      <c r="AL265" s="15">
        <v>0</v>
      </c>
      <c r="AM265" s="15">
        <v>0</v>
      </c>
      <c r="AO265" t="s">
        <v>1255</v>
      </c>
    </row>
    <row r="266" spans="8:41">
      <c r="H266" t="s">
        <v>1020</v>
      </c>
      <c r="I266" t="str">
        <f t="shared" si="5"/>
        <v>af</v>
      </c>
      <c r="J266" t="str">
        <v>af</v>
      </c>
      <c r="K266" t="str">
        <f>IFERROR(_xlfn.XLOOKUP(TRIM(H266), M:M, N:N, "Not Found"), "Not Found")</f>
        <v>Intelligence based</v>
      </c>
      <c r="V266" t="s">
        <v>965</v>
      </c>
      <c r="W266" t="s">
        <v>966</v>
      </c>
      <c r="X266">
        <f>Z266</f>
        <v>0</v>
      </c>
      <c r="Z266">
        <f>IFERROR(_xlfn.XLOOKUP(TRIM(V266), M:M, O:O, "Not Found"), "Not Found")</f>
        <v>0</v>
      </c>
      <c r="AG266" s="15">
        <v>0</v>
      </c>
      <c r="AH266" s="15">
        <v>0</v>
      </c>
      <c r="AI266" s="15">
        <v>0</v>
      </c>
      <c r="AJ266" s="15">
        <v>0</v>
      </c>
      <c r="AK266" s="15">
        <v>0</v>
      </c>
      <c r="AL266" s="15">
        <v>0</v>
      </c>
      <c r="AM266" s="15">
        <v>0</v>
      </c>
      <c r="AO266" t="s">
        <v>1281</v>
      </c>
    </row>
    <row r="267" spans="8:41">
      <c r="H267" t="s">
        <v>1028</v>
      </c>
      <c r="I267" t="str">
        <f t="shared" si="5"/>
        <v>corby</v>
      </c>
      <c r="J267" t="str">
        <v>corby</v>
      </c>
      <c r="K267" t="str">
        <f>IFERROR(_xlfn.XLOOKUP(TRIM(H267), M:M, N:N, "Not Found"), "Not Found")</f>
        <v>Familial based</v>
      </c>
      <c r="V267" t="s">
        <v>965</v>
      </c>
      <c r="W267" t="s">
        <v>966</v>
      </c>
      <c r="X267">
        <f>Z267</f>
        <v>0</v>
      </c>
      <c r="Z267">
        <f>IFERROR(_xlfn.XLOOKUP(TRIM(V267), M:M, O:O, "Not Found"), "Not Found")</f>
        <v>0</v>
      </c>
      <c r="AG267" s="15">
        <v>0</v>
      </c>
      <c r="AH267" s="15">
        <v>0</v>
      </c>
      <c r="AI267" s="15">
        <v>0</v>
      </c>
      <c r="AJ267" s="15">
        <v>0</v>
      </c>
      <c r="AK267" s="15">
        <v>0</v>
      </c>
      <c r="AL267" s="15">
        <v>0</v>
      </c>
      <c r="AM267" s="15">
        <v>0</v>
      </c>
      <c r="AO267" t="s">
        <v>1255</v>
      </c>
    </row>
    <row r="268" spans="8:41">
      <c r="H268" t="s">
        <v>1069</v>
      </c>
      <c r="I268" t="str">
        <f t="shared" si="5"/>
        <v>parole</v>
      </c>
      <c r="J268" t="str">
        <v>parole</v>
      </c>
      <c r="K268" t="str">
        <f>IFERROR(_xlfn.XLOOKUP(TRIM(H268), M:M, N:N, "Not Found"), "Not Found")</f>
        <v>Legality based</v>
      </c>
      <c r="V268" t="s">
        <v>965</v>
      </c>
      <c r="W268" t="s">
        <v>966</v>
      </c>
      <c r="X268">
        <f>Z268</f>
        <v>0</v>
      </c>
      <c r="Z268">
        <f>IFERROR(_xlfn.XLOOKUP(TRIM(V268), M:M, O:O, "Not Found"), "Not Found")</f>
        <v>0</v>
      </c>
      <c r="AG268" s="15">
        <v>0</v>
      </c>
      <c r="AH268" s="15">
        <v>0</v>
      </c>
      <c r="AI268" s="15">
        <v>0</v>
      </c>
      <c r="AJ268" s="15">
        <v>0</v>
      </c>
      <c r="AK268" s="15">
        <v>0</v>
      </c>
      <c r="AL268" s="15">
        <v>0</v>
      </c>
      <c r="AM268" s="15">
        <v>0</v>
      </c>
      <c r="AO268" t="s">
        <v>1277</v>
      </c>
    </row>
    <row r="269" spans="8:41">
      <c r="H269" t="s">
        <v>965</v>
      </c>
      <c r="I269" t="str">
        <f t="shared" si="5"/>
        <v>schapelle corby</v>
      </c>
      <c r="J269" t="str">
        <v>schapelle corby</v>
      </c>
      <c r="K269" t="str">
        <f>IFERROR(_xlfn.XLOOKUP(TRIM(H269), M:M, N:N, "Not Found"), "Not Found")</f>
        <v>Case Related</v>
      </c>
      <c r="V269" t="s">
        <v>965</v>
      </c>
      <c r="W269" t="s">
        <v>966</v>
      </c>
      <c r="X269">
        <f>Z269</f>
        <v>0</v>
      </c>
      <c r="Z269">
        <f>IFERROR(_xlfn.XLOOKUP(TRIM(V269), M:M, O:O, "Not Found"), "Not Found")</f>
        <v>0</v>
      </c>
      <c r="AG269" s="15">
        <v>0</v>
      </c>
      <c r="AH269" s="15">
        <v>0</v>
      </c>
      <c r="AI269" s="15">
        <v>0</v>
      </c>
      <c r="AJ269" s="15">
        <v>0</v>
      </c>
      <c r="AK269" s="15">
        <v>3</v>
      </c>
      <c r="AL269" s="15">
        <v>0</v>
      </c>
      <c r="AM269" s="15">
        <v>0</v>
      </c>
      <c r="AO269" t="s">
        <v>1270</v>
      </c>
    </row>
    <row r="270" spans="8:41">
      <c r="H270" t="s">
        <v>1028</v>
      </c>
      <c r="I270" t="str">
        <f t="shared" si="5"/>
        <v>corby</v>
      </c>
      <c r="J270" t="str">
        <v>corby</v>
      </c>
      <c r="K270" t="str">
        <f>IFERROR(_xlfn.XLOOKUP(TRIM(H270), M:M, N:N, "Not Found"), "Not Found")</f>
        <v>Familial based</v>
      </c>
      <c r="V270" t="s">
        <v>965</v>
      </c>
      <c r="W270" t="s">
        <v>966</v>
      </c>
      <c r="X270">
        <f>Z270</f>
        <v>0</v>
      </c>
      <c r="Z270">
        <f>IFERROR(_xlfn.XLOOKUP(TRIM(V270), M:M, O:O, "Not Found"), "Not Found")</f>
        <v>0</v>
      </c>
      <c r="AG270" s="15">
        <v>0</v>
      </c>
      <c r="AH270" s="15">
        <v>0</v>
      </c>
      <c r="AI270" s="15">
        <v>3</v>
      </c>
      <c r="AJ270" s="15">
        <v>0</v>
      </c>
      <c r="AK270" s="15">
        <v>0</v>
      </c>
      <c r="AL270" s="15">
        <v>0</v>
      </c>
      <c r="AM270" s="15">
        <v>0</v>
      </c>
      <c r="AO270" t="s">
        <v>1282</v>
      </c>
    </row>
    <row r="271" spans="8:41">
      <c r="H271" t="s">
        <v>965</v>
      </c>
      <c r="I271" t="str">
        <f t="shared" si="5"/>
        <v>schapelle corby</v>
      </c>
      <c r="J271" t="str">
        <v>schapelle corby</v>
      </c>
      <c r="K271" t="str">
        <f>IFERROR(_xlfn.XLOOKUP(TRIM(H271), M:M, N:N, "Not Found"), "Not Found")</f>
        <v>Case Related</v>
      </c>
      <c r="V271" t="s">
        <v>965</v>
      </c>
      <c r="W271" t="s">
        <v>966</v>
      </c>
      <c r="X271">
        <f>Z271</f>
        <v>0</v>
      </c>
      <c r="Z271">
        <f>IFERROR(_xlfn.XLOOKUP(TRIM(V271), M:M, O:O, "Not Found"), "Not Found")</f>
        <v>0</v>
      </c>
      <c r="AG271" s="15">
        <v>0</v>
      </c>
      <c r="AH271" s="15">
        <v>1</v>
      </c>
      <c r="AI271" s="15">
        <v>0</v>
      </c>
      <c r="AJ271" s="15">
        <v>0</v>
      </c>
      <c r="AK271" s="15">
        <v>0</v>
      </c>
      <c r="AL271" s="15">
        <v>2</v>
      </c>
      <c r="AM271" s="15">
        <v>0</v>
      </c>
      <c r="AO271" t="s">
        <v>1268</v>
      </c>
    </row>
    <row r="272" spans="8:41">
      <c r="H272" t="s">
        <v>1028</v>
      </c>
      <c r="I272" t="str">
        <f t="shared" si="5"/>
        <v>corby</v>
      </c>
      <c r="J272" t="str">
        <v>corby</v>
      </c>
      <c r="K272" t="str">
        <f>IFERROR(_xlfn.XLOOKUP(TRIM(H272), M:M, N:N, "Not Found"), "Not Found")</f>
        <v>Familial based</v>
      </c>
      <c r="V272" t="s">
        <v>965</v>
      </c>
      <c r="W272" t="s">
        <v>966</v>
      </c>
      <c r="X272">
        <f>Z272</f>
        <v>0</v>
      </c>
      <c r="Z272">
        <f>IFERROR(_xlfn.XLOOKUP(TRIM(V272), M:M, O:O, "Not Found"), "Not Found")</f>
        <v>0</v>
      </c>
      <c r="AG272" s="15">
        <v>0</v>
      </c>
      <c r="AH272" s="15">
        <v>0.25</v>
      </c>
      <c r="AI272" s="15">
        <v>0</v>
      </c>
      <c r="AJ272" s="15">
        <v>0</v>
      </c>
      <c r="AK272" s="15">
        <v>0</v>
      </c>
      <c r="AL272" s="15">
        <v>0</v>
      </c>
      <c r="AM272" s="15">
        <v>0</v>
      </c>
      <c r="AO272" t="s">
        <v>1022</v>
      </c>
    </row>
    <row r="273" spans="8:41">
      <c r="H273" t="s">
        <v>965</v>
      </c>
      <c r="I273" t="str">
        <f t="shared" si="5"/>
        <v>schapelle corby</v>
      </c>
      <c r="J273" t="str">
        <v>schapelle corby</v>
      </c>
      <c r="K273" t="str">
        <f>IFERROR(_xlfn.XLOOKUP(TRIM(H273), M:M, N:N, "Not Found"), "Not Found")</f>
        <v>Case Related</v>
      </c>
      <c r="V273" t="s">
        <v>965</v>
      </c>
      <c r="W273" t="s">
        <v>966</v>
      </c>
      <c r="X273">
        <f>Z273</f>
        <v>0</v>
      </c>
      <c r="Z273">
        <f>IFERROR(_xlfn.XLOOKUP(TRIM(V273), M:M, O:O, "Not Found"), "Not Found")</f>
        <v>0</v>
      </c>
      <c r="AG273" s="15">
        <v>0</v>
      </c>
      <c r="AH273" s="15">
        <v>0</v>
      </c>
      <c r="AI273" s="15">
        <v>0</v>
      </c>
      <c r="AJ273" s="15">
        <v>0</v>
      </c>
      <c r="AK273" s="15">
        <v>0</v>
      </c>
      <c r="AL273" s="15">
        <v>0</v>
      </c>
      <c r="AM273" s="15">
        <v>0</v>
      </c>
      <c r="AO273" t="s">
        <v>1255</v>
      </c>
    </row>
    <row r="274" spans="8:41">
      <c r="H274" t="s">
        <v>1020</v>
      </c>
      <c r="I274" t="str">
        <f t="shared" si="5"/>
        <v>af</v>
      </c>
      <c r="J274" t="str">
        <v>af</v>
      </c>
      <c r="K274" t="str">
        <f>IFERROR(_xlfn.XLOOKUP(TRIM(H274), M:M, N:N, "Not Found"), "Not Found")</f>
        <v>Intelligence based</v>
      </c>
      <c r="V274" t="s">
        <v>965</v>
      </c>
      <c r="W274" t="s">
        <v>966</v>
      </c>
      <c r="X274">
        <f>Z274</f>
        <v>0</v>
      </c>
      <c r="Z274">
        <f>IFERROR(_xlfn.XLOOKUP(TRIM(V274), M:M, O:O, "Not Found"), "Not Found")</f>
        <v>0</v>
      </c>
      <c r="AG274" s="15">
        <v>0</v>
      </c>
      <c r="AH274" s="15">
        <v>0</v>
      </c>
      <c r="AI274" s="15">
        <v>0</v>
      </c>
      <c r="AJ274" s="15">
        <v>0</v>
      </c>
      <c r="AK274" s="15">
        <v>0</v>
      </c>
      <c r="AL274" s="15">
        <v>0</v>
      </c>
      <c r="AM274" s="15">
        <v>0</v>
      </c>
      <c r="AO274" t="s">
        <v>1022</v>
      </c>
    </row>
    <row r="275" spans="8:41">
      <c r="H275" t="s">
        <v>1028</v>
      </c>
      <c r="I275" t="str">
        <f t="shared" si="5"/>
        <v>corby</v>
      </c>
      <c r="J275" t="str">
        <v>corby</v>
      </c>
      <c r="K275" t="str">
        <f>IFERROR(_xlfn.XLOOKUP(TRIM(H275), M:M, N:N, "Not Found"), "Not Found")</f>
        <v>Familial based</v>
      </c>
      <c r="V275" t="s">
        <v>965</v>
      </c>
      <c r="W275" t="s">
        <v>966</v>
      </c>
      <c r="X275">
        <f>Z275</f>
        <v>0</v>
      </c>
      <c r="Z275">
        <f>IFERROR(_xlfn.XLOOKUP(TRIM(V275), M:M, O:O, "Not Found"), "Not Found")</f>
        <v>0</v>
      </c>
      <c r="AG275" s="15">
        <v>0</v>
      </c>
      <c r="AH275" s="15">
        <v>0</v>
      </c>
      <c r="AI275" s="15">
        <v>0</v>
      </c>
      <c r="AJ275" s="15">
        <v>0</v>
      </c>
      <c r="AK275" s="15">
        <v>0</v>
      </c>
      <c r="AL275" s="15">
        <v>0</v>
      </c>
      <c r="AM275" s="15">
        <v>0</v>
      </c>
      <c r="AO275" t="s">
        <v>1255</v>
      </c>
    </row>
    <row r="276" spans="8:41">
      <c r="H276" t="s">
        <v>965</v>
      </c>
      <c r="I276" t="str">
        <f t="shared" si="5"/>
        <v>schapelle corby</v>
      </c>
      <c r="J276" t="str">
        <v>schapelle corby</v>
      </c>
      <c r="K276" t="str">
        <f>IFERROR(_xlfn.XLOOKUP(TRIM(H276), M:M, N:N, "Not Found"), "Not Found")</f>
        <v>Case Related</v>
      </c>
      <c r="V276" t="s">
        <v>965</v>
      </c>
      <c r="W276" t="s">
        <v>966</v>
      </c>
      <c r="X276">
        <f>Z276</f>
        <v>0</v>
      </c>
      <c r="Z276">
        <f>IFERROR(_xlfn.XLOOKUP(TRIM(V276), M:M, O:O, "Not Found"), "Not Found")</f>
        <v>0</v>
      </c>
      <c r="AG276" s="15">
        <v>0</v>
      </c>
      <c r="AH276" s="15">
        <v>0</v>
      </c>
      <c r="AI276" s="15">
        <v>0</v>
      </c>
      <c r="AJ276" s="15">
        <v>0</v>
      </c>
      <c r="AK276" s="15">
        <v>0</v>
      </c>
      <c r="AL276" s="15">
        <v>0</v>
      </c>
      <c r="AM276" s="15">
        <v>0</v>
      </c>
      <c r="AO276" t="s">
        <v>1255</v>
      </c>
    </row>
    <row r="277" spans="8:41">
      <c r="H277" t="s">
        <v>1028</v>
      </c>
      <c r="I277" t="str">
        <f t="shared" si="5"/>
        <v>corby</v>
      </c>
      <c r="J277" t="str">
        <v>corby</v>
      </c>
      <c r="K277" t="str">
        <f>IFERROR(_xlfn.XLOOKUP(TRIM(H277), M:M, N:N, "Not Found"), "Not Found")</f>
        <v>Familial based</v>
      </c>
      <c r="V277" t="s">
        <v>965</v>
      </c>
      <c r="W277" t="s">
        <v>966</v>
      </c>
      <c r="X277">
        <f>Z277</f>
        <v>0</v>
      </c>
      <c r="Z277">
        <f>IFERROR(_xlfn.XLOOKUP(TRIM(V277), M:M, O:O, "Not Found"), "Not Found")</f>
        <v>0</v>
      </c>
      <c r="AG277" s="15">
        <v>0</v>
      </c>
      <c r="AH277" s="15">
        <v>0</v>
      </c>
      <c r="AI277" s="15">
        <v>0</v>
      </c>
      <c r="AJ277" s="15">
        <v>0</v>
      </c>
      <c r="AK277" s="15">
        <v>0</v>
      </c>
      <c r="AL277" s="15">
        <v>0</v>
      </c>
      <c r="AM277" s="15">
        <v>0</v>
      </c>
      <c r="AO277" t="s">
        <v>1255</v>
      </c>
    </row>
    <row r="278" spans="8:41">
      <c r="H278" t="s">
        <v>965</v>
      </c>
      <c r="I278" t="str">
        <f t="shared" si="5"/>
        <v>schapelle corby</v>
      </c>
      <c r="J278" t="str">
        <v>schapelle corby</v>
      </c>
      <c r="K278" t="str">
        <f>IFERROR(_xlfn.XLOOKUP(TRIM(H278), M:M, N:N, "Not Found"), "Not Found")</f>
        <v>Case Related</v>
      </c>
      <c r="V278" t="s">
        <v>965</v>
      </c>
      <c r="W278" t="s">
        <v>966</v>
      </c>
      <c r="X278">
        <f>Z278</f>
        <v>0</v>
      </c>
      <c r="Z278">
        <f>IFERROR(_xlfn.XLOOKUP(TRIM(V278), M:M, O:O, "Not Found"), "Not Found")</f>
        <v>0</v>
      </c>
      <c r="AG278" s="15">
        <v>0</v>
      </c>
      <c r="AH278" s="15">
        <v>0</v>
      </c>
      <c r="AI278" s="15">
        <v>0</v>
      </c>
      <c r="AJ278" s="15">
        <v>0</v>
      </c>
      <c r="AK278" s="15">
        <v>0</v>
      </c>
      <c r="AL278" s="15">
        <v>0</v>
      </c>
      <c r="AM278" s="15">
        <v>0</v>
      </c>
      <c r="AO278" t="s">
        <v>1255</v>
      </c>
    </row>
    <row r="279" spans="8:41">
      <c r="H279" t="s">
        <v>1028</v>
      </c>
      <c r="I279" t="str">
        <f t="shared" si="5"/>
        <v>corby</v>
      </c>
      <c r="J279" t="str">
        <v>corby</v>
      </c>
      <c r="K279" t="str">
        <f>IFERROR(_xlfn.XLOOKUP(TRIM(H279), M:M, N:N, "Not Found"), "Not Found")</f>
        <v>Familial based</v>
      </c>
      <c r="V279" t="s">
        <v>965</v>
      </c>
      <c r="W279" t="s">
        <v>966</v>
      </c>
      <c r="X279">
        <f>Z279</f>
        <v>0</v>
      </c>
      <c r="Z279">
        <f>IFERROR(_xlfn.XLOOKUP(TRIM(V279), M:M, O:O, "Not Found"), "Not Found")</f>
        <v>0</v>
      </c>
      <c r="AG279" s="15">
        <v>0</v>
      </c>
      <c r="AH279" s="15">
        <v>0</v>
      </c>
      <c r="AI279" s="15">
        <v>0</v>
      </c>
      <c r="AJ279" s="15">
        <v>0</v>
      </c>
      <c r="AK279" s="15">
        <v>0</v>
      </c>
      <c r="AL279" s="15">
        <v>0</v>
      </c>
      <c r="AM279" s="15">
        <v>0</v>
      </c>
      <c r="AO279" t="s">
        <v>1255</v>
      </c>
    </row>
    <row r="280" spans="8:41">
      <c r="H280" t="s">
        <v>965</v>
      </c>
      <c r="I280" t="str">
        <f t="shared" si="5"/>
        <v>schapelle corby</v>
      </c>
      <c r="J280" t="str">
        <v>schapelle corby</v>
      </c>
      <c r="K280" t="str">
        <f>IFERROR(_xlfn.XLOOKUP(TRIM(H280), M:M, N:N, "Not Found"), "Not Found")</f>
        <v>Case Related</v>
      </c>
      <c r="V280" t="s">
        <v>965</v>
      </c>
      <c r="W280" t="s">
        <v>966</v>
      </c>
      <c r="X280">
        <f>Z280</f>
        <v>0</v>
      </c>
      <c r="Z280">
        <f>IFERROR(_xlfn.XLOOKUP(TRIM(V280), M:M, O:O, "Not Found"), "Not Found")</f>
        <v>0</v>
      </c>
      <c r="AG280" s="15">
        <v>0</v>
      </c>
      <c r="AH280" s="15">
        <v>0</v>
      </c>
      <c r="AI280" s="15">
        <v>0</v>
      </c>
      <c r="AJ280" s="15">
        <v>0</v>
      </c>
      <c r="AK280" s="15">
        <v>0</v>
      </c>
      <c r="AL280" s="15">
        <v>0</v>
      </c>
      <c r="AM280" s="15">
        <v>0</v>
      </c>
      <c r="AO280" t="s">
        <v>1255</v>
      </c>
    </row>
    <row r="281" spans="8:41">
      <c r="H281" t="s">
        <v>1028</v>
      </c>
      <c r="I281" t="str">
        <f t="shared" si="5"/>
        <v>corby</v>
      </c>
      <c r="J281" t="str">
        <v>corby</v>
      </c>
      <c r="K281" t="str">
        <f>IFERROR(_xlfn.XLOOKUP(TRIM(H281), M:M, N:N, "Not Found"), "Not Found")</f>
        <v>Familial based</v>
      </c>
      <c r="V281" t="s">
        <v>965</v>
      </c>
      <c r="W281" t="s">
        <v>966</v>
      </c>
      <c r="X281">
        <f>Z281</f>
        <v>0</v>
      </c>
      <c r="Z281">
        <f>IFERROR(_xlfn.XLOOKUP(TRIM(V281), M:M, O:O, "Not Found"), "Not Found")</f>
        <v>0</v>
      </c>
      <c r="AG281" s="15">
        <v>0</v>
      </c>
      <c r="AH281" s="15">
        <v>0</v>
      </c>
      <c r="AI281" s="15">
        <v>0</v>
      </c>
      <c r="AJ281" s="15">
        <v>0</v>
      </c>
      <c r="AK281" s="15">
        <v>0</v>
      </c>
      <c r="AL281" s="15">
        <v>0</v>
      </c>
      <c r="AM281" s="15">
        <v>0</v>
      </c>
      <c r="AO281" t="s">
        <v>1255</v>
      </c>
    </row>
    <row r="282" spans="8:41">
      <c r="H282" t="s">
        <v>965</v>
      </c>
      <c r="I282" t="str">
        <f t="shared" si="5"/>
        <v>schapelle corby</v>
      </c>
      <c r="J282" t="str">
        <v>schapelle corby</v>
      </c>
      <c r="K282" t="str">
        <f>IFERROR(_xlfn.XLOOKUP(TRIM(H282), M:M, N:N, "Not Found"), "Not Found")</f>
        <v>Case Related</v>
      </c>
      <c r="V282" t="s">
        <v>965</v>
      </c>
      <c r="W282" t="s">
        <v>966</v>
      </c>
      <c r="X282">
        <f>Z282</f>
        <v>0</v>
      </c>
      <c r="Z282">
        <f>IFERROR(_xlfn.XLOOKUP(TRIM(V282), M:M, O:O, "Not Found"), "Not Found")</f>
        <v>0</v>
      </c>
      <c r="AG282" s="15">
        <v>0</v>
      </c>
      <c r="AH282" s="15">
        <v>0</v>
      </c>
      <c r="AI282" s="15">
        <v>0</v>
      </c>
      <c r="AJ282" s="15">
        <v>0</v>
      </c>
      <c r="AK282" s="15">
        <v>0</v>
      </c>
      <c r="AL282" s="15">
        <v>0</v>
      </c>
      <c r="AM282" s="15">
        <v>0</v>
      </c>
      <c r="AO282" t="s">
        <v>1032</v>
      </c>
    </row>
    <row r="283" spans="8:41">
      <c r="H283" t="s">
        <v>1028</v>
      </c>
      <c r="I283" t="str">
        <f t="shared" si="5"/>
        <v>corby</v>
      </c>
      <c r="J283" t="str">
        <v>corby</v>
      </c>
      <c r="K283" t="str">
        <f>IFERROR(_xlfn.XLOOKUP(TRIM(H283), M:M, N:N, "Not Found"), "Not Found")</f>
        <v>Familial based</v>
      </c>
      <c r="V283" t="s">
        <v>965</v>
      </c>
      <c r="W283" t="s">
        <v>966</v>
      </c>
      <c r="X283">
        <f>Z283</f>
        <v>0</v>
      </c>
      <c r="Z283">
        <f>IFERROR(_xlfn.XLOOKUP(TRIM(V283), M:M, O:O, "Not Found"), "Not Found")</f>
        <v>0</v>
      </c>
      <c r="AG283" s="15">
        <v>0</v>
      </c>
      <c r="AH283" s="15">
        <v>0</v>
      </c>
      <c r="AI283" s="15">
        <v>0</v>
      </c>
      <c r="AJ283" s="15">
        <v>0</v>
      </c>
      <c r="AK283" s="15">
        <v>3</v>
      </c>
      <c r="AL283" s="15">
        <v>0</v>
      </c>
      <c r="AM283" s="15">
        <v>0</v>
      </c>
      <c r="AO283" t="s">
        <v>1032</v>
      </c>
    </row>
    <row r="284" spans="8:41">
      <c r="H284" t="s">
        <v>965</v>
      </c>
      <c r="I284" t="str">
        <f t="shared" si="5"/>
        <v>schapelle corby</v>
      </c>
      <c r="J284" t="str">
        <v>schapelle corby</v>
      </c>
      <c r="K284" t="str">
        <f>IFERROR(_xlfn.XLOOKUP(TRIM(H284), M:M, N:N, "Not Found"), "Not Found")</f>
        <v>Case Related</v>
      </c>
      <c r="V284" t="s">
        <v>965</v>
      </c>
      <c r="W284" t="s">
        <v>966</v>
      </c>
      <c r="X284">
        <f>Z284</f>
        <v>0</v>
      </c>
      <c r="Z284">
        <f>IFERROR(_xlfn.XLOOKUP(TRIM(V284), M:M, O:O, "Not Found"), "Not Found")</f>
        <v>0</v>
      </c>
      <c r="AG284" s="15">
        <v>0</v>
      </c>
      <c r="AH284" s="15">
        <v>0</v>
      </c>
      <c r="AI284" s="15">
        <v>0</v>
      </c>
      <c r="AJ284" s="15">
        <v>0</v>
      </c>
      <c r="AK284" s="15">
        <v>3</v>
      </c>
      <c r="AL284" s="15">
        <v>0</v>
      </c>
      <c r="AM284" s="15">
        <v>0</v>
      </c>
      <c r="AO284" t="s">
        <v>1022</v>
      </c>
    </row>
    <row r="285" spans="8:41">
      <c r="H285" t="s">
        <v>1028</v>
      </c>
      <c r="I285" t="str">
        <f t="shared" si="5"/>
        <v>corby</v>
      </c>
      <c r="J285" t="str">
        <v>corby</v>
      </c>
      <c r="K285" t="str">
        <f>IFERROR(_xlfn.XLOOKUP(TRIM(H285), M:M, N:N, "Not Found"), "Not Found")</f>
        <v>Familial based</v>
      </c>
      <c r="V285" t="s">
        <v>965</v>
      </c>
      <c r="W285" t="s">
        <v>966</v>
      </c>
      <c r="X285">
        <f>Z285</f>
        <v>0</v>
      </c>
      <c r="Z285">
        <f>IFERROR(_xlfn.XLOOKUP(TRIM(V285), M:M, O:O, "Not Found"), "Not Found")</f>
        <v>0</v>
      </c>
      <c r="AG285" s="15">
        <v>0</v>
      </c>
      <c r="AH285" s="15">
        <v>0</v>
      </c>
      <c r="AI285" s="15">
        <v>0</v>
      </c>
      <c r="AJ285" s="15">
        <v>0</v>
      </c>
      <c r="AK285" s="15">
        <v>0</v>
      </c>
      <c r="AL285" s="15">
        <v>0</v>
      </c>
      <c r="AM285" s="15">
        <v>0</v>
      </c>
      <c r="AO285" t="s">
        <v>1255</v>
      </c>
    </row>
    <row r="286" spans="8:41">
      <c r="H286" t="s">
        <v>965</v>
      </c>
      <c r="I286" t="str">
        <f t="shared" si="5"/>
        <v>schapelle corby</v>
      </c>
      <c r="J286" t="str">
        <v>schapelle corby</v>
      </c>
      <c r="K286" t="str">
        <f>IFERROR(_xlfn.XLOOKUP(TRIM(H286), M:M, N:N, "Not Found"), "Not Found")</f>
        <v>Case Related</v>
      </c>
      <c r="V286" t="s">
        <v>965</v>
      </c>
      <c r="W286" t="s">
        <v>966</v>
      </c>
      <c r="X286">
        <f>Z286</f>
        <v>0</v>
      </c>
      <c r="Z286">
        <f>IFERROR(_xlfn.XLOOKUP(TRIM(V286), M:M, O:O, "Not Found"), "Not Found")</f>
        <v>0</v>
      </c>
      <c r="AG286" s="15">
        <v>0</v>
      </c>
      <c r="AH286" s="15">
        <v>0</v>
      </c>
      <c r="AI286" s="15">
        <v>0</v>
      </c>
      <c r="AJ286" s="15">
        <v>0</v>
      </c>
      <c r="AK286" s="15">
        <v>0</v>
      </c>
      <c r="AL286" s="15">
        <v>0</v>
      </c>
      <c r="AM286" s="15">
        <v>0</v>
      </c>
      <c r="AO286" t="s">
        <v>1255</v>
      </c>
    </row>
    <row r="287" spans="8:41">
      <c r="H287" t="s">
        <v>1028</v>
      </c>
      <c r="I287" t="str">
        <f t="shared" si="5"/>
        <v>corby</v>
      </c>
      <c r="J287" t="str">
        <v>corby</v>
      </c>
      <c r="K287" t="str">
        <f>IFERROR(_xlfn.XLOOKUP(TRIM(H287), M:M, N:N, "Not Found"), "Not Found")</f>
        <v>Familial based</v>
      </c>
      <c r="V287" t="s">
        <v>965</v>
      </c>
      <c r="W287" t="s">
        <v>966</v>
      </c>
      <c r="X287">
        <f>Z287</f>
        <v>0</v>
      </c>
      <c r="Z287">
        <f>IFERROR(_xlfn.XLOOKUP(TRIM(V287), M:M, O:O, "Not Found"), "Not Found")</f>
        <v>0</v>
      </c>
      <c r="AG287" s="15">
        <v>0</v>
      </c>
      <c r="AH287" s="15">
        <v>0</v>
      </c>
      <c r="AI287" s="15">
        <v>0</v>
      </c>
      <c r="AJ287" s="15">
        <v>0</v>
      </c>
      <c r="AK287" s="15">
        <v>0</v>
      </c>
      <c r="AL287" s="15">
        <v>0</v>
      </c>
      <c r="AM287" s="15">
        <v>0</v>
      </c>
      <c r="AO287" t="s">
        <v>1255</v>
      </c>
    </row>
    <row r="288" spans="8:41">
      <c r="H288" t="s">
        <v>965</v>
      </c>
      <c r="I288" t="str">
        <f t="shared" si="5"/>
        <v>schapelle corby</v>
      </c>
      <c r="J288" t="str">
        <v>schapelle corby</v>
      </c>
      <c r="K288" t="str">
        <f>IFERROR(_xlfn.XLOOKUP(TRIM(H288), M:M, N:N, "Not Found"), "Not Found")</f>
        <v>Case Related</v>
      </c>
      <c r="V288" t="s">
        <v>965</v>
      </c>
      <c r="W288" t="s">
        <v>966</v>
      </c>
      <c r="X288">
        <f>Z288</f>
        <v>0</v>
      </c>
      <c r="Z288">
        <f>IFERROR(_xlfn.XLOOKUP(TRIM(V288), M:M, O:O, "Not Found"), "Not Found")</f>
        <v>0</v>
      </c>
      <c r="AG288" s="15">
        <v>0</v>
      </c>
      <c r="AH288" s="15">
        <v>0</v>
      </c>
      <c r="AI288" s="15">
        <v>0</v>
      </c>
      <c r="AJ288" s="15">
        <v>0</v>
      </c>
      <c r="AK288" s="15">
        <v>0</v>
      </c>
      <c r="AL288" s="15">
        <v>0</v>
      </c>
      <c r="AM288" s="15">
        <v>0</v>
      </c>
      <c r="AO288" t="s">
        <v>1255</v>
      </c>
    </row>
    <row r="289" spans="8:41">
      <c r="H289" t="s">
        <v>1028</v>
      </c>
      <c r="I289" t="str">
        <f t="shared" si="5"/>
        <v>corby</v>
      </c>
      <c r="J289" t="str">
        <v>corby</v>
      </c>
      <c r="K289" t="str">
        <f>IFERROR(_xlfn.XLOOKUP(TRIM(H289), M:M, N:N, "Not Found"), "Not Found")</f>
        <v>Familial based</v>
      </c>
      <c r="V289" t="s">
        <v>965</v>
      </c>
      <c r="W289" t="s">
        <v>966</v>
      </c>
      <c r="X289">
        <f>Z289</f>
        <v>0</v>
      </c>
      <c r="Z289">
        <f>IFERROR(_xlfn.XLOOKUP(TRIM(V289), M:M, O:O, "Not Found"), "Not Found")</f>
        <v>0</v>
      </c>
      <c r="AG289" s="15">
        <v>0</v>
      </c>
      <c r="AH289" s="15">
        <v>0</v>
      </c>
      <c r="AI289" s="15">
        <v>0</v>
      </c>
      <c r="AJ289" s="15">
        <v>0</v>
      </c>
      <c r="AK289" s="15">
        <v>0</v>
      </c>
      <c r="AL289" s="15">
        <v>0</v>
      </c>
      <c r="AM289" s="15">
        <v>0</v>
      </c>
      <c r="AO289" t="s">
        <v>1022</v>
      </c>
    </row>
    <row r="290" spans="8:41">
      <c r="H290" t="s">
        <v>965</v>
      </c>
      <c r="I290" t="str">
        <f t="shared" si="5"/>
        <v>schapelle corby</v>
      </c>
      <c r="J290" t="str">
        <v>schapelle corby</v>
      </c>
      <c r="K290" t="str">
        <f>IFERROR(_xlfn.XLOOKUP(TRIM(H290), M:M, N:N, "Not Found"), "Not Found")</f>
        <v>Case Related</v>
      </c>
      <c r="V290" t="s">
        <v>965</v>
      </c>
      <c r="W290" t="s">
        <v>966</v>
      </c>
      <c r="X290">
        <f>Z290</f>
        <v>0</v>
      </c>
      <c r="Z290">
        <f>IFERROR(_xlfn.XLOOKUP(TRIM(V290), M:M, O:O, "Not Found"), "Not Found")</f>
        <v>0</v>
      </c>
      <c r="AG290" s="15">
        <v>0</v>
      </c>
      <c r="AH290" s="15">
        <v>0</v>
      </c>
      <c r="AI290" s="15">
        <v>0</v>
      </c>
      <c r="AJ290" s="15">
        <v>0</v>
      </c>
      <c r="AK290" s="15">
        <v>0</v>
      </c>
      <c r="AL290" s="15">
        <v>0</v>
      </c>
      <c r="AM290" s="15">
        <v>0</v>
      </c>
      <c r="AO290" t="s">
        <v>1283</v>
      </c>
    </row>
    <row r="291" spans="8:41">
      <c r="H291" t="s">
        <v>988</v>
      </c>
      <c r="I291" t="str">
        <f t="shared" si="5"/>
        <v>convicted drug smuggler</v>
      </c>
      <c r="J291" t="str">
        <v>convicted drug smuggler</v>
      </c>
      <c r="K291" t="str">
        <f>IFERROR(_xlfn.XLOOKUP(TRIM(H291), M:M, N:N, "Not Found"), "Not Found")</f>
        <v>Crime based</v>
      </c>
      <c r="V291" t="s">
        <v>965</v>
      </c>
      <c r="W291" t="s">
        <v>966</v>
      </c>
      <c r="X291">
        <f>Z291</f>
        <v>0</v>
      </c>
      <c r="Z291">
        <f>IFERROR(_xlfn.XLOOKUP(TRIM(V291), M:M, O:O, "Not Found"), "Not Found")</f>
        <v>0</v>
      </c>
      <c r="AG291" s="15">
        <v>0</v>
      </c>
      <c r="AH291" s="15">
        <v>0</v>
      </c>
      <c r="AI291" s="15">
        <v>1</v>
      </c>
      <c r="AJ291" s="15">
        <v>0</v>
      </c>
      <c r="AK291" s="15">
        <v>0</v>
      </c>
      <c r="AL291" s="15">
        <v>0</v>
      </c>
      <c r="AM291" s="15">
        <v>0</v>
      </c>
      <c r="AO291" t="s">
        <v>1255</v>
      </c>
    </row>
    <row r="292" spans="8:41">
      <c r="H292" t="s">
        <v>992</v>
      </c>
      <c r="I292" t="str">
        <f t="shared" si="5"/>
        <v>drug smuggler</v>
      </c>
      <c r="J292" t="str">
        <v>drug smuggler</v>
      </c>
      <c r="K292" t="str">
        <f>IFERROR(_xlfn.XLOOKUP(TRIM(H292), M:M, N:N, "Not Found"), "Not Found")</f>
        <v>Crime based</v>
      </c>
      <c r="V292" t="s">
        <v>965</v>
      </c>
      <c r="W292" t="s">
        <v>966</v>
      </c>
      <c r="X292">
        <f>Z292</f>
        <v>0</v>
      </c>
      <c r="Z292">
        <f>IFERROR(_xlfn.XLOOKUP(TRIM(V292), M:M, O:O, "Not Found"), "Not Found")</f>
        <v>0</v>
      </c>
      <c r="AG292" s="15">
        <v>0</v>
      </c>
      <c r="AH292" s="15">
        <v>0</v>
      </c>
      <c r="AI292" s="15">
        <v>0</v>
      </c>
      <c r="AJ292" s="15">
        <v>0</v>
      </c>
      <c r="AK292" s="15">
        <v>0</v>
      </c>
      <c r="AL292" s="15">
        <v>0</v>
      </c>
      <c r="AM292" s="15">
        <v>0</v>
      </c>
      <c r="AO292" t="s">
        <v>1240</v>
      </c>
    </row>
    <row r="293" spans="8:41">
      <c r="H293" t="s">
        <v>1028</v>
      </c>
      <c r="I293" t="str">
        <f t="shared" si="5"/>
        <v>corby</v>
      </c>
      <c r="J293" t="str">
        <v>corby</v>
      </c>
      <c r="K293" t="str">
        <f>IFERROR(_xlfn.XLOOKUP(TRIM(H293), M:M, N:N, "Not Found"), "Not Found")</f>
        <v>Familial based</v>
      </c>
      <c r="V293" t="s">
        <v>965</v>
      </c>
      <c r="W293" t="s">
        <v>966</v>
      </c>
      <c r="X293">
        <f>Z293</f>
        <v>0</v>
      </c>
      <c r="Z293">
        <f>IFERROR(_xlfn.XLOOKUP(TRIM(V293), M:M, O:O, "Not Found"), "Not Found")</f>
        <v>0</v>
      </c>
      <c r="AG293" s="15">
        <v>0</v>
      </c>
      <c r="AH293" s="15">
        <v>0</v>
      </c>
      <c r="AI293" s="15">
        <v>0</v>
      </c>
      <c r="AJ293" s="15">
        <v>0</v>
      </c>
      <c r="AK293" s="15">
        <v>0</v>
      </c>
      <c r="AL293" s="15">
        <v>0</v>
      </c>
      <c r="AM293" s="15">
        <v>0</v>
      </c>
      <c r="AO293" t="s">
        <v>1284</v>
      </c>
    </row>
    <row r="294" spans="8:41">
      <c r="H294" t="s">
        <v>1073</v>
      </c>
      <c r="I294" t="str">
        <f t="shared" si="5"/>
        <v>convicted</v>
      </c>
      <c r="J294" t="str">
        <v>convicted</v>
      </c>
      <c r="K294" t="str">
        <f>IFERROR(_xlfn.XLOOKUP(TRIM(H294), M:M, N:N, "Not Found"), "Not Found")</f>
        <v>Legality based</v>
      </c>
      <c r="V294" t="s">
        <v>965</v>
      </c>
      <c r="W294" t="s">
        <v>966</v>
      </c>
      <c r="X294">
        <f>Z294</f>
        <v>0</v>
      </c>
      <c r="Z294">
        <f>IFERROR(_xlfn.XLOOKUP(TRIM(V294), M:M, O:O, "Not Found"), "Not Found")</f>
        <v>0</v>
      </c>
      <c r="AG294" s="15">
        <v>0</v>
      </c>
      <c r="AH294" s="15">
        <v>0</v>
      </c>
      <c r="AI294" s="15">
        <v>0</v>
      </c>
      <c r="AJ294" s="15">
        <v>0</v>
      </c>
      <c r="AK294" s="15">
        <v>4</v>
      </c>
      <c r="AL294" s="15">
        <v>0</v>
      </c>
      <c r="AM294" s="15">
        <v>0</v>
      </c>
      <c r="AO294" t="s">
        <v>1276</v>
      </c>
    </row>
    <row r="295" spans="8:41">
      <c r="H295" t="s">
        <v>965</v>
      </c>
      <c r="I295" t="str">
        <f t="shared" si="5"/>
        <v>schapelle corby</v>
      </c>
      <c r="J295" t="str">
        <v>schapelle corby</v>
      </c>
      <c r="K295" t="str">
        <f>IFERROR(_xlfn.XLOOKUP(TRIM(H295), M:M, N:N, "Not Found"), "Not Found")</f>
        <v>Case Related</v>
      </c>
      <c r="V295" t="s">
        <v>965</v>
      </c>
      <c r="W295" t="s">
        <v>966</v>
      </c>
      <c r="X295">
        <f>Z295</f>
        <v>0</v>
      </c>
      <c r="Z295">
        <f>IFERROR(_xlfn.XLOOKUP(TRIM(V295), M:M, O:O, "Not Found"), "Not Found")</f>
        <v>0</v>
      </c>
      <c r="AG295" s="15">
        <v>0</v>
      </c>
      <c r="AH295" s="15">
        <v>0</v>
      </c>
      <c r="AI295" s="15">
        <v>0</v>
      </c>
      <c r="AJ295" s="15">
        <v>0</v>
      </c>
      <c r="AK295" s="15">
        <v>0</v>
      </c>
      <c r="AL295" s="15">
        <v>0</v>
      </c>
      <c r="AM295" s="15">
        <v>3</v>
      </c>
      <c r="AO295" t="s">
        <v>1285</v>
      </c>
    </row>
    <row r="296" spans="8:41">
      <c r="H296" t="s">
        <v>1028</v>
      </c>
      <c r="I296" t="str">
        <f t="shared" si="5"/>
        <v>corby</v>
      </c>
      <c r="J296" t="str">
        <v>corby</v>
      </c>
      <c r="K296" t="str">
        <f>IFERROR(_xlfn.XLOOKUP(TRIM(H296), M:M, N:N, "Not Found"), "Not Found")</f>
        <v>Familial based</v>
      </c>
      <c r="V296" t="s">
        <v>965</v>
      </c>
      <c r="W296" t="s">
        <v>966</v>
      </c>
      <c r="X296">
        <f>Z296</f>
        <v>0</v>
      </c>
      <c r="Z296">
        <f>IFERROR(_xlfn.XLOOKUP(TRIM(V296), M:M, O:O, "Not Found"), "Not Found")</f>
        <v>0</v>
      </c>
      <c r="AG296" s="15">
        <v>0</v>
      </c>
      <c r="AH296" s="15">
        <v>0</v>
      </c>
      <c r="AI296" s="15">
        <v>1</v>
      </c>
      <c r="AJ296" s="15">
        <v>0</v>
      </c>
      <c r="AK296" s="15">
        <v>0</v>
      </c>
      <c r="AL296" s="15">
        <v>0</v>
      </c>
      <c r="AM296" s="15">
        <v>3</v>
      </c>
      <c r="AO296" t="s">
        <v>1022</v>
      </c>
    </row>
    <row r="297" spans="8:41">
      <c r="H297" t="s">
        <v>965</v>
      </c>
      <c r="I297" t="str">
        <f t="shared" si="5"/>
        <v>schapelle corby</v>
      </c>
      <c r="J297" t="str">
        <v>schapelle corby</v>
      </c>
      <c r="K297" t="str">
        <f>IFERROR(_xlfn.XLOOKUP(TRIM(H297), M:M, N:N, "Not Found"), "Not Found")</f>
        <v>Case Related</v>
      </c>
      <c r="V297" t="s">
        <v>965</v>
      </c>
      <c r="W297" t="s">
        <v>966</v>
      </c>
      <c r="X297">
        <f>Z297</f>
        <v>0</v>
      </c>
      <c r="Z297">
        <f>IFERROR(_xlfn.XLOOKUP(TRIM(V297), M:M, O:O, "Not Found"), "Not Found")</f>
        <v>0</v>
      </c>
      <c r="AG297" s="15">
        <v>0</v>
      </c>
      <c r="AH297" s="15">
        <v>0</v>
      </c>
      <c r="AI297" s="15">
        <v>0</v>
      </c>
      <c r="AJ297" s="15">
        <v>0</v>
      </c>
      <c r="AK297" s="15">
        <v>0</v>
      </c>
      <c r="AL297" s="15">
        <v>0</v>
      </c>
      <c r="AM297" s="15">
        <v>0</v>
      </c>
      <c r="AO297" t="s">
        <v>1058</v>
      </c>
    </row>
    <row r="298" spans="8:41">
      <c r="H298" t="s">
        <v>1028</v>
      </c>
      <c r="I298" t="str">
        <f t="shared" si="5"/>
        <v>corby</v>
      </c>
      <c r="J298" t="str">
        <v>corby</v>
      </c>
      <c r="K298" t="str">
        <f>IFERROR(_xlfn.XLOOKUP(TRIM(H298), M:M, N:N, "Not Found"), "Not Found")</f>
        <v>Familial based</v>
      </c>
      <c r="V298" t="s">
        <v>965</v>
      </c>
      <c r="W298" t="s">
        <v>966</v>
      </c>
      <c r="X298">
        <f>Z298</f>
        <v>0</v>
      </c>
      <c r="Z298">
        <f>IFERROR(_xlfn.XLOOKUP(TRIM(V298), M:M, O:O, "Not Found"), "Not Found")</f>
        <v>0</v>
      </c>
      <c r="AG298" s="15">
        <v>0</v>
      </c>
      <c r="AH298" s="15">
        <v>0</v>
      </c>
      <c r="AI298" s="15">
        <v>0</v>
      </c>
      <c r="AJ298" s="15">
        <v>0</v>
      </c>
      <c r="AK298" s="15">
        <v>0</v>
      </c>
      <c r="AL298" s="15">
        <v>0</v>
      </c>
      <c r="AM298" s="15">
        <v>0</v>
      </c>
      <c r="AO298" t="s">
        <v>1007</v>
      </c>
    </row>
    <row r="299" spans="8:41">
      <c r="H299" t="s">
        <v>965</v>
      </c>
      <c r="I299" t="str">
        <f t="shared" si="5"/>
        <v>schapelle corby</v>
      </c>
      <c r="J299" t="str">
        <v>schapelle corby</v>
      </c>
      <c r="K299" t="str">
        <f>IFERROR(_xlfn.XLOOKUP(TRIM(H299), M:M, N:N, "Not Found"), "Not Found")</f>
        <v>Case Related</v>
      </c>
      <c r="V299" t="s">
        <v>965</v>
      </c>
      <c r="W299" t="s">
        <v>966</v>
      </c>
      <c r="X299">
        <f>Z299</f>
        <v>0</v>
      </c>
      <c r="Z299">
        <f>IFERROR(_xlfn.XLOOKUP(TRIM(V299), M:M, O:O, "Not Found"), "Not Found")</f>
        <v>0</v>
      </c>
      <c r="AG299" s="15">
        <v>0</v>
      </c>
      <c r="AH299" s="15">
        <v>0</v>
      </c>
      <c r="AI299" s="15">
        <v>1</v>
      </c>
      <c r="AJ299" s="15">
        <v>0</v>
      </c>
      <c r="AK299" s="15">
        <v>0</v>
      </c>
      <c r="AL299" s="15">
        <v>0</v>
      </c>
      <c r="AM299" s="15">
        <v>0</v>
      </c>
      <c r="AO299" t="s">
        <v>1255</v>
      </c>
    </row>
    <row r="300" spans="8:41">
      <c r="H300" t="s">
        <v>1028</v>
      </c>
      <c r="I300" t="str">
        <f t="shared" si="5"/>
        <v>corby</v>
      </c>
      <c r="J300" t="str">
        <v>corby</v>
      </c>
      <c r="K300" t="str">
        <f>IFERROR(_xlfn.XLOOKUP(TRIM(H300), M:M, N:N, "Not Found"), "Not Found")</f>
        <v>Familial based</v>
      </c>
      <c r="V300" t="s">
        <v>965</v>
      </c>
      <c r="W300" t="s">
        <v>966</v>
      </c>
      <c r="X300">
        <f>Z300</f>
        <v>0</v>
      </c>
      <c r="Z300">
        <f>IFERROR(_xlfn.XLOOKUP(TRIM(V300), M:M, O:O, "Not Found"), "Not Found")</f>
        <v>0</v>
      </c>
      <c r="AG300" s="15">
        <v>0</v>
      </c>
      <c r="AH300" s="15">
        <v>0</v>
      </c>
      <c r="AI300" s="15">
        <v>0</v>
      </c>
      <c r="AJ300" s="15">
        <v>0</v>
      </c>
      <c r="AK300" s="15">
        <v>0</v>
      </c>
      <c r="AL300" s="15">
        <v>0</v>
      </c>
      <c r="AM300" s="15">
        <v>0</v>
      </c>
      <c r="AO300" t="s">
        <v>1274</v>
      </c>
    </row>
    <row r="301" spans="8:41">
      <c r="H301" t="s">
        <v>965</v>
      </c>
      <c r="I301" t="str">
        <f t="shared" si="5"/>
        <v>schapelle corby</v>
      </c>
      <c r="J301" t="str">
        <v>schapelle corby</v>
      </c>
      <c r="K301" t="str">
        <f>IFERROR(_xlfn.XLOOKUP(TRIM(H301), M:M, N:N, "Not Found"), "Not Found")</f>
        <v>Case Related</v>
      </c>
      <c r="V301" t="s">
        <v>965</v>
      </c>
      <c r="W301" t="s">
        <v>966</v>
      </c>
      <c r="X301">
        <f>Z301</f>
        <v>0</v>
      </c>
      <c r="Z301">
        <f>IFERROR(_xlfn.XLOOKUP(TRIM(V301), M:M, O:O, "Not Found"), "Not Found")</f>
        <v>0</v>
      </c>
      <c r="AG301" s="15">
        <v>0</v>
      </c>
      <c r="AH301" s="15">
        <v>2</v>
      </c>
      <c r="AI301" s="15">
        <v>1</v>
      </c>
      <c r="AJ301" s="15">
        <v>0</v>
      </c>
      <c r="AK301" s="15">
        <v>0</v>
      </c>
      <c r="AL301" s="15">
        <v>0</v>
      </c>
      <c r="AM301" s="15">
        <v>0</v>
      </c>
      <c r="AO301" t="s">
        <v>1022</v>
      </c>
    </row>
    <row r="302" spans="8:41">
      <c r="H302" t="s">
        <v>1028</v>
      </c>
      <c r="I302" t="str">
        <f t="shared" si="5"/>
        <v>corby</v>
      </c>
      <c r="J302" t="str">
        <v>corby</v>
      </c>
      <c r="K302" t="str">
        <f>IFERROR(_xlfn.XLOOKUP(TRIM(H302), M:M, N:N, "Not Found"), "Not Found")</f>
        <v>Familial based</v>
      </c>
      <c r="V302" t="s">
        <v>965</v>
      </c>
      <c r="W302" t="s">
        <v>966</v>
      </c>
      <c r="X302">
        <f>Z302</f>
        <v>0</v>
      </c>
      <c r="Z302">
        <f>IFERROR(_xlfn.XLOOKUP(TRIM(V302), M:M, O:O, "Not Found"), "Not Found")</f>
        <v>0</v>
      </c>
      <c r="AG302" s="15">
        <v>0</v>
      </c>
      <c r="AH302" s="15">
        <v>0</v>
      </c>
      <c r="AI302" s="15">
        <v>0</v>
      </c>
      <c r="AJ302" s="15">
        <v>0</v>
      </c>
      <c r="AK302" s="15">
        <v>0</v>
      </c>
      <c r="AL302" s="15">
        <v>0</v>
      </c>
      <c r="AM302" s="15">
        <v>0</v>
      </c>
      <c r="AO302" t="s">
        <v>1255</v>
      </c>
    </row>
    <row r="303" spans="8:41">
      <c r="H303" t="s">
        <v>965</v>
      </c>
      <c r="I303" t="str">
        <f t="shared" si="5"/>
        <v>schapelle corby</v>
      </c>
      <c r="J303" t="str">
        <v>schapelle corby</v>
      </c>
      <c r="K303" t="str">
        <f>IFERROR(_xlfn.XLOOKUP(TRIM(H303), M:M, N:N, "Not Found"), "Not Found")</f>
        <v>Case Related</v>
      </c>
      <c r="V303" t="s">
        <v>965</v>
      </c>
      <c r="W303" t="s">
        <v>966</v>
      </c>
      <c r="X303">
        <f>Z303</f>
        <v>0</v>
      </c>
      <c r="Z303">
        <f>IFERROR(_xlfn.XLOOKUP(TRIM(V303), M:M, O:O, "Not Found"), "Not Found")</f>
        <v>0</v>
      </c>
      <c r="AG303" s="15">
        <v>0</v>
      </c>
      <c r="AH303" s="15">
        <v>0</v>
      </c>
      <c r="AI303" s="15">
        <v>0</v>
      </c>
      <c r="AJ303" s="15">
        <v>0</v>
      </c>
      <c r="AK303" s="15">
        <v>0</v>
      </c>
      <c r="AL303" s="15">
        <v>0</v>
      </c>
      <c r="AM303" s="15">
        <v>0</v>
      </c>
      <c r="AO303" t="s">
        <v>1255</v>
      </c>
    </row>
    <row r="304" spans="8:41">
      <c r="H304" t="s">
        <v>983</v>
      </c>
      <c r="I304" t="str">
        <f t="shared" si="5"/>
        <v>australia</v>
      </c>
      <c r="J304" t="str">
        <v>australia</v>
      </c>
      <c r="K304" t="str">
        <f>IFERROR(_xlfn.XLOOKUP(TRIM(H304), M:M, N:N, "Not Found"), "Not Found")</f>
        <v>Case Related</v>
      </c>
      <c r="V304" t="s">
        <v>965</v>
      </c>
      <c r="W304" t="s">
        <v>966</v>
      </c>
      <c r="X304">
        <f>Z304</f>
        <v>0</v>
      </c>
      <c r="Z304">
        <f>IFERROR(_xlfn.XLOOKUP(TRIM(V304), M:M, O:O, "Not Found"), "Not Found")</f>
        <v>0</v>
      </c>
      <c r="AG304" s="15">
        <v>0</v>
      </c>
      <c r="AH304" s="15">
        <v>0</v>
      </c>
      <c r="AI304" s="15">
        <v>0</v>
      </c>
      <c r="AJ304" s="15">
        <v>0</v>
      </c>
      <c r="AK304" s="15">
        <v>0</v>
      </c>
      <c r="AL304" s="15">
        <v>0</v>
      </c>
      <c r="AM304" s="15">
        <v>0</v>
      </c>
      <c r="AO304" t="s">
        <v>1281</v>
      </c>
    </row>
    <row r="305" spans="8:41">
      <c r="H305" t="s">
        <v>1028</v>
      </c>
      <c r="I305" t="str">
        <f t="shared" si="5"/>
        <v>corby</v>
      </c>
      <c r="J305" t="str">
        <v>corby</v>
      </c>
      <c r="K305" t="str">
        <f>IFERROR(_xlfn.XLOOKUP(TRIM(H305), M:M, N:N, "Not Found"), "Not Found")</f>
        <v>Familial based</v>
      </c>
      <c r="V305" t="s">
        <v>965</v>
      </c>
      <c r="W305" t="s">
        <v>966</v>
      </c>
      <c r="X305">
        <f>Z305</f>
        <v>0</v>
      </c>
      <c r="Z305">
        <f>IFERROR(_xlfn.XLOOKUP(TRIM(V305), M:M, O:O, "Not Found"), "Not Found")</f>
        <v>0</v>
      </c>
      <c r="AG305" s="15">
        <v>0</v>
      </c>
      <c r="AH305" s="15">
        <v>0</v>
      </c>
      <c r="AI305" s="15">
        <v>0</v>
      </c>
      <c r="AJ305" s="15">
        <v>0</v>
      </c>
      <c r="AK305" s="15">
        <v>0</v>
      </c>
      <c r="AL305" s="15">
        <v>0</v>
      </c>
      <c r="AM305" s="15">
        <v>0</v>
      </c>
      <c r="AO305" t="s">
        <v>1255</v>
      </c>
    </row>
    <row r="306" spans="8:41">
      <c r="H306" t="s">
        <v>965</v>
      </c>
      <c r="I306" t="str">
        <f t="shared" si="5"/>
        <v>schapelle corby</v>
      </c>
      <c r="J306" t="str">
        <v>schapelle corby</v>
      </c>
      <c r="K306" t="str">
        <f>IFERROR(_xlfn.XLOOKUP(TRIM(H306), M:M, N:N, "Not Found"), "Not Found")</f>
        <v>Case Related</v>
      </c>
      <c r="V306" t="s">
        <v>965</v>
      </c>
      <c r="W306" t="s">
        <v>966</v>
      </c>
      <c r="X306">
        <f>Z306</f>
        <v>0</v>
      </c>
      <c r="Z306">
        <f>IFERROR(_xlfn.XLOOKUP(TRIM(V306), M:M, O:O, "Not Found"), "Not Found")</f>
        <v>0</v>
      </c>
      <c r="AG306" s="15">
        <v>0</v>
      </c>
      <c r="AH306" s="15">
        <v>0</v>
      </c>
      <c r="AI306" s="15">
        <v>0</v>
      </c>
      <c r="AJ306" s="15">
        <v>0</v>
      </c>
      <c r="AK306" s="15">
        <v>0</v>
      </c>
      <c r="AL306" s="15">
        <v>0</v>
      </c>
      <c r="AM306" s="15">
        <v>0</v>
      </c>
      <c r="AO306" t="s">
        <v>1272</v>
      </c>
    </row>
    <row r="307" spans="8:41">
      <c r="H307" t="s">
        <v>970</v>
      </c>
      <c r="I307" t="str">
        <f t="shared" si="5"/>
        <v>australian</v>
      </c>
      <c r="J307" t="str">
        <v>australian</v>
      </c>
      <c r="K307" t="str">
        <f>IFERROR(_xlfn.XLOOKUP(TRIM(H307), M:M, N:N, "Not Found"), "Not Found")</f>
        <v>Case Related</v>
      </c>
      <c r="V307" t="s">
        <v>965</v>
      </c>
      <c r="W307" t="s">
        <v>966</v>
      </c>
      <c r="X307">
        <f>Z307</f>
        <v>0</v>
      </c>
      <c r="Z307">
        <f>IFERROR(_xlfn.XLOOKUP(TRIM(V307), M:M, O:O, "Not Found"), "Not Found")</f>
        <v>0</v>
      </c>
      <c r="AG307" s="15">
        <v>0</v>
      </c>
      <c r="AH307" s="15">
        <v>0</v>
      </c>
      <c r="AI307" s="15">
        <v>0</v>
      </c>
      <c r="AJ307" s="15">
        <v>0</v>
      </c>
      <c r="AK307" s="15">
        <v>0</v>
      </c>
      <c r="AL307" s="15">
        <v>0</v>
      </c>
      <c r="AM307" s="15">
        <v>0</v>
      </c>
      <c r="AO307" t="s">
        <v>1272</v>
      </c>
    </row>
    <row r="308" spans="8:41">
      <c r="H308" t="s">
        <v>983</v>
      </c>
      <c r="I308" t="str">
        <f t="shared" si="5"/>
        <v>australia</v>
      </c>
      <c r="J308" t="str">
        <v>australia</v>
      </c>
      <c r="K308" t="str">
        <f>IFERROR(_xlfn.XLOOKUP(TRIM(H308), M:M, N:N, "Not Found"), "Not Found")</f>
        <v>Case Related</v>
      </c>
      <c r="V308" t="s">
        <v>965</v>
      </c>
      <c r="W308" t="s">
        <v>966</v>
      </c>
      <c r="X308">
        <f>Z308</f>
        <v>0</v>
      </c>
      <c r="Z308">
        <f>IFERROR(_xlfn.XLOOKUP(TRIM(V308), M:M, O:O, "Not Found"), "Not Found")</f>
        <v>0</v>
      </c>
      <c r="AG308" s="15">
        <v>0</v>
      </c>
      <c r="AH308" s="15">
        <v>1</v>
      </c>
      <c r="AI308" s="15">
        <v>0</v>
      </c>
      <c r="AJ308" s="15">
        <v>0</v>
      </c>
      <c r="AK308" s="15">
        <v>0</v>
      </c>
      <c r="AL308" s="15">
        <v>0</v>
      </c>
      <c r="AM308" s="15">
        <v>0</v>
      </c>
      <c r="AO308" t="s">
        <v>1286</v>
      </c>
    </row>
    <row r="309" spans="8:41">
      <c r="H309" t="s">
        <v>996</v>
      </c>
      <c r="I309" t="str">
        <f t="shared" si="5"/>
        <v>jail</v>
      </c>
      <c r="J309" t="str">
        <v>jail</v>
      </c>
      <c r="K309" t="str">
        <f>IFERROR(_xlfn.XLOOKUP(TRIM(H309), M:M, N:N, "Not Found"), "Not Found")</f>
        <v>Crime based</v>
      </c>
      <c r="V309" t="s">
        <v>965</v>
      </c>
      <c r="W309" t="s">
        <v>966</v>
      </c>
      <c r="X309">
        <f>Z309</f>
        <v>0</v>
      </c>
      <c r="Z309">
        <f>IFERROR(_xlfn.XLOOKUP(TRIM(V309), M:M, O:O, "Not Found"), "Not Found")</f>
        <v>0</v>
      </c>
      <c r="AG309" s="15">
        <v>0</v>
      </c>
      <c r="AH309" s="15">
        <v>0</v>
      </c>
      <c r="AI309" s="15">
        <v>0</v>
      </c>
      <c r="AJ309" s="15">
        <v>0</v>
      </c>
      <c r="AK309" s="15">
        <v>4</v>
      </c>
      <c r="AL309" s="15">
        <v>0</v>
      </c>
      <c r="AM309" s="15">
        <v>0</v>
      </c>
      <c r="AO309" t="s">
        <v>1255</v>
      </c>
    </row>
    <row r="310" spans="8:41">
      <c r="H310" t="s">
        <v>1028</v>
      </c>
      <c r="I310" t="str">
        <f t="shared" si="5"/>
        <v>corby</v>
      </c>
      <c r="J310" t="str">
        <v>corby</v>
      </c>
      <c r="K310" t="str">
        <f>IFERROR(_xlfn.XLOOKUP(TRIM(H310), M:M, N:N, "Not Found"), "Not Found")</f>
        <v>Familial based</v>
      </c>
      <c r="V310" t="s">
        <v>965</v>
      </c>
      <c r="W310" t="s">
        <v>966</v>
      </c>
      <c r="X310">
        <f>Z310</f>
        <v>0</v>
      </c>
      <c r="Z310">
        <f>IFERROR(_xlfn.XLOOKUP(TRIM(V310), M:M, O:O, "Not Found"), "Not Found")</f>
        <v>0</v>
      </c>
      <c r="AG310" s="15">
        <v>0</v>
      </c>
      <c r="AH310" s="15">
        <v>0</v>
      </c>
      <c r="AI310" s="15">
        <v>0</v>
      </c>
      <c r="AJ310" s="15">
        <v>0</v>
      </c>
      <c r="AK310" s="15">
        <v>0</v>
      </c>
      <c r="AL310" s="15">
        <v>0</v>
      </c>
      <c r="AM310" s="15">
        <v>0</v>
      </c>
      <c r="AO310" t="s">
        <v>1287</v>
      </c>
    </row>
    <row r="311" spans="8:41">
      <c r="H311" t="s">
        <v>965</v>
      </c>
      <c r="I311" t="str">
        <f t="shared" si="5"/>
        <v>schapelle corby</v>
      </c>
      <c r="J311" t="str">
        <v>schapelle corby</v>
      </c>
      <c r="K311" t="str">
        <f>IFERROR(_xlfn.XLOOKUP(TRIM(H311), M:M, N:N, "Not Found"), "Not Found")</f>
        <v>Case Related</v>
      </c>
      <c r="V311" t="s">
        <v>965</v>
      </c>
      <c r="W311" t="s">
        <v>966</v>
      </c>
      <c r="X311">
        <f>Z311</f>
        <v>0</v>
      </c>
      <c r="Z311">
        <f>IFERROR(_xlfn.XLOOKUP(TRIM(V311), M:M, O:O, "Not Found"), "Not Found")</f>
        <v>0</v>
      </c>
      <c r="AG311" s="15">
        <v>0</v>
      </c>
      <c r="AH311" s="15">
        <v>0</v>
      </c>
      <c r="AI311" s="15">
        <v>0</v>
      </c>
      <c r="AJ311" s="15">
        <v>0</v>
      </c>
      <c r="AK311" s="15">
        <v>3</v>
      </c>
      <c r="AL311" s="15">
        <v>0</v>
      </c>
      <c r="AM311" s="15">
        <v>0</v>
      </c>
      <c r="AO311" t="s">
        <v>1288</v>
      </c>
    </row>
    <row r="312" spans="8:41">
      <c r="H312" t="s">
        <v>1028</v>
      </c>
      <c r="I312" t="str">
        <f t="shared" si="5"/>
        <v>corby</v>
      </c>
      <c r="J312" t="str">
        <v>corby</v>
      </c>
      <c r="K312" t="str">
        <f>IFERROR(_xlfn.XLOOKUP(TRIM(H312), M:M, N:N, "Not Found"), "Not Found")</f>
        <v>Familial based</v>
      </c>
      <c r="V312" t="s">
        <v>965</v>
      </c>
      <c r="W312" t="s">
        <v>966</v>
      </c>
      <c r="X312">
        <f>Z312</f>
        <v>0</v>
      </c>
      <c r="Z312">
        <f>IFERROR(_xlfn.XLOOKUP(TRIM(V312), M:M, O:O, "Not Found"), "Not Found")</f>
        <v>0</v>
      </c>
      <c r="AG312" s="15">
        <v>0</v>
      </c>
      <c r="AH312" s="15">
        <v>0.5</v>
      </c>
      <c r="AI312" s="15">
        <v>1</v>
      </c>
      <c r="AJ312" s="15">
        <v>0</v>
      </c>
      <c r="AK312" s="15">
        <v>0</v>
      </c>
      <c r="AL312" s="15">
        <v>0</v>
      </c>
      <c r="AM312" s="15">
        <v>0</v>
      </c>
      <c r="AO312" t="s">
        <v>1032</v>
      </c>
    </row>
    <row r="313" spans="8:41">
      <c r="H313" t="s">
        <v>965</v>
      </c>
      <c r="I313" t="str">
        <f t="shared" si="5"/>
        <v>schapelle corby</v>
      </c>
      <c r="J313" t="str">
        <v>schapelle corby</v>
      </c>
      <c r="K313" t="str">
        <f>IFERROR(_xlfn.XLOOKUP(TRIM(H313), M:M, N:N, "Not Found"), "Not Found")</f>
        <v>Case Related</v>
      </c>
      <c r="V313" t="s">
        <v>965</v>
      </c>
      <c r="W313" t="s">
        <v>966</v>
      </c>
      <c r="X313">
        <f>Z313</f>
        <v>0</v>
      </c>
      <c r="Z313">
        <f>IFERROR(_xlfn.XLOOKUP(TRIM(V313), M:M, O:O, "Not Found"), "Not Found")</f>
        <v>0</v>
      </c>
      <c r="AG313" s="15">
        <v>0</v>
      </c>
      <c r="AH313" s="15">
        <v>0</v>
      </c>
      <c r="AI313" s="15">
        <v>0</v>
      </c>
      <c r="AJ313" s="15">
        <v>0</v>
      </c>
      <c r="AK313" s="15">
        <v>3</v>
      </c>
      <c r="AL313" s="15">
        <v>0</v>
      </c>
      <c r="AM313" s="15">
        <v>0</v>
      </c>
      <c r="AO313" t="s">
        <v>1255</v>
      </c>
    </row>
    <row r="314" spans="8:41">
      <c r="H314" t="s">
        <v>1028</v>
      </c>
      <c r="I314" t="str">
        <f t="shared" si="5"/>
        <v>corby</v>
      </c>
      <c r="J314" t="str">
        <v>corby</v>
      </c>
      <c r="K314" t="str">
        <f>IFERROR(_xlfn.XLOOKUP(TRIM(H314), M:M, N:N, "Not Found"), "Not Found")</f>
        <v>Familial based</v>
      </c>
      <c r="V314" t="s">
        <v>965</v>
      </c>
      <c r="W314" t="s">
        <v>966</v>
      </c>
      <c r="X314">
        <f>Z314</f>
        <v>0</v>
      </c>
      <c r="Z314">
        <f>IFERROR(_xlfn.XLOOKUP(TRIM(V314), M:M, O:O, "Not Found"), "Not Found")</f>
        <v>0</v>
      </c>
      <c r="AG314" s="15">
        <v>0</v>
      </c>
      <c r="AH314" s="15">
        <v>0</v>
      </c>
      <c r="AI314" s="15">
        <v>0</v>
      </c>
      <c r="AJ314" s="15">
        <v>0</v>
      </c>
      <c r="AK314" s="15">
        <v>0</v>
      </c>
      <c r="AL314" s="15">
        <v>0</v>
      </c>
      <c r="AM314" s="15">
        <v>0</v>
      </c>
      <c r="AO314" t="s">
        <v>1255</v>
      </c>
    </row>
    <row r="315" spans="8:41">
      <c r="H315" t="s">
        <v>965</v>
      </c>
      <c r="I315" t="str">
        <f t="shared" si="5"/>
        <v>schapelle corby</v>
      </c>
      <c r="J315" t="str">
        <v>schapelle corby</v>
      </c>
      <c r="K315" t="str">
        <f>IFERROR(_xlfn.XLOOKUP(TRIM(H315), M:M, N:N, "Not Found"), "Not Found")</f>
        <v>Case Related</v>
      </c>
      <c r="V315" t="s">
        <v>965</v>
      </c>
      <c r="W315" t="s">
        <v>966</v>
      </c>
      <c r="X315">
        <f>Z315</f>
        <v>0</v>
      </c>
      <c r="Z315">
        <f>IFERROR(_xlfn.XLOOKUP(TRIM(V315), M:M, O:O, "Not Found"), "Not Found")</f>
        <v>0</v>
      </c>
      <c r="AG315" s="15">
        <v>0</v>
      </c>
      <c r="AH315" s="15">
        <v>0</v>
      </c>
      <c r="AI315" s="15">
        <v>0</v>
      </c>
      <c r="AJ315" s="15">
        <v>0</v>
      </c>
      <c r="AK315" s="15">
        <v>0</v>
      </c>
      <c r="AL315" s="15">
        <v>0</v>
      </c>
      <c r="AM315" s="15">
        <v>0</v>
      </c>
      <c r="AO315" t="s">
        <v>1255</v>
      </c>
    </row>
    <row r="316" spans="8:41">
      <c r="H316" t="s">
        <v>1028</v>
      </c>
      <c r="I316" t="str">
        <f t="shared" si="5"/>
        <v>corby</v>
      </c>
      <c r="J316" t="str">
        <v>corby</v>
      </c>
      <c r="K316" t="str">
        <f>IFERROR(_xlfn.XLOOKUP(TRIM(H316), M:M, N:N, "Not Found"), "Not Found")</f>
        <v>Familial based</v>
      </c>
      <c r="V316" t="s">
        <v>965</v>
      </c>
      <c r="W316" t="s">
        <v>966</v>
      </c>
      <c r="X316">
        <f>Z316</f>
        <v>0</v>
      </c>
      <c r="Z316">
        <f>IFERROR(_xlfn.XLOOKUP(TRIM(V316), M:M, O:O, "Not Found"), "Not Found")</f>
        <v>0</v>
      </c>
      <c r="AG316" s="15">
        <v>0</v>
      </c>
      <c r="AH316" s="15">
        <v>0</v>
      </c>
      <c r="AI316" s="15">
        <v>0</v>
      </c>
      <c r="AJ316" s="15">
        <v>0</v>
      </c>
      <c r="AK316" s="15">
        <v>0</v>
      </c>
      <c r="AL316" s="15">
        <v>0</v>
      </c>
      <c r="AM316" s="15">
        <v>0</v>
      </c>
      <c r="AO316" t="s">
        <v>1255</v>
      </c>
    </row>
    <row r="317" spans="8:41">
      <c r="H317" t="s">
        <v>965</v>
      </c>
      <c r="I317" t="str">
        <f t="shared" si="5"/>
        <v>schapelle corby</v>
      </c>
      <c r="J317" t="str">
        <v>schapelle corby</v>
      </c>
      <c r="K317" t="str">
        <f>IFERROR(_xlfn.XLOOKUP(TRIM(H317), M:M, N:N, "Not Found"), "Not Found")</f>
        <v>Case Related</v>
      </c>
      <c r="V317" t="s">
        <v>965</v>
      </c>
      <c r="W317" t="s">
        <v>966</v>
      </c>
      <c r="X317">
        <f>Z317</f>
        <v>0</v>
      </c>
      <c r="Z317">
        <f>IFERROR(_xlfn.XLOOKUP(TRIM(V317), M:M, O:O, "Not Found"), "Not Found")</f>
        <v>0</v>
      </c>
      <c r="AG317" s="15">
        <v>0</v>
      </c>
      <c r="AH317" s="15">
        <v>0</v>
      </c>
      <c r="AI317" s="15">
        <v>0</v>
      </c>
      <c r="AJ317" s="15">
        <v>0</v>
      </c>
      <c r="AK317" s="15">
        <v>0</v>
      </c>
      <c r="AL317" s="15">
        <v>0</v>
      </c>
      <c r="AM317" s="15">
        <v>0</v>
      </c>
      <c r="AO317" t="s">
        <v>1255</v>
      </c>
    </row>
    <row r="318" spans="8:41">
      <c r="H318" t="s">
        <v>983</v>
      </c>
      <c r="I318" t="str">
        <f t="shared" si="5"/>
        <v>australia</v>
      </c>
      <c r="J318" t="str">
        <v>australia</v>
      </c>
      <c r="K318" t="str">
        <f>IFERROR(_xlfn.XLOOKUP(TRIM(H318), M:M, N:N, "Not Found"), "Not Found")</f>
        <v>Case Related</v>
      </c>
      <c r="V318" t="s">
        <v>965</v>
      </c>
      <c r="W318" t="s">
        <v>966</v>
      </c>
      <c r="X318">
        <f>Z318</f>
        <v>0</v>
      </c>
      <c r="Z318">
        <f>IFERROR(_xlfn.XLOOKUP(TRIM(V318), M:M, O:O, "Not Found"), "Not Found")</f>
        <v>0</v>
      </c>
      <c r="AG318" s="15">
        <v>0</v>
      </c>
      <c r="AH318" s="15">
        <v>0</v>
      </c>
      <c r="AI318" s="15">
        <v>0</v>
      </c>
      <c r="AJ318" s="15">
        <v>0</v>
      </c>
      <c r="AK318" s="15">
        <v>0</v>
      </c>
      <c r="AL318" s="15">
        <v>0</v>
      </c>
      <c r="AM318" s="15">
        <v>0</v>
      </c>
      <c r="AO318" t="s">
        <v>1255</v>
      </c>
    </row>
    <row r="319" spans="8:41">
      <c r="H319" t="s">
        <v>1028</v>
      </c>
      <c r="I319" t="str">
        <f t="shared" si="5"/>
        <v>corby</v>
      </c>
      <c r="J319" t="str">
        <v>corby</v>
      </c>
      <c r="K319" t="str">
        <f>IFERROR(_xlfn.XLOOKUP(TRIM(H319), M:M, N:N, "Not Found"), "Not Found")</f>
        <v>Familial based</v>
      </c>
      <c r="V319" t="s">
        <v>965</v>
      </c>
      <c r="W319" t="s">
        <v>966</v>
      </c>
      <c r="X319">
        <f>Z319</f>
        <v>0</v>
      </c>
      <c r="Z319">
        <f>IFERROR(_xlfn.XLOOKUP(TRIM(V319), M:M, O:O, "Not Found"), "Not Found")</f>
        <v>0</v>
      </c>
      <c r="AG319" s="15">
        <v>0</v>
      </c>
      <c r="AH319" s="15">
        <v>0</v>
      </c>
      <c r="AI319" s="15">
        <v>0</v>
      </c>
      <c r="AJ319" s="15">
        <v>0</v>
      </c>
      <c r="AK319" s="15">
        <v>0</v>
      </c>
      <c r="AL319" s="15">
        <v>0</v>
      </c>
      <c r="AM319" s="15">
        <v>0</v>
      </c>
      <c r="AO319" t="s">
        <v>1255</v>
      </c>
    </row>
    <row r="320" spans="8:41">
      <c r="H320" t="s">
        <v>965</v>
      </c>
      <c r="I320" t="str">
        <f t="shared" si="5"/>
        <v>schapelle corby</v>
      </c>
      <c r="J320" t="str">
        <v>schapelle corby</v>
      </c>
      <c r="K320" t="str">
        <f>IFERROR(_xlfn.XLOOKUP(TRIM(H320), M:M, N:N, "Not Found"), "Not Found")</f>
        <v>Case Related</v>
      </c>
      <c r="V320" t="s">
        <v>965</v>
      </c>
      <c r="W320" t="s">
        <v>966</v>
      </c>
      <c r="X320">
        <f>Z320</f>
        <v>0</v>
      </c>
      <c r="Z320">
        <f>IFERROR(_xlfn.XLOOKUP(TRIM(V320), M:M, O:O, "Not Found"), "Not Found")</f>
        <v>0</v>
      </c>
      <c r="AG320" s="15">
        <v>0</v>
      </c>
      <c r="AH320" s="15">
        <v>0</v>
      </c>
      <c r="AI320" s="15">
        <v>0</v>
      </c>
      <c r="AJ320" s="15">
        <v>0</v>
      </c>
      <c r="AK320" s="15">
        <v>0</v>
      </c>
      <c r="AL320" s="15">
        <v>0</v>
      </c>
      <c r="AM320" s="15">
        <v>0</v>
      </c>
      <c r="AO320" t="s">
        <v>1255</v>
      </c>
    </row>
    <row r="321" spans="8:41">
      <c r="H321" t="s">
        <v>1028</v>
      </c>
      <c r="I321" t="str">
        <f t="shared" si="5"/>
        <v>corby</v>
      </c>
      <c r="J321" t="str">
        <v>corby</v>
      </c>
      <c r="K321" t="str">
        <f>IFERROR(_xlfn.XLOOKUP(TRIM(H321), M:M, N:N, "Not Found"), "Not Found")</f>
        <v>Familial based</v>
      </c>
      <c r="V321" t="s">
        <v>965</v>
      </c>
      <c r="W321" t="s">
        <v>966</v>
      </c>
      <c r="X321">
        <f>Z321</f>
        <v>0</v>
      </c>
      <c r="Z321">
        <f>IFERROR(_xlfn.XLOOKUP(TRIM(V321), M:M, O:O, "Not Found"), "Not Found")</f>
        <v>0</v>
      </c>
      <c r="AG321" s="15">
        <v>0</v>
      </c>
      <c r="AH321" s="15">
        <v>0</v>
      </c>
      <c r="AI321" s="15">
        <v>0</v>
      </c>
      <c r="AJ321" s="15">
        <v>0</v>
      </c>
      <c r="AK321" s="15">
        <v>0</v>
      </c>
      <c r="AL321" s="15">
        <v>0</v>
      </c>
      <c r="AM321" s="15">
        <v>0</v>
      </c>
      <c r="AO321" t="s">
        <v>1281</v>
      </c>
    </row>
    <row r="322" spans="8:41">
      <c r="H322" t="s">
        <v>965</v>
      </c>
      <c r="I322" t="str">
        <f t="shared" si="5"/>
        <v>schapelle corby</v>
      </c>
      <c r="J322" t="str">
        <v>schapelle corby</v>
      </c>
      <c r="K322" t="str">
        <f>IFERROR(_xlfn.XLOOKUP(TRIM(H322), M:M, N:N, "Not Found"), "Not Found")</f>
        <v>Case Related</v>
      </c>
      <c r="V322" t="s">
        <v>965</v>
      </c>
      <c r="W322" t="s">
        <v>966</v>
      </c>
      <c r="X322">
        <f>Z322</f>
        <v>0</v>
      </c>
      <c r="Z322">
        <f>IFERROR(_xlfn.XLOOKUP(TRIM(V322), M:M, O:O, "Not Found"), "Not Found")</f>
        <v>0</v>
      </c>
      <c r="AG322" s="15">
        <v>0</v>
      </c>
      <c r="AH322" s="15">
        <v>0</v>
      </c>
      <c r="AI322" s="15">
        <v>0</v>
      </c>
      <c r="AJ322" s="15">
        <v>0</v>
      </c>
      <c r="AK322" s="15">
        <v>0</v>
      </c>
      <c r="AL322" s="15">
        <v>0</v>
      </c>
      <c r="AM322" s="15">
        <v>0</v>
      </c>
      <c r="AO322" t="s">
        <v>1255</v>
      </c>
    </row>
    <row r="323" spans="8:41">
      <c r="H323" t="s">
        <v>983</v>
      </c>
      <c r="I323" t="str">
        <f t="shared" si="5"/>
        <v>australia</v>
      </c>
      <c r="J323" t="str">
        <v>australia</v>
      </c>
      <c r="K323" t="str">
        <f>IFERROR(_xlfn.XLOOKUP(TRIM(H323), M:M, N:N, "Not Found"), "Not Found")</f>
        <v>Case Related</v>
      </c>
      <c r="V323" t="s">
        <v>965</v>
      </c>
      <c r="W323" t="s">
        <v>966</v>
      </c>
      <c r="X323">
        <f>Z323</f>
        <v>0</v>
      </c>
      <c r="Z323">
        <f>IFERROR(_xlfn.XLOOKUP(TRIM(V323), M:M, O:O, "Not Found"), "Not Found")</f>
        <v>0</v>
      </c>
      <c r="AG323" s="15">
        <v>0</v>
      </c>
      <c r="AH323" s="15">
        <v>0</v>
      </c>
      <c r="AI323" s="15">
        <v>0</v>
      </c>
      <c r="AJ323" s="15">
        <v>0</v>
      </c>
      <c r="AK323" s="15">
        <v>0</v>
      </c>
      <c r="AL323" s="15">
        <v>0</v>
      </c>
      <c r="AM323" s="15">
        <v>0</v>
      </c>
      <c r="AO323" t="s">
        <v>1255</v>
      </c>
    </row>
    <row r="324" spans="8:41">
      <c r="H324" t="s">
        <v>1028</v>
      </c>
      <c r="I324" t="str">
        <f t="shared" ref="I324:I387" si="6">TRIM(LOWER(H324))</f>
        <v>corby</v>
      </c>
      <c r="J324" t="str">
        <v>corby</v>
      </c>
      <c r="K324" t="str">
        <f>IFERROR(_xlfn.XLOOKUP(TRIM(H324), M:M, N:N, "Not Found"), "Not Found")</f>
        <v>Familial based</v>
      </c>
      <c r="V324" t="s">
        <v>965</v>
      </c>
      <c r="W324" t="s">
        <v>966</v>
      </c>
      <c r="X324">
        <f>Z324</f>
        <v>0</v>
      </c>
      <c r="Z324">
        <f>IFERROR(_xlfn.XLOOKUP(TRIM(V324), M:M, O:O, "Not Found"), "Not Found")</f>
        <v>0</v>
      </c>
      <c r="AG324" s="15">
        <v>0</v>
      </c>
      <c r="AH324" s="15">
        <v>0</v>
      </c>
      <c r="AI324" s="15">
        <v>0</v>
      </c>
      <c r="AJ324" s="15">
        <v>0</v>
      </c>
      <c r="AK324" s="15">
        <v>0</v>
      </c>
      <c r="AL324" s="15">
        <v>0</v>
      </c>
      <c r="AM324" s="15">
        <v>0</v>
      </c>
      <c r="AO324" t="s">
        <v>1255</v>
      </c>
    </row>
    <row r="325" spans="8:41">
      <c r="H325" t="s">
        <v>1244</v>
      </c>
      <c r="I325" t="str">
        <f t="shared" si="6"/>
        <v>law</v>
      </c>
      <c r="J325" t="str">
        <v>law</v>
      </c>
      <c r="K325" t="str">
        <f>IFERROR(_xlfn.XLOOKUP(TRIM(H325), M:M, N:N, "Not Found"), "Not Found")</f>
        <v>Not Found</v>
      </c>
      <c r="V325" t="s">
        <v>965</v>
      </c>
      <c r="W325" t="s">
        <v>966</v>
      </c>
      <c r="X325">
        <f>Z325</f>
        <v>0</v>
      </c>
      <c r="Z325">
        <f>IFERROR(_xlfn.XLOOKUP(TRIM(V325), M:M, O:O, "Not Found"), "Not Found")</f>
        <v>0</v>
      </c>
      <c r="AG325" s="15">
        <v>0</v>
      </c>
      <c r="AH325" s="15">
        <v>0</v>
      </c>
      <c r="AI325" s="15">
        <v>0</v>
      </c>
      <c r="AJ325" s="15">
        <v>0</v>
      </c>
      <c r="AK325" s="15">
        <v>0</v>
      </c>
      <c r="AL325" s="15">
        <v>0</v>
      </c>
      <c r="AM325" s="15">
        <v>0</v>
      </c>
      <c r="AO325" t="s">
        <v>1255</v>
      </c>
    </row>
    <row r="326" spans="8:41">
      <c r="H326" t="s">
        <v>965</v>
      </c>
      <c r="I326" t="str">
        <f t="shared" si="6"/>
        <v>schapelle corby</v>
      </c>
      <c r="J326" t="str">
        <v>schapelle corby</v>
      </c>
      <c r="K326" t="str">
        <f>IFERROR(_xlfn.XLOOKUP(TRIM(H326), M:M, N:N, "Not Found"), "Not Found")</f>
        <v>Case Related</v>
      </c>
      <c r="V326" t="s">
        <v>965</v>
      </c>
      <c r="W326" t="s">
        <v>966</v>
      </c>
      <c r="X326">
        <f>Z326</f>
        <v>0</v>
      </c>
      <c r="Z326">
        <f>IFERROR(_xlfn.XLOOKUP(TRIM(V326), M:M, O:O, "Not Found"), "Not Found")</f>
        <v>0</v>
      </c>
      <c r="AG326" s="15">
        <v>0</v>
      </c>
      <c r="AH326" s="15">
        <v>0</v>
      </c>
      <c r="AI326" s="15">
        <v>0</v>
      </c>
      <c r="AJ326" s="15">
        <v>0</v>
      </c>
      <c r="AK326" s="15">
        <v>0</v>
      </c>
      <c r="AL326" s="15">
        <v>0</v>
      </c>
      <c r="AM326" s="15">
        <v>0</v>
      </c>
      <c r="AO326" t="s">
        <v>1032</v>
      </c>
    </row>
    <row r="327" spans="8:41">
      <c r="H327" t="s">
        <v>1028</v>
      </c>
      <c r="I327" t="str">
        <f t="shared" si="6"/>
        <v>corby</v>
      </c>
      <c r="J327" t="str">
        <v>corby</v>
      </c>
      <c r="K327" t="str">
        <f>IFERROR(_xlfn.XLOOKUP(TRIM(H327), M:M, N:N, "Not Found"), "Not Found")</f>
        <v>Familial based</v>
      </c>
      <c r="V327" t="s">
        <v>965</v>
      </c>
      <c r="W327" t="s">
        <v>966</v>
      </c>
      <c r="X327">
        <f>Z327</f>
        <v>0</v>
      </c>
      <c r="Z327">
        <f>IFERROR(_xlfn.XLOOKUP(TRIM(V327), M:M, O:O, "Not Found"), "Not Found")</f>
        <v>0</v>
      </c>
      <c r="AG327" s="15">
        <v>0</v>
      </c>
      <c r="AH327" s="15">
        <v>0</v>
      </c>
      <c r="AI327" s="15">
        <v>0</v>
      </c>
      <c r="AJ327" s="15">
        <v>0</v>
      </c>
      <c r="AK327" s="15">
        <v>3</v>
      </c>
      <c r="AL327" s="15">
        <v>0</v>
      </c>
      <c r="AM327" s="15">
        <v>0</v>
      </c>
      <c r="AO327" t="s">
        <v>1255</v>
      </c>
    </row>
    <row r="328" spans="8:41">
      <c r="H328" t="s">
        <v>965</v>
      </c>
      <c r="I328" t="str">
        <f t="shared" si="6"/>
        <v>schapelle corby</v>
      </c>
      <c r="J328" t="str">
        <v>schapelle corby</v>
      </c>
      <c r="K328" t="str">
        <f>IFERROR(_xlfn.XLOOKUP(TRIM(H328), M:M, N:N, "Not Found"), "Not Found")</f>
        <v>Case Related</v>
      </c>
      <c r="V328" t="s">
        <v>965</v>
      </c>
      <c r="W328" t="s">
        <v>966</v>
      </c>
      <c r="X328">
        <f>Z328</f>
        <v>0</v>
      </c>
      <c r="Z328">
        <f>IFERROR(_xlfn.XLOOKUP(TRIM(V328), M:M, O:O, "Not Found"), "Not Found")</f>
        <v>0</v>
      </c>
      <c r="AG328" s="15">
        <v>0</v>
      </c>
      <c r="AH328" s="15">
        <v>0</v>
      </c>
      <c r="AI328" s="15">
        <v>0</v>
      </c>
      <c r="AJ328" s="15">
        <v>0</v>
      </c>
      <c r="AK328" s="15">
        <v>0</v>
      </c>
      <c r="AL328" s="15">
        <v>0</v>
      </c>
      <c r="AM328" s="15">
        <v>0</v>
      </c>
      <c r="AO328" t="s">
        <v>1032</v>
      </c>
    </row>
    <row r="329" spans="8:41">
      <c r="H329" t="s">
        <v>983</v>
      </c>
      <c r="I329" t="str">
        <f t="shared" si="6"/>
        <v>australia</v>
      </c>
      <c r="J329" t="str">
        <v>australia</v>
      </c>
      <c r="K329" t="str">
        <f>IFERROR(_xlfn.XLOOKUP(TRIM(H329), M:M, N:N, "Not Found"), "Not Found")</f>
        <v>Case Related</v>
      </c>
      <c r="V329" t="s">
        <v>965</v>
      </c>
      <c r="W329" t="s">
        <v>966</v>
      </c>
      <c r="X329">
        <f>Z329</f>
        <v>0</v>
      </c>
      <c r="Z329">
        <f>IFERROR(_xlfn.XLOOKUP(TRIM(V329), M:M, O:O, "Not Found"), "Not Found")</f>
        <v>0</v>
      </c>
      <c r="AG329" s="15">
        <v>0</v>
      </c>
      <c r="AH329" s="15">
        <v>0</v>
      </c>
      <c r="AI329" s="15">
        <v>0</v>
      </c>
      <c r="AJ329" s="15">
        <v>0</v>
      </c>
      <c r="AK329" s="15">
        <v>3</v>
      </c>
      <c r="AL329" s="15">
        <v>0</v>
      </c>
      <c r="AM329" s="15">
        <v>0</v>
      </c>
      <c r="AO329" t="s">
        <v>1255</v>
      </c>
    </row>
    <row r="330" spans="8:41">
      <c r="H330" t="s">
        <v>1028</v>
      </c>
      <c r="I330" t="str">
        <f t="shared" si="6"/>
        <v>corby</v>
      </c>
      <c r="J330" t="str">
        <v>corby</v>
      </c>
      <c r="K330" t="str">
        <f>IFERROR(_xlfn.XLOOKUP(TRIM(H330), M:M, N:N, "Not Found"), "Not Found")</f>
        <v>Familial based</v>
      </c>
      <c r="V330" t="s">
        <v>965</v>
      </c>
      <c r="W330" t="s">
        <v>966</v>
      </c>
      <c r="X330">
        <f>Z330</f>
        <v>0</v>
      </c>
      <c r="Z330">
        <f>IFERROR(_xlfn.XLOOKUP(TRIM(V330), M:M, O:O, "Not Found"), "Not Found")</f>
        <v>0</v>
      </c>
      <c r="AG330" s="15">
        <v>0</v>
      </c>
      <c r="AH330" s="15">
        <v>0</v>
      </c>
      <c r="AI330" s="15">
        <v>0</v>
      </c>
      <c r="AJ330" s="15">
        <v>0</v>
      </c>
      <c r="AK330" s="15">
        <v>0</v>
      </c>
      <c r="AL330" s="15">
        <v>0</v>
      </c>
      <c r="AM330" s="15">
        <v>0</v>
      </c>
      <c r="AO330" t="s">
        <v>1022</v>
      </c>
    </row>
    <row r="331" spans="8:41">
      <c r="H331" t="s">
        <v>965</v>
      </c>
      <c r="I331" t="str">
        <f t="shared" si="6"/>
        <v>schapelle corby</v>
      </c>
      <c r="J331" t="str">
        <v>schapelle corby</v>
      </c>
      <c r="K331" t="str">
        <f>IFERROR(_xlfn.XLOOKUP(TRIM(H331), M:M, N:N, "Not Found"), "Not Found")</f>
        <v>Case Related</v>
      </c>
      <c r="V331" t="s">
        <v>965</v>
      </c>
      <c r="W331" t="s">
        <v>966</v>
      </c>
      <c r="X331">
        <f>Z331</f>
        <v>0</v>
      </c>
      <c r="Z331">
        <f>IFERROR(_xlfn.XLOOKUP(TRIM(V331), M:M, O:O, "Not Found"), "Not Found")</f>
        <v>0</v>
      </c>
      <c r="AG331" s="15">
        <v>0</v>
      </c>
      <c r="AH331" s="15">
        <v>0</v>
      </c>
      <c r="AI331" s="15">
        <v>0</v>
      </c>
      <c r="AJ331" s="15">
        <v>0</v>
      </c>
      <c r="AK331" s="15">
        <v>0</v>
      </c>
      <c r="AL331" s="15">
        <v>0</v>
      </c>
      <c r="AM331" s="15">
        <v>0</v>
      </c>
      <c r="AO331" t="s">
        <v>1022</v>
      </c>
    </row>
    <row r="332" spans="8:41">
      <c r="H332" t="s">
        <v>983</v>
      </c>
      <c r="I332" t="str">
        <f t="shared" si="6"/>
        <v>australia</v>
      </c>
      <c r="J332" t="str">
        <v>australia</v>
      </c>
      <c r="K332" t="str">
        <f>IFERROR(_xlfn.XLOOKUP(TRIM(H332), M:M, N:N, "Not Found"), "Not Found")</f>
        <v>Case Related</v>
      </c>
      <c r="V332" t="s">
        <v>965</v>
      </c>
      <c r="W332" t="s">
        <v>966</v>
      </c>
      <c r="X332">
        <f>Z332</f>
        <v>0</v>
      </c>
      <c r="Z332">
        <f>IFERROR(_xlfn.XLOOKUP(TRIM(V332), M:M, O:O, "Not Found"), "Not Found")</f>
        <v>0</v>
      </c>
      <c r="AG332" s="15">
        <v>0</v>
      </c>
      <c r="AH332" s="15">
        <v>0</v>
      </c>
      <c r="AI332" s="15">
        <v>0</v>
      </c>
      <c r="AJ332" s="15">
        <v>0</v>
      </c>
      <c r="AK332" s="15">
        <v>0</v>
      </c>
      <c r="AL332" s="15">
        <v>0</v>
      </c>
      <c r="AM332" s="15">
        <v>0</v>
      </c>
      <c r="AO332" t="s">
        <v>1289</v>
      </c>
    </row>
    <row r="333" spans="8:41">
      <c r="H333" t="s">
        <v>988</v>
      </c>
      <c r="I333" t="str">
        <f t="shared" si="6"/>
        <v>convicted drug smuggler</v>
      </c>
      <c r="J333" t="str">
        <v>convicted drug smuggler</v>
      </c>
      <c r="K333" t="str">
        <f>IFERROR(_xlfn.XLOOKUP(TRIM(H333), M:M, N:N, "Not Found"), "Not Found")</f>
        <v>Crime based</v>
      </c>
      <c r="V333" t="s">
        <v>974</v>
      </c>
      <c r="W333" t="s">
        <v>966</v>
      </c>
      <c r="X333">
        <f>Z333</f>
        <v>0</v>
      </c>
      <c r="Z333">
        <f>IFERROR(_xlfn.XLOOKUP(TRIM(V333), M:M, O:O, "Not Found"), "Not Found")</f>
        <v>0</v>
      </c>
      <c r="AG333" s="15">
        <v>0</v>
      </c>
      <c r="AH333" s="15">
        <v>0</v>
      </c>
      <c r="AI333" s="15">
        <v>1</v>
      </c>
      <c r="AJ333" s="15">
        <v>0</v>
      </c>
      <c r="AK333" s="15">
        <v>0</v>
      </c>
      <c r="AL333" s="15">
        <v>2</v>
      </c>
      <c r="AM333" s="15">
        <v>0</v>
      </c>
      <c r="AO333" t="s">
        <v>985</v>
      </c>
    </row>
    <row r="334" spans="8:41">
      <c r="H334" t="s">
        <v>992</v>
      </c>
      <c r="I334" t="str">
        <f t="shared" si="6"/>
        <v>drug smuggler</v>
      </c>
      <c r="J334" t="str">
        <v>drug smuggler</v>
      </c>
      <c r="K334" t="str">
        <f>IFERROR(_xlfn.XLOOKUP(TRIM(H334), M:M, N:N, "Not Found"), "Not Found")</f>
        <v>Crime based</v>
      </c>
      <c r="V334" t="s">
        <v>974</v>
      </c>
      <c r="W334" t="s">
        <v>966</v>
      </c>
      <c r="X334">
        <f>Z334</f>
        <v>0</v>
      </c>
      <c r="Z334">
        <f>IFERROR(_xlfn.XLOOKUP(TRIM(V334), M:M, O:O, "Not Found"), "Not Found")</f>
        <v>0</v>
      </c>
      <c r="AG334" s="15">
        <v>0</v>
      </c>
      <c r="AH334" s="15">
        <v>0</v>
      </c>
      <c r="AI334" s="15">
        <v>0</v>
      </c>
      <c r="AJ334" s="15">
        <v>0</v>
      </c>
      <c r="AK334" s="15">
        <v>0</v>
      </c>
      <c r="AL334" s="15">
        <v>0</v>
      </c>
      <c r="AM334" s="15">
        <v>0</v>
      </c>
      <c r="AO334" t="s">
        <v>1255</v>
      </c>
    </row>
    <row r="335" spans="8:41">
      <c r="H335" t="s">
        <v>1028</v>
      </c>
      <c r="I335" t="str">
        <f t="shared" si="6"/>
        <v>corby</v>
      </c>
      <c r="J335" t="str">
        <v>corby</v>
      </c>
      <c r="K335" t="str">
        <f>IFERROR(_xlfn.XLOOKUP(TRIM(H335), M:M, N:N, "Not Found"), "Not Found")</f>
        <v>Familial based</v>
      </c>
      <c r="V335" t="s">
        <v>974</v>
      </c>
      <c r="W335" t="s">
        <v>966</v>
      </c>
      <c r="X335">
        <f>Z335</f>
        <v>0</v>
      </c>
      <c r="Z335">
        <f>IFERROR(_xlfn.XLOOKUP(TRIM(V335), M:M, O:O, "Not Found"), "Not Found")</f>
        <v>0</v>
      </c>
      <c r="AG335" s="15">
        <v>0</v>
      </c>
      <c r="AH335" s="15">
        <v>0</v>
      </c>
      <c r="AI335" s="15">
        <v>0</v>
      </c>
      <c r="AJ335" s="15">
        <v>0</v>
      </c>
      <c r="AK335" s="15">
        <v>0</v>
      </c>
      <c r="AL335" s="15">
        <v>0</v>
      </c>
      <c r="AM335" s="15">
        <v>0</v>
      </c>
      <c r="AO335" t="s">
        <v>1290</v>
      </c>
    </row>
    <row r="336" spans="8:41">
      <c r="H336" t="s">
        <v>1073</v>
      </c>
      <c r="I336" t="str">
        <f t="shared" si="6"/>
        <v>convicted</v>
      </c>
      <c r="J336" t="str">
        <v>convicted</v>
      </c>
      <c r="K336" t="str">
        <f>IFERROR(_xlfn.XLOOKUP(TRIM(H336), M:M, N:N, "Not Found"), "Not Found")</f>
        <v>Legality based</v>
      </c>
      <c r="V336" t="s">
        <v>974</v>
      </c>
      <c r="W336" t="s">
        <v>966</v>
      </c>
      <c r="X336">
        <f>Z336</f>
        <v>0</v>
      </c>
      <c r="Z336">
        <f>IFERROR(_xlfn.XLOOKUP(TRIM(V336), M:M, O:O, "Not Found"), "Not Found")</f>
        <v>0</v>
      </c>
      <c r="AG336" s="15">
        <v>0</v>
      </c>
      <c r="AH336" s="15">
        <v>0</v>
      </c>
      <c r="AI336" s="15">
        <v>3</v>
      </c>
      <c r="AJ336" s="15">
        <v>0</v>
      </c>
      <c r="AK336" s="15">
        <v>0</v>
      </c>
      <c r="AL336" s="15">
        <v>0</v>
      </c>
      <c r="AM336" s="15">
        <v>0</v>
      </c>
      <c r="AO336" t="s">
        <v>1291</v>
      </c>
    </row>
    <row r="337" spans="8:41">
      <c r="H337" t="s">
        <v>965</v>
      </c>
      <c r="I337" t="str">
        <f t="shared" si="6"/>
        <v>schapelle corby</v>
      </c>
      <c r="J337" t="str">
        <v>schapelle corby</v>
      </c>
      <c r="K337" t="str">
        <f>IFERROR(_xlfn.XLOOKUP(TRIM(H337), M:M, N:N, "Not Found"), "Not Found")</f>
        <v>Case Related</v>
      </c>
      <c r="V337" t="s">
        <v>974</v>
      </c>
      <c r="W337" t="s">
        <v>966</v>
      </c>
      <c r="X337">
        <f>Z337</f>
        <v>0</v>
      </c>
      <c r="Z337">
        <f>IFERROR(_xlfn.XLOOKUP(TRIM(V337), M:M, O:O, "Not Found"), "Not Found")</f>
        <v>0</v>
      </c>
      <c r="AG337" s="15">
        <v>0</v>
      </c>
      <c r="AH337" s="15">
        <v>0</v>
      </c>
      <c r="AI337" s="15">
        <v>3</v>
      </c>
      <c r="AJ337" s="15">
        <v>0</v>
      </c>
      <c r="AK337" s="15">
        <v>0</v>
      </c>
      <c r="AL337" s="15">
        <v>0</v>
      </c>
      <c r="AM337" s="15">
        <v>0</v>
      </c>
      <c r="AO337" t="s">
        <v>1007</v>
      </c>
    </row>
    <row r="338" spans="8:41">
      <c r="H338" t="s">
        <v>983</v>
      </c>
      <c r="I338" t="str">
        <f t="shared" si="6"/>
        <v>australia</v>
      </c>
      <c r="J338" t="str">
        <v>australia</v>
      </c>
      <c r="K338" t="str">
        <f>IFERROR(_xlfn.XLOOKUP(TRIM(H338), M:M, N:N, "Not Found"), "Not Found")</f>
        <v>Case Related</v>
      </c>
      <c r="V338" t="s">
        <v>974</v>
      </c>
      <c r="W338" t="s">
        <v>966</v>
      </c>
      <c r="X338">
        <f>Z338</f>
        <v>0</v>
      </c>
      <c r="Z338">
        <f>IFERROR(_xlfn.XLOOKUP(TRIM(V338), M:M, O:O, "Not Found"), "Not Found")</f>
        <v>0</v>
      </c>
      <c r="AG338" s="15">
        <v>0</v>
      </c>
      <c r="AH338" s="15">
        <v>0</v>
      </c>
      <c r="AI338" s="15">
        <v>3</v>
      </c>
      <c r="AJ338" s="15">
        <v>0</v>
      </c>
      <c r="AK338" s="15">
        <v>0</v>
      </c>
      <c r="AL338" s="15">
        <v>0</v>
      </c>
      <c r="AM338" s="15">
        <v>0</v>
      </c>
      <c r="AO338" t="s">
        <v>985</v>
      </c>
    </row>
    <row r="339" spans="8:41">
      <c r="H339" t="s">
        <v>1028</v>
      </c>
      <c r="I339" t="str">
        <f t="shared" si="6"/>
        <v>corby</v>
      </c>
      <c r="J339" t="str">
        <v>corby</v>
      </c>
      <c r="K339" t="str">
        <f>IFERROR(_xlfn.XLOOKUP(TRIM(H339), M:M, N:N, "Not Found"), "Not Found")</f>
        <v>Familial based</v>
      </c>
      <c r="V339" t="s">
        <v>974</v>
      </c>
      <c r="W339" t="s">
        <v>966</v>
      </c>
      <c r="X339">
        <f>Z339</f>
        <v>0</v>
      </c>
      <c r="Z339">
        <f>IFERROR(_xlfn.XLOOKUP(TRIM(V339), M:M, O:O, "Not Found"), "Not Found")</f>
        <v>0</v>
      </c>
      <c r="AG339" s="15">
        <v>0</v>
      </c>
      <c r="AH339" s="15">
        <v>0</v>
      </c>
      <c r="AI339" s="15">
        <v>0</v>
      </c>
      <c r="AJ339" s="15">
        <v>0</v>
      </c>
      <c r="AK339" s="15">
        <v>0</v>
      </c>
      <c r="AL339" s="15">
        <v>0</v>
      </c>
      <c r="AM339" s="15">
        <v>0</v>
      </c>
      <c r="AO339" t="s">
        <v>985</v>
      </c>
    </row>
    <row r="340" spans="8:41">
      <c r="H340" t="s">
        <v>965</v>
      </c>
      <c r="I340" t="str">
        <f t="shared" si="6"/>
        <v>schapelle corby</v>
      </c>
      <c r="J340" t="str">
        <v>schapelle corby</v>
      </c>
      <c r="K340" t="str">
        <f>IFERROR(_xlfn.XLOOKUP(TRIM(H340), M:M, N:N, "Not Found"), "Not Found")</f>
        <v>Case Related</v>
      </c>
      <c r="V340" t="s">
        <v>974</v>
      </c>
      <c r="W340" t="s">
        <v>966</v>
      </c>
      <c r="X340">
        <f>Z340</f>
        <v>0</v>
      </c>
      <c r="Z340">
        <f>IFERROR(_xlfn.XLOOKUP(TRIM(V340), M:M, O:O, "Not Found"), "Not Found")</f>
        <v>0</v>
      </c>
      <c r="AG340" s="15">
        <v>0</v>
      </c>
      <c r="AH340" s="15">
        <v>1</v>
      </c>
      <c r="AI340" s="15">
        <v>0</v>
      </c>
      <c r="AJ340" s="15">
        <v>0</v>
      </c>
      <c r="AK340" s="15">
        <v>0</v>
      </c>
      <c r="AL340" s="15">
        <v>0</v>
      </c>
      <c r="AM340" s="15">
        <v>0</v>
      </c>
      <c r="AO340" t="s">
        <v>985</v>
      </c>
    </row>
    <row r="341" spans="8:41">
      <c r="H341" t="s">
        <v>983</v>
      </c>
      <c r="I341" t="str">
        <f t="shared" si="6"/>
        <v>australia</v>
      </c>
      <c r="J341" t="str">
        <v>australia</v>
      </c>
      <c r="K341" t="str">
        <f>IFERROR(_xlfn.XLOOKUP(TRIM(H341), M:M, N:N, "Not Found"), "Not Found")</f>
        <v>Case Related</v>
      </c>
      <c r="V341" t="s">
        <v>974</v>
      </c>
      <c r="W341" t="s">
        <v>966</v>
      </c>
      <c r="X341">
        <f>Z341</f>
        <v>0</v>
      </c>
      <c r="Z341">
        <f>IFERROR(_xlfn.XLOOKUP(TRIM(V341), M:M, O:O, "Not Found"), "Not Found")</f>
        <v>0</v>
      </c>
      <c r="AG341" s="15">
        <v>0</v>
      </c>
      <c r="AH341" s="15">
        <v>0</v>
      </c>
      <c r="AI341" s="15">
        <v>0</v>
      </c>
      <c r="AJ341" s="15">
        <v>0</v>
      </c>
      <c r="AK341" s="15">
        <v>0</v>
      </c>
      <c r="AL341" s="15">
        <v>0</v>
      </c>
      <c r="AM341" s="15">
        <v>0</v>
      </c>
      <c r="AO341" t="s">
        <v>1292</v>
      </c>
    </row>
    <row r="342" spans="8:41">
      <c r="H342" t="s">
        <v>1028</v>
      </c>
      <c r="I342" t="str">
        <f t="shared" si="6"/>
        <v>corby</v>
      </c>
      <c r="J342" t="str">
        <v>corby</v>
      </c>
      <c r="K342" t="str">
        <f>IFERROR(_xlfn.XLOOKUP(TRIM(H342), M:M, N:N, "Not Found"), "Not Found")</f>
        <v>Familial based</v>
      </c>
      <c r="V342" t="s">
        <v>974</v>
      </c>
      <c r="W342" t="s">
        <v>966</v>
      </c>
      <c r="X342">
        <f>Z342</f>
        <v>0</v>
      </c>
      <c r="Z342">
        <f>IFERROR(_xlfn.XLOOKUP(TRIM(V342), M:M, O:O, "Not Found"), "Not Found")</f>
        <v>0</v>
      </c>
      <c r="AG342" s="15">
        <v>0</v>
      </c>
      <c r="AH342" s="15">
        <v>2</v>
      </c>
      <c r="AI342" s="15">
        <v>1</v>
      </c>
      <c r="AJ342" s="15">
        <v>0</v>
      </c>
      <c r="AK342" s="15">
        <v>0</v>
      </c>
      <c r="AL342" s="15">
        <v>0</v>
      </c>
      <c r="AM342" s="15">
        <v>0</v>
      </c>
      <c r="AO342" t="s">
        <v>1293</v>
      </c>
    </row>
    <row r="343" spans="8:41">
      <c r="H343" t="s">
        <v>965</v>
      </c>
      <c r="I343" t="str">
        <f t="shared" si="6"/>
        <v>schapelle corby</v>
      </c>
      <c r="J343" t="str">
        <v>schapelle corby</v>
      </c>
      <c r="K343" t="str">
        <f>IFERROR(_xlfn.XLOOKUP(TRIM(H343), M:M, N:N, "Not Found"), "Not Found")</f>
        <v>Case Related</v>
      </c>
      <c r="V343" t="s">
        <v>974</v>
      </c>
      <c r="W343" t="s">
        <v>966</v>
      </c>
      <c r="X343">
        <f>Z343</f>
        <v>0</v>
      </c>
      <c r="Z343">
        <f>IFERROR(_xlfn.XLOOKUP(TRIM(V343), M:M, O:O, "Not Found"), "Not Found")</f>
        <v>0</v>
      </c>
      <c r="AG343" s="15">
        <v>0</v>
      </c>
      <c r="AH343" s="15">
        <v>0</v>
      </c>
      <c r="AI343" s="15">
        <v>1</v>
      </c>
      <c r="AJ343" s="15">
        <v>0</v>
      </c>
      <c r="AK343" s="15">
        <v>0</v>
      </c>
      <c r="AL343" s="15">
        <v>0</v>
      </c>
      <c r="AM343" s="15">
        <v>0</v>
      </c>
      <c r="AO343" t="s">
        <v>1262</v>
      </c>
    </row>
    <row r="344" spans="8:41">
      <c r="H344" t="s">
        <v>983</v>
      </c>
      <c r="I344" t="str">
        <f t="shared" si="6"/>
        <v>australia</v>
      </c>
      <c r="J344" t="str">
        <v>australia</v>
      </c>
      <c r="K344" t="str">
        <f>IFERROR(_xlfn.XLOOKUP(TRIM(H344), M:M, N:N, "Not Found"), "Not Found")</f>
        <v>Case Related</v>
      </c>
      <c r="V344" t="s">
        <v>1038</v>
      </c>
      <c r="W344" t="s">
        <v>1032</v>
      </c>
      <c r="X344">
        <v>0</v>
      </c>
      <c r="Z344" t="str">
        <f>IFERROR(_xlfn.XLOOKUP(TRIM(#REF!), M:M, O:O, "Not Found"), "Not Found")</f>
        <v>Not Found</v>
      </c>
      <c r="AG344" s="15">
        <v>0</v>
      </c>
      <c r="AH344" s="15">
        <v>0</v>
      </c>
      <c r="AI344" s="15">
        <v>1</v>
      </c>
      <c r="AJ344" s="15">
        <v>0</v>
      </c>
      <c r="AK344" s="15">
        <v>0</v>
      </c>
      <c r="AL344" s="15">
        <v>0</v>
      </c>
      <c r="AM344" s="15">
        <v>0</v>
      </c>
      <c r="AO344" t="s">
        <v>1268</v>
      </c>
    </row>
    <row r="345" spans="8:41">
      <c r="H345" t="s">
        <v>1028</v>
      </c>
      <c r="I345" t="str">
        <f t="shared" si="6"/>
        <v>corby</v>
      </c>
      <c r="J345" t="str">
        <v>corby</v>
      </c>
      <c r="K345" t="str">
        <f>IFERROR(_xlfn.XLOOKUP(TRIM(H345), M:M, N:N, "Not Found"), "Not Found")</f>
        <v>Familial based</v>
      </c>
      <c r="V345" t="s">
        <v>1038</v>
      </c>
      <c r="W345" t="s">
        <v>1032</v>
      </c>
      <c r="X345">
        <f>Z345</f>
        <v>3</v>
      </c>
      <c r="Z345">
        <f>IFERROR(_xlfn.XLOOKUP(TRIM(V344), M:M, O:O, "Not Found"), "Not Found")</f>
        <v>3</v>
      </c>
      <c r="AG345" s="15">
        <v>0</v>
      </c>
      <c r="AH345" s="15">
        <v>1</v>
      </c>
      <c r="AI345" s="15">
        <v>0</v>
      </c>
      <c r="AJ345" s="15">
        <v>0</v>
      </c>
      <c r="AK345" s="15">
        <v>0</v>
      </c>
      <c r="AL345" s="15">
        <v>0</v>
      </c>
      <c r="AM345" s="15">
        <v>0</v>
      </c>
      <c r="AO345" t="s">
        <v>1007</v>
      </c>
    </row>
    <row r="346" spans="8:41">
      <c r="H346" t="s">
        <v>965</v>
      </c>
      <c r="I346" t="str">
        <f t="shared" si="6"/>
        <v>schapelle corby</v>
      </c>
      <c r="J346" t="str">
        <v>schapelle corby</v>
      </c>
      <c r="K346" t="str">
        <f>IFERROR(_xlfn.XLOOKUP(TRIM(H346), M:M, N:N, "Not Found"), "Not Found")</f>
        <v>Case Related</v>
      </c>
      <c r="V346" t="s">
        <v>1038</v>
      </c>
      <c r="W346" t="s">
        <v>1032</v>
      </c>
      <c r="X346">
        <f>Z346</f>
        <v>3</v>
      </c>
      <c r="Z346">
        <f>IFERROR(_xlfn.XLOOKUP(TRIM(V345), M:M, O:O, "Not Found"), "Not Found")</f>
        <v>3</v>
      </c>
      <c r="AG346" s="15">
        <v>0</v>
      </c>
      <c r="AH346" s="15">
        <v>0</v>
      </c>
      <c r="AI346" s="15">
        <v>3</v>
      </c>
      <c r="AJ346" s="15">
        <v>0</v>
      </c>
      <c r="AK346" s="15">
        <v>0</v>
      </c>
      <c r="AL346" s="15">
        <v>0</v>
      </c>
      <c r="AM346" s="15">
        <v>0</v>
      </c>
      <c r="AO346" t="s">
        <v>1007</v>
      </c>
    </row>
    <row r="347" spans="8:41">
      <c r="H347" t="s">
        <v>1028</v>
      </c>
      <c r="I347" t="str">
        <f t="shared" si="6"/>
        <v>corby</v>
      </c>
      <c r="J347" t="str">
        <v>corby</v>
      </c>
      <c r="K347" t="str">
        <f>IFERROR(_xlfn.XLOOKUP(TRIM(H347), M:M, N:N, "Not Found"), "Not Found")</f>
        <v>Familial based</v>
      </c>
      <c r="V347" t="s">
        <v>1038</v>
      </c>
      <c r="W347" t="s">
        <v>1032</v>
      </c>
      <c r="X347">
        <f>Z347</f>
        <v>3</v>
      </c>
      <c r="Z347">
        <f>IFERROR(_xlfn.XLOOKUP(TRIM(V346), M:M, O:O, "Not Found"), "Not Found")</f>
        <v>3</v>
      </c>
      <c r="AG347" s="15">
        <v>0</v>
      </c>
      <c r="AH347" s="15">
        <v>0</v>
      </c>
      <c r="AI347" s="15">
        <v>3</v>
      </c>
      <c r="AJ347" s="15">
        <v>0</v>
      </c>
      <c r="AK347" s="15">
        <v>0</v>
      </c>
      <c r="AL347" s="15">
        <v>0</v>
      </c>
      <c r="AM347" s="15">
        <v>0</v>
      </c>
      <c r="AO347" t="s">
        <v>1255</v>
      </c>
    </row>
    <row r="348" spans="8:41">
      <c r="H348" t="s">
        <v>965</v>
      </c>
      <c r="I348" t="str">
        <f t="shared" si="6"/>
        <v>schapelle corby</v>
      </c>
      <c r="J348" t="str">
        <v>schapelle corby</v>
      </c>
      <c r="K348" t="str">
        <f>IFERROR(_xlfn.XLOOKUP(TRIM(H348), M:M, N:N, "Not Found"), "Not Found")</f>
        <v>Case Related</v>
      </c>
      <c r="V348" t="s">
        <v>1038</v>
      </c>
      <c r="W348" t="s">
        <v>1032</v>
      </c>
      <c r="X348">
        <f>Z348</f>
        <v>3</v>
      </c>
      <c r="Z348">
        <f>IFERROR(_xlfn.XLOOKUP(TRIM(V347), M:M, O:O, "Not Found"), "Not Found")</f>
        <v>3</v>
      </c>
      <c r="AG348" s="15">
        <v>0</v>
      </c>
      <c r="AH348" s="15">
        <v>0</v>
      </c>
      <c r="AI348" s="15">
        <v>0</v>
      </c>
      <c r="AJ348" s="15">
        <v>0</v>
      </c>
      <c r="AK348" s="15">
        <v>0</v>
      </c>
      <c r="AL348" s="15">
        <v>0</v>
      </c>
      <c r="AM348" s="15">
        <v>0</v>
      </c>
      <c r="AO348" t="s">
        <v>1289</v>
      </c>
    </row>
    <row r="349" spans="8:41">
      <c r="H349" t="s">
        <v>1028</v>
      </c>
      <c r="I349" t="str">
        <f t="shared" si="6"/>
        <v>corby</v>
      </c>
      <c r="J349" t="str">
        <v>corby</v>
      </c>
      <c r="K349" t="str">
        <f>IFERROR(_xlfn.XLOOKUP(TRIM(H349), M:M, N:N, "Not Found"), "Not Found")</f>
        <v>Familial based</v>
      </c>
      <c r="V349" t="s">
        <v>1031</v>
      </c>
      <c r="W349" t="s">
        <v>1032</v>
      </c>
      <c r="X349">
        <f>Z349</f>
        <v>3</v>
      </c>
      <c r="Z349">
        <f>IFERROR(_xlfn.XLOOKUP(TRIM(V348), M:M, O:O, "Not Found"), "Not Found")</f>
        <v>3</v>
      </c>
      <c r="AG349" s="15">
        <v>0</v>
      </c>
      <c r="AH349" s="15">
        <v>0</v>
      </c>
      <c r="AI349" s="15">
        <v>1</v>
      </c>
      <c r="AJ349" s="15">
        <v>0</v>
      </c>
      <c r="AK349" s="15">
        <v>0</v>
      </c>
      <c r="AL349" s="15">
        <v>0</v>
      </c>
      <c r="AM349" s="15">
        <v>0</v>
      </c>
      <c r="AO349" t="s">
        <v>1289</v>
      </c>
    </row>
    <row r="350" spans="8:41">
      <c r="H350" t="s">
        <v>965</v>
      </c>
      <c r="I350" t="str">
        <f t="shared" si="6"/>
        <v>schapelle corby</v>
      </c>
      <c r="J350" t="str">
        <v>schapelle corby</v>
      </c>
      <c r="K350" t="str">
        <f>IFERROR(_xlfn.XLOOKUP(TRIM(H350), M:M, N:N, "Not Found"), "Not Found")</f>
        <v>Case Related</v>
      </c>
      <c r="V350" t="s">
        <v>1031</v>
      </c>
      <c r="W350" t="s">
        <v>1032</v>
      </c>
      <c r="X350">
        <f>Z350</f>
        <v>3</v>
      </c>
      <c r="Z350">
        <f>IFERROR(_xlfn.XLOOKUP(TRIM(V349), M:M, O:O, "Not Found"), "Not Found")</f>
        <v>3</v>
      </c>
      <c r="AG350" s="15">
        <v>0</v>
      </c>
      <c r="AH350" s="15">
        <v>0</v>
      </c>
      <c r="AI350" s="15">
        <v>1</v>
      </c>
      <c r="AJ350" s="15">
        <v>0</v>
      </c>
      <c r="AK350" s="15">
        <v>0</v>
      </c>
      <c r="AL350" s="15">
        <v>0</v>
      </c>
      <c r="AM350" s="15">
        <v>0</v>
      </c>
      <c r="AO350" t="s">
        <v>1255</v>
      </c>
    </row>
    <row r="351" spans="8:41">
      <c r="H351" t="s">
        <v>1028</v>
      </c>
      <c r="I351" t="str">
        <f t="shared" si="6"/>
        <v>corby</v>
      </c>
      <c r="J351" t="str">
        <v>corby</v>
      </c>
      <c r="K351" t="str">
        <f>IFERROR(_xlfn.XLOOKUP(TRIM(H351), M:M, N:N, "Not Found"), "Not Found")</f>
        <v>Familial based</v>
      </c>
      <c r="V351" t="s">
        <v>1031</v>
      </c>
      <c r="W351" t="s">
        <v>1032</v>
      </c>
      <c r="X351">
        <f>Z351</f>
        <v>3</v>
      </c>
      <c r="Z351">
        <f>IFERROR(_xlfn.XLOOKUP(TRIM(V350), M:M, O:O, "Not Found"), "Not Found")</f>
        <v>3</v>
      </c>
      <c r="AG351" s="15">
        <v>0</v>
      </c>
      <c r="AH351" s="15">
        <v>0</v>
      </c>
      <c r="AI351" s="15">
        <v>0</v>
      </c>
      <c r="AJ351" s="15">
        <v>0</v>
      </c>
      <c r="AK351" s="15">
        <v>0</v>
      </c>
      <c r="AL351" s="15">
        <v>0</v>
      </c>
      <c r="AM351" s="15">
        <v>0</v>
      </c>
      <c r="AO351" t="s">
        <v>1007</v>
      </c>
    </row>
    <row r="352" spans="8:41">
      <c r="H352" t="s">
        <v>965</v>
      </c>
      <c r="I352" t="str">
        <f t="shared" si="6"/>
        <v>schapelle corby</v>
      </c>
      <c r="J352" t="str">
        <v>schapelle corby</v>
      </c>
      <c r="K352" t="str">
        <f>IFERROR(_xlfn.XLOOKUP(TRIM(H352), M:M, N:N, "Not Found"), "Not Found")</f>
        <v>Case Related</v>
      </c>
      <c r="V352" t="s">
        <v>1031</v>
      </c>
      <c r="W352" t="s">
        <v>1032</v>
      </c>
      <c r="X352">
        <f>Z352</f>
        <v>3</v>
      </c>
      <c r="Z352">
        <f>IFERROR(_xlfn.XLOOKUP(TRIM(V351), M:M, O:O, "Not Found"), "Not Found")</f>
        <v>3</v>
      </c>
      <c r="AG352" s="15">
        <v>0</v>
      </c>
      <c r="AH352" s="15">
        <v>0</v>
      </c>
      <c r="AI352" s="15">
        <v>1</v>
      </c>
      <c r="AJ352" s="15">
        <v>0</v>
      </c>
      <c r="AK352" s="15">
        <v>0</v>
      </c>
      <c r="AL352" s="15">
        <v>0</v>
      </c>
      <c r="AM352" s="15">
        <v>0</v>
      </c>
      <c r="AO352" t="s">
        <v>1255</v>
      </c>
    </row>
    <row r="353" spans="8:41">
      <c r="H353" t="s">
        <v>1028</v>
      </c>
      <c r="I353" t="str">
        <f t="shared" si="6"/>
        <v>corby</v>
      </c>
      <c r="J353" t="str">
        <v>corby</v>
      </c>
      <c r="K353" t="str">
        <f>IFERROR(_xlfn.XLOOKUP(TRIM(H353), M:M, N:N, "Not Found"), "Not Found")</f>
        <v>Familial based</v>
      </c>
      <c r="V353" t="s">
        <v>1031</v>
      </c>
      <c r="W353" t="s">
        <v>1032</v>
      </c>
      <c r="X353">
        <f>Z353</f>
        <v>3</v>
      </c>
      <c r="Z353">
        <f>IFERROR(_xlfn.XLOOKUP(TRIM(V352), M:M, O:O, "Not Found"), "Not Found")</f>
        <v>3</v>
      </c>
      <c r="AG353" s="15">
        <v>0</v>
      </c>
      <c r="AH353" s="15">
        <v>0</v>
      </c>
      <c r="AI353" s="15">
        <v>0</v>
      </c>
      <c r="AJ353" s="15">
        <v>0</v>
      </c>
      <c r="AK353" s="15">
        <v>0</v>
      </c>
      <c r="AL353" s="15">
        <v>0</v>
      </c>
      <c r="AM353" s="15">
        <v>0</v>
      </c>
      <c r="AO353" t="s">
        <v>1238</v>
      </c>
    </row>
    <row r="354" spans="8:41">
      <c r="H354" t="s">
        <v>965</v>
      </c>
      <c r="I354" t="str">
        <f t="shared" si="6"/>
        <v>schapelle corby</v>
      </c>
      <c r="J354" t="str">
        <v>schapelle corby</v>
      </c>
      <c r="K354" t="str">
        <f>IFERROR(_xlfn.XLOOKUP(TRIM(H354), M:M, N:N, "Not Found"), "Not Found")</f>
        <v>Case Related</v>
      </c>
      <c r="V354" t="s">
        <v>1031</v>
      </c>
      <c r="W354" t="s">
        <v>1032</v>
      </c>
      <c r="X354">
        <f>Z354</f>
        <v>3</v>
      </c>
      <c r="Z354">
        <f>IFERROR(_xlfn.XLOOKUP(TRIM(V353), M:M, O:O, "Not Found"), "Not Found")</f>
        <v>3</v>
      </c>
      <c r="AG354" s="15">
        <v>0</v>
      </c>
      <c r="AH354" s="15">
        <v>0</v>
      </c>
      <c r="AI354" s="15">
        <v>0</v>
      </c>
      <c r="AJ354" s="15">
        <v>0</v>
      </c>
      <c r="AK354" s="15">
        <v>0</v>
      </c>
      <c r="AL354" s="15">
        <v>0</v>
      </c>
      <c r="AM354" s="15">
        <v>0</v>
      </c>
      <c r="AO354" t="s">
        <v>1255</v>
      </c>
    </row>
    <row r="355" spans="8:41">
      <c r="H355" t="s">
        <v>1028</v>
      </c>
      <c r="I355" t="str">
        <f t="shared" si="6"/>
        <v>corby</v>
      </c>
      <c r="J355" t="str">
        <v>corby</v>
      </c>
      <c r="K355" t="str">
        <f>IFERROR(_xlfn.XLOOKUP(TRIM(H355), M:M, N:N, "Not Found"), "Not Found")</f>
        <v>Familial based</v>
      </c>
      <c r="V355" t="s">
        <v>1031</v>
      </c>
      <c r="W355" t="s">
        <v>1032</v>
      </c>
      <c r="X355">
        <f>Z355</f>
        <v>3</v>
      </c>
      <c r="Z355">
        <f>IFERROR(_xlfn.XLOOKUP(TRIM(V354), M:M, O:O, "Not Found"), "Not Found")</f>
        <v>3</v>
      </c>
      <c r="AG355" s="15">
        <v>0</v>
      </c>
      <c r="AH355" s="15">
        <v>0</v>
      </c>
      <c r="AI355" s="15">
        <v>0</v>
      </c>
      <c r="AJ355" s="15">
        <v>0</v>
      </c>
      <c r="AK355" s="15">
        <v>0</v>
      </c>
      <c r="AL355" s="15">
        <v>0</v>
      </c>
      <c r="AM355" s="15">
        <v>0</v>
      </c>
      <c r="AO355" t="s">
        <v>1255</v>
      </c>
    </row>
    <row r="356" spans="8:41">
      <c r="H356" t="s">
        <v>965</v>
      </c>
      <c r="I356" t="str">
        <f t="shared" si="6"/>
        <v>schapelle corby</v>
      </c>
      <c r="J356" t="str">
        <v>schapelle corby</v>
      </c>
      <c r="K356" t="str">
        <f>IFERROR(_xlfn.XLOOKUP(TRIM(H356), M:M, N:N, "Not Found"), "Not Found")</f>
        <v>Case Related</v>
      </c>
      <c r="V356" t="s">
        <v>1031</v>
      </c>
      <c r="W356" t="s">
        <v>1032</v>
      </c>
      <c r="X356">
        <f>Z356</f>
        <v>3</v>
      </c>
      <c r="Z356">
        <f>IFERROR(_xlfn.XLOOKUP(TRIM(V355), M:M, O:O, "Not Found"), "Not Found")</f>
        <v>3</v>
      </c>
      <c r="AG356" s="15">
        <v>0</v>
      </c>
      <c r="AH356" s="15">
        <v>0</v>
      </c>
      <c r="AI356" s="15">
        <v>0</v>
      </c>
      <c r="AJ356" s="15">
        <v>0</v>
      </c>
      <c r="AK356" s="15">
        <v>0</v>
      </c>
      <c r="AL356" s="15">
        <v>0</v>
      </c>
      <c r="AM356" s="15">
        <v>0</v>
      </c>
      <c r="AO356" t="s">
        <v>1255</v>
      </c>
    </row>
    <row r="357" spans="8:41">
      <c r="H357" t="s">
        <v>983</v>
      </c>
      <c r="I357" t="str">
        <f t="shared" si="6"/>
        <v>australia</v>
      </c>
      <c r="J357" t="str">
        <v>australia</v>
      </c>
      <c r="K357" t="str">
        <f>IFERROR(_xlfn.XLOOKUP(TRIM(H357), M:M, N:N, "Not Found"), "Not Found")</f>
        <v>Case Related</v>
      </c>
      <c r="V357" t="s">
        <v>1031</v>
      </c>
      <c r="W357" t="s">
        <v>1032</v>
      </c>
      <c r="X357">
        <f>Z357</f>
        <v>3</v>
      </c>
      <c r="Z357">
        <f>IFERROR(_xlfn.XLOOKUP(TRIM(V356), M:M, O:O, "Not Found"), "Not Found")</f>
        <v>3</v>
      </c>
      <c r="AG357" s="15">
        <v>0</v>
      </c>
      <c r="AH357" s="15">
        <v>0</v>
      </c>
      <c r="AI357" s="15">
        <v>0</v>
      </c>
      <c r="AJ357" s="15">
        <v>0</v>
      </c>
      <c r="AK357" s="15">
        <v>0</v>
      </c>
      <c r="AL357" s="15">
        <v>0</v>
      </c>
      <c r="AM357" s="15">
        <v>0</v>
      </c>
      <c r="AO357" t="s">
        <v>1255</v>
      </c>
    </row>
    <row r="358" spans="8:41">
      <c r="H358" t="s">
        <v>988</v>
      </c>
      <c r="I358" t="str">
        <f t="shared" si="6"/>
        <v>convicted drug smuggler</v>
      </c>
      <c r="J358" t="str">
        <v>convicted drug smuggler</v>
      </c>
      <c r="K358" t="str">
        <f>IFERROR(_xlfn.XLOOKUP(TRIM(H358), M:M, N:N, "Not Found"), "Not Found")</f>
        <v>Crime based</v>
      </c>
      <c r="V358" t="s">
        <v>1031</v>
      </c>
      <c r="W358" t="s">
        <v>1032</v>
      </c>
      <c r="X358">
        <f>Z358</f>
        <v>3</v>
      </c>
      <c r="Z358">
        <f>IFERROR(_xlfn.XLOOKUP(TRIM(V357), M:M, O:O, "Not Found"), "Not Found")</f>
        <v>3</v>
      </c>
      <c r="AG358" s="15">
        <v>0</v>
      </c>
      <c r="AH358" s="15">
        <v>0</v>
      </c>
      <c r="AI358" s="15">
        <v>0</v>
      </c>
      <c r="AJ358" s="15">
        <v>0</v>
      </c>
      <c r="AK358" s="15">
        <v>0</v>
      </c>
      <c r="AL358" s="15">
        <v>0</v>
      </c>
      <c r="AM358" s="15">
        <v>0</v>
      </c>
      <c r="AO358" t="s">
        <v>966</v>
      </c>
    </row>
    <row r="359" spans="8:41">
      <c r="H359" t="s">
        <v>992</v>
      </c>
      <c r="I359" t="str">
        <f t="shared" si="6"/>
        <v>drug smuggler</v>
      </c>
      <c r="J359" t="str">
        <v>drug smuggler</v>
      </c>
      <c r="K359" t="str">
        <f>IFERROR(_xlfn.XLOOKUP(TRIM(H359), M:M, N:N, "Not Found"), "Not Found")</f>
        <v>Crime based</v>
      </c>
      <c r="V359" t="s">
        <v>1031</v>
      </c>
      <c r="W359" t="s">
        <v>1032</v>
      </c>
      <c r="X359">
        <f>Z359</f>
        <v>3</v>
      </c>
      <c r="Z359">
        <f>IFERROR(_xlfn.XLOOKUP(TRIM(V358), M:M, O:O, "Not Found"), "Not Found")</f>
        <v>3</v>
      </c>
      <c r="AG359" s="15">
        <v>0.5</v>
      </c>
      <c r="AH359" s="15">
        <v>0</v>
      </c>
      <c r="AI359" s="15">
        <v>0</v>
      </c>
      <c r="AJ359" s="15">
        <v>0</v>
      </c>
      <c r="AK359" s="15">
        <v>0</v>
      </c>
      <c r="AL359" s="15">
        <v>0</v>
      </c>
      <c r="AM359" s="15">
        <v>0</v>
      </c>
      <c r="AO359" t="s">
        <v>1255</v>
      </c>
    </row>
    <row r="360" spans="8:41">
      <c r="H360" t="s">
        <v>1028</v>
      </c>
      <c r="I360" t="str">
        <f t="shared" si="6"/>
        <v>corby</v>
      </c>
      <c r="J360" t="str">
        <v>corby</v>
      </c>
      <c r="K360" t="str">
        <f>IFERROR(_xlfn.XLOOKUP(TRIM(H360), M:M, N:N, "Not Found"), "Not Found")</f>
        <v>Familial based</v>
      </c>
      <c r="V360" t="s">
        <v>1031</v>
      </c>
      <c r="W360" t="s">
        <v>1032</v>
      </c>
      <c r="X360">
        <f>Z360</f>
        <v>3</v>
      </c>
      <c r="Z360">
        <f>IFERROR(_xlfn.XLOOKUP(TRIM(V359), M:M, O:O, "Not Found"), "Not Found")</f>
        <v>3</v>
      </c>
      <c r="AG360" s="15">
        <v>0</v>
      </c>
      <c r="AH360" s="15">
        <v>0</v>
      </c>
      <c r="AI360" s="15">
        <v>0</v>
      </c>
      <c r="AJ360" s="15">
        <v>0</v>
      </c>
      <c r="AK360" s="15">
        <v>0</v>
      </c>
      <c r="AL360" s="15">
        <v>0</v>
      </c>
      <c r="AM360" s="15">
        <v>0</v>
      </c>
      <c r="AO360" t="s">
        <v>1255</v>
      </c>
    </row>
    <row r="361" spans="8:41">
      <c r="H361" t="s">
        <v>1073</v>
      </c>
      <c r="I361" t="str">
        <f t="shared" si="6"/>
        <v>convicted</v>
      </c>
      <c r="J361" t="str">
        <v>convicted</v>
      </c>
      <c r="K361" t="str">
        <f>IFERROR(_xlfn.XLOOKUP(TRIM(H361), M:M, N:N, "Not Found"), "Not Found")</f>
        <v>Legality based</v>
      </c>
      <c r="V361" t="s">
        <v>1031</v>
      </c>
      <c r="W361" t="s">
        <v>1032</v>
      </c>
      <c r="X361">
        <f>Z361</f>
        <v>3</v>
      </c>
      <c r="Z361">
        <f>IFERROR(_xlfn.XLOOKUP(TRIM(V360), M:M, O:O, "Not Found"), "Not Found")</f>
        <v>3</v>
      </c>
      <c r="AG361" s="15">
        <v>0</v>
      </c>
      <c r="AH361" s="15">
        <v>0</v>
      </c>
      <c r="AI361" s="15">
        <v>0</v>
      </c>
      <c r="AJ361" s="15">
        <v>0</v>
      </c>
      <c r="AK361" s="15">
        <v>0</v>
      </c>
      <c r="AL361" s="15">
        <v>0</v>
      </c>
      <c r="AM361" s="15">
        <v>0</v>
      </c>
      <c r="AO361" t="s">
        <v>1238</v>
      </c>
    </row>
    <row r="362" spans="8:41">
      <c r="H362" t="s">
        <v>965</v>
      </c>
      <c r="I362" t="str">
        <f t="shared" si="6"/>
        <v>schapelle corby</v>
      </c>
      <c r="J362" t="str">
        <v>schapelle corby</v>
      </c>
      <c r="K362" t="str">
        <f>IFERROR(_xlfn.XLOOKUP(TRIM(H362), M:M, N:N, "Not Found"), "Not Found")</f>
        <v>Case Related</v>
      </c>
      <c r="V362" t="s">
        <v>1031</v>
      </c>
      <c r="W362" t="s">
        <v>1032</v>
      </c>
      <c r="X362">
        <f>Z362</f>
        <v>3</v>
      </c>
      <c r="Z362">
        <f>IFERROR(_xlfn.XLOOKUP(TRIM(V361), M:M, O:O, "Not Found"), "Not Found")</f>
        <v>3</v>
      </c>
      <c r="AG362" s="15">
        <v>0</v>
      </c>
      <c r="AH362" s="15">
        <v>1</v>
      </c>
      <c r="AI362" s="15">
        <v>0</v>
      </c>
      <c r="AJ362" s="15">
        <v>0</v>
      </c>
      <c r="AK362" s="15">
        <v>0</v>
      </c>
      <c r="AL362" s="15">
        <v>0</v>
      </c>
      <c r="AM362" s="15">
        <v>0</v>
      </c>
      <c r="AO362" t="s">
        <v>985</v>
      </c>
    </row>
    <row r="363" spans="8:41">
      <c r="H363" t="s">
        <v>1028</v>
      </c>
      <c r="I363" t="str">
        <f t="shared" si="6"/>
        <v>corby</v>
      </c>
      <c r="J363" t="str">
        <v>corby</v>
      </c>
      <c r="K363" t="str">
        <f>IFERROR(_xlfn.XLOOKUP(TRIM(H363), M:M, N:N, "Not Found"), "Not Found")</f>
        <v>Familial based</v>
      </c>
      <c r="V363" t="s">
        <v>1031</v>
      </c>
      <c r="W363" t="s">
        <v>1032</v>
      </c>
      <c r="X363">
        <f>Z363</f>
        <v>3</v>
      </c>
      <c r="Z363">
        <f>IFERROR(_xlfn.XLOOKUP(TRIM(V362), M:M, O:O, "Not Found"), "Not Found")</f>
        <v>3</v>
      </c>
      <c r="AG363" s="15">
        <v>0</v>
      </c>
      <c r="AH363" s="15">
        <v>1</v>
      </c>
      <c r="AI363" s="15">
        <v>0</v>
      </c>
      <c r="AJ363" s="15">
        <v>0</v>
      </c>
      <c r="AK363" s="15">
        <v>0</v>
      </c>
      <c r="AL363" s="15">
        <v>0</v>
      </c>
      <c r="AM363" s="15">
        <v>0</v>
      </c>
      <c r="AO363" t="s">
        <v>1255</v>
      </c>
    </row>
    <row r="364" spans="8:41">
      <c r="H364" t="s">
        <v>965</v>
      </c>
      <c r="I364" t="str">
        <f t="shared" si="6"/>
        <v>schapelle corby</v>
      </c>
      <c r="J364" t="str">
        <v>schapelle corby</v>
      </c>
      <c r="K364" t="str">
        <f>IFERROR(_xlfn.XLOOKUP(TRIM(H364), M:M, N:N, "Not Found"), "Not Found")</f>
        <v>Case Related</v>
      </c>
      <c r="V364" t="s">
        <v>1031</v>
      </c>
      <c r="W364" t="s">
        <v>1032</v>
      </c>
      <c r="X364">
        <f>Z364</f>
        <v>3</v>
      </c>
      <c r="Z364">
        <f>IFERROR(_xlfn.XLOOKUP(TRIM(V363), M:M, O:O, "Not Found"), "Not Found")</f>
        <v>3</v>
      </c>
      <c r="AG364" s="15">
        <v>0</v>
      </c>
      <c r="AH364" s="15">
        <v>0</v>
      </c>
      <c r="AI364" s="15">
        <v>0</v>
      </c>
      <c r="AJ364" s="15">
        <v>0</v>
      </c>
      <c r="AK364" s="15">
        <v>0</v>
      </c>
      <c r="AL364" s="15">
        <v>0</v>
      </c>
      <c r="AM364" s="15">
        <v>0</v>
      </c>
      <c r="AO364" t="s">
        <v>1255</v>
      </c>
    </row>
    <row r="365" spans="8:41">
      <c r="H365" t="s">
        <v>983</v>
      </c>
      <c r="I365" t="str">
        <f t="shared" si="6"/>
        <v>australia</v>
      </c>
      <c r="J365" t="str">
        <v>australia</v>
      </c>
      <c r="K365" t="str">
        <f>IFERROR(_xlfn.XLOOKUP(TRIM(H365), M:M, N:N, "Not Found"), "Not Found")</f>
        <v>Case Related</v>
      </c>
      <c r="V365" t="s">
        <v>1031</v>
      </c>
      <c r="W365" t="s">
        <v>1032</v>
      </c>
      <c r="X365">
        <f>Z365</f>
        <v>3</v>
      </c>
      <c r="Z365">
        <f>IFERROR(_xlfn.XLOOKUP(TRIM(V364), M:M, O:O, "Not Found"), "Not Found")</f>
        <v>3</v>
      </c>
      <c r="AG365" s="15">
        <v>0</v>
      </c>
      <c r="AH365" s="15">
        <v>0</v>
      </c>
      <c r="AI365" s="15">
        <v>0</v>
      </c>
      <c r="AJ365" s="15">
        <v>0</v>
      </c>
      <c r="AK365" s="15">
        <v>0</v>
      </c>
      <c r="AL365" s="15">
        <v>0</v>
      </c>
      <c r="AM365" s="15">
        <v>0</v>
      </c>
      <c r="AO365" t="s">
        <v>1255</v>
      </c>
    </row>
    <row r="366" spans="8:41">
      <c r="H366" t="s">
        <v>1028</v>
      </c>
      <c r="I366" t="str">
        <f t="shared" si="6"/>
        <v>corby</v>
      </c>
      <c r="J366" t="str">
        <v>corby</v>
      </c>
      <c r="K366" t="str">
        <f>IFERROR(_xlfn.XLOOKUP(TRIM(H366), M:M, N:N, "Not Found"), "Not Found")</f>
        <v>Familial based</v>
      </c>
      <c r="V366" t="s">
        <v>1031</v>
      </c>
      <c r="W366" t="s">
        <v>1032</v>
      </c>
      <c r="X366">
        <f>Z366</f>
        <v>3</v>
      </c>
      <c r="Z366">
        <f>IFERROR(_xlfn.XLOOKUP(TRIM(V365), M:M, O:O, "Not Found"), "Not Found")</f>
        <v>3</v>
      </c>
      <c r="AG366" s="15">
        <v>0</v>
      </c>
      <c r="AH366" s="15">
        <v>0</v>
      </c>
      <c r="AI366" s="15">
        <v>0</v>
      </c>
      <c r="AJ366" s="15">
        <v>0</v>
      </c>
      <c r="AK366" s="15">
        <v>0</v>
      </c>
      <c r="AL366" s="15">
        <v>0</v>
      </c>
      <c r="AM366" s="15">
        <v>0</v>
      </c>
      <c r="AO366" t="s">
        <v>1255</v>
      </c>
    </row>
    <row r="367" spans="8:41">
      <c r="H367" t="s">
        <v>965</v>
      </c>
      <c r="I367" t="str">
        <f t="shared" si="6"/>
        <v>schapelle corby</v>
      </c>
      <c r="J367" t="str">
        <v>schapelle corby</v>
      </c>
      <c r="K367" t="str">
        <f>IFERROR(_xlfn.XLOOKUP(TRIM(H367), M:M, N:N, "Not Found"), "Not Found")</f>
        <v>Case Related</v>
      </c>
      <c r="V367" t="s">
        <v>1031</v>
      </c>
      <c r="W367" t="s">
        <v>1032</v>
      </c>
      <c r="X367">
        <f>Z367</f>
        <v>3</v>
      </c>
      <c r="Z367">
        <f>IFERROR(_xlfn.XLOOKUP(TRIM(V366), M:M, O:O, "Not Found"), "Not Found")</f>
        <v>3</v>
      </c>
      <c r="AG367" s="15">
        <v>0</v>
      </c>
      <c r="AH367" s="15">
        <v>0</v>
      </c>
      <c r="AI367" s="15">
        <v>0</v>
      </c>
      <c r="AJ367" s="15">
        <v>0</v>
      </c>
      <c r="AK367" s="15">
        <v>0</v>
      </c>
      <c r="AL367" s="15">
        <v>0</v>
      </c>
      <c r="AM367" s="15">
        <v>0</v>
      </c>
      <c r="AO367" t="s">
        <v>1058</v>
      </c>
    </row>
    <row r="368" spans="8:41">
      <c r="H368" t="s">
        <v>1028</v>
      </c>
      <c r="I368" t="str">
        <f t="shared" si="6"/>
        <v>corby</v>
      </c>
      <c r="J368" t="str">
        <v>corby</v>
      </c>
      <c r="K368" t="str">
        <f>IFERROR(_xlfn.XLOOKUP(TRIM(H368), M:M, N:N, "Not Found"), "Not Found")</f>
        <v>Familial based</v>
      </c>
      <c r="V368" t="s">
        <v>1031</v>
      </c>
      <c r="W368" t="s">
        <v>1032</v>
      </c>
      <c r="X368">
        <f>Z368</f>
        <v>3</v>
      </c>
      <c r="Z368">
        <f>IFERROR(_xlfn.XLOOKUP(TRIM(V367), M:M, O:O, "Not Found"), "Not Found")</f>
        <v>3</v>
      </c>
      <c r="AG368" s="15">
        <v>0</v>
      </c>
      <c r="AH368" s="15">
        <v>0</v>
      </c>
      <c r="AI368" s="15">
        <v>0</v>
      </c>
      <c r="AJ368" s="15">
        <v>0</v>
      </c>
      <c r="AK368" s="15">
        <v>0</v>
      </c>
      <c r="AL368" s="15">
        <v>0</v>
      </c>
      <c r="AM368" s="15">
        <v>0</v>
      </c>
      <c r="AO368" t="s">
        <v>1255</v>
      </c>
    </row>
    <row r="369" spans="8:41">
      <c r="H369" t="s">
        <v>965</v>
      </c>
      <c r="I369" t="str">
        <f t="shared" si="6"/>
        <v>schapelle corby</v>
      </c>
      <c r="J369" t="str">
        <v>schapelle corby</v>
      </c>
      <c r="K369" t="str">
        <f>IFERROR(_xlfn.XLOOKUP(TRIM(H369), M:M, N:N, "Not Found"), "Not Found")</f>
        <v>Case Related</v>
      </c>
      <c r="V369" t="s">
        <v>1031</v>
      </c>
      <c r="W369" t="s">
        <v>1032</v>
      </c>
      <c r="X369">
        <f>Z369</f>
        <v>3</v>
      </c>
      <c r="Z369">
        <f>IFERROR(_xlfn.XLOOKUP(TRIM(V368), M:M, O:O, "Not Found"), "Not Found")</f>
        <v>3</v>
      </c>
      <c r="AG369" s="15">
        <v>0</v>
      </c>
      <c r="AH369" s="15">
        <v>0</v>
      </c>
      <c r="AI369" s="15">
        <v>0</v>
      </c>
      <c r="AJ369" s="15">
        <v>0</v>
      </c>
      <c r="AK369" s="15">
        <v>0</v>
      </c>
      <c r="AL369" s="15">
        <v>0</v>
      </c>
      <c r="AM369" s="15">
        <v>0</v>
      </c>
      <c r="AO369" t="s">
        <v>1255</v>
      </c>
    </row>
    <row r="370" spans="8:41">
      <c r="H370" t="s">
        <v>974</v>
      </c>
      <c r="I370" t="str">
        <f t="shared" si="6"/>
        <v>smuggling</v>
      </c>
      <c r="J370" t="str">
        <v>smuggling</v>
      </c>
      <c r="K370" t="str">
        <f>IFERROR(_xlfn.XLOOKUP(TRIM(H370), M:M, N:N, "Not Found"), "Not Found")</f>
        <v>Case Related</v>
      </c>
      <c r="V370" t="s">
        <v>1031</v>
      </c>
      <c r="W370" t="s">
        <v>1032</v>
      </c>
      <c r="X370">
        <f>Z370</f>
        <v>3</v>
      </c>
      <c r="Z370">
        <f>IFERROR(_xlfn.XLOOKUP(TRIM(V369), M:M, O:O, "Not Found"), "Not Found")</f>
        <v>3</v>
      </c>
      <c r="AG370" s="15">
        <v>0</v>
      </c>
      <c r="AH370" s="15">
        <v>0</v>
      </c>
      <c r="AI370" s="15">
        <v>0</v>
      </c>
      <c r="AJ370" s="15">
        <v>0</v>
      </c>
      <c r="AK370" s="15">
        <v>0</v>
      </c>
      <c r="AL370" s="15">
        <v>0</v>
      </c>
      <c r="AM370" s="15">
        <v>0</v>
      </c>
      <c r="AO370" t="s">
        <v>1255</v>
      </c>
    </row>
    <row r="371" spans="8:41">
      <c r="H371" t="s">
        <v>983</v>
      </c>
      <c r="I371" t="str">
        <f t="shared" si="6"/>
        <v>australia</v>
      </c>
      <c r="J371" t="str">
        <v>australia</v>
      </c>
      <c r="K371" t="str">
        <f>IFERROR(_xlfn.XLOOKUP(TRIM(H371), M:M, N:N, "Not Found"), "Not Found")</f>
        <v>Case Related</v>
      </c>
      <c r="V371" t="s">
        <v>1031</v>
      </c>
      <c r="W371" t="s">
        <v>1032</v>
      </c>
      <c r="X371">
        <f>Z371</f>
        <v>3</v>
      </c>
      <c r="Z371">
        <f>IFERROR(_xlfn.XLOOKUP(TRIM(V370), M:M, O:O, "Not Found"), "Not Found")</f>
        <v>3</v>
      </c>
      <c r="AG371" s="15">
        <v>0</v>
      </c>
      <c r="AH371" s="15">
        <v>0</v>
      </c>
      <c r="AI371" s="15">
        <v>0</v>
      </c>
      <c r="AJ371" s="15">
        <v>0</v>
      </c>
      <c r="AK371" s="15">
        <v>0</v>
      </c>
      <c r="AL371" s="15">
        <v>0</v>
      </c>
      <c r="AM371" s="15">
        <v>0</v>
      </c>
      <c r="AO371" t="s">
        <v>1255</v>
      </c>
    </row>
    <row r="372" spans="8:41">
      <c r="H372" t="s">
        <v>1028</v>
      </c>
      <c r="I372" t="str">
        <f t="shared" si="6"/>
        <v>corby</v>
      </c>
      <c r="J372" t="str">
        <v>corby</v>
      </c>
      <c r="K372" t="str">
        <f>IFERROR(_xlfn.XLOOKUP(TRIM(H372), M:M, N:N, "Not Found"), "Not Found")</f>
        <v>Familial based</v>
      </c>
      <c r="V372" t="s">
        <v>1039</v>
      </c>
      <c r="W372" t="s">
        <v>1032</v>
      </c>
      <c r="X372">
        <f>Z372</f>
        <v>3</v>
      </c>
      <c r="Z372">
        <f>IFERROR(_xlfn.XLOOKUP(TRIM(V371), M:M, O:O, "Not Found"), "Not Found")</f>
        <v>3</v>
      </c>
      <c r="AG372" s="15">
        <v>0</v>
      </c>
      <c r="AH372" s="15">
        <v>0</v>
      </c>
      <c r="AI372" s="15">
        <v>0</v>
      </c>
      <c r="AJ372" s="15">
        <v>0</v>
      </c>
      <c r="AK372" s="15">
        <v>0</v>
      </c>
      <c r="AL372" s="15">
        <v>0</v>
      </c>
      <c r="AM372" s="15">
        <v>0</v>
      </c>
      <c r="AO372" t="s">
        <v>985</v>
      </c>
    </row>
    <row r="373" spans="8:41">
      <c r="H373" t="s">
        <v>965</v>
      </c>
      <c r="I373" t="str">
        <f t="shared" si="6"/>
        <v>schapelle corby</v>
      </c>
      <c r="J373" t="str">
        <v>schapelle corby</v>
      </c>
      <c r="K373" t="str">
        <f>IFERROR(_xlfn.XLOOKUP(TRIM(H373), M:M, N:N, "Not Found"), "Not Found")</f>
        <v>Case Related</v>
      </c>
      <c r="V373" t="s">
        <v>1034</v>
      </c>
      <c r="W373" t="s">
        <v>1032</v>
      </c>
      <c r="X373">
        <f>Z373</f>
        <v>1</v>
      </c>
      <c r="Z373">
        <f>IFERROR(_xlfn.XLOOKUP(TRIM(V372), M:M, O:O, "Not Found"), "Not Found")</f>
        <v>1</v>
      </c>
      <c r="AG373" s="15">
        <v>0</v>
      </c>
      <c r="AH373" s="15">
        <v>0</v>
      </c>
      <c r="AI373" s="15">
        <v>0</v>
      </c>
      <c r="AJ373" s="15">
        <v>0</v>
      </c>
      <c r="AK373" s="15">
        <v>0</v>
      </c>
      <c r="AL373" s="15">
        <v>0</v>
      </c>
      <c r="AM373" s="15">
        <v>0</v>
      </c>
      <c r="AO373" t="s">
        <v>1288</v>
      </c>
    </row>
    <row r="374" spans="8:41">
      <c r="H374" t="s">
        <v>1028</v>
      </c>
      <c r="I374" t="str">
        <f t="shared" si="6"/>
        <v>corby</v>
      </c>
      <c r="J374" t="str">
        <v>corby</v>
      </c>
      <c r="K374" t="str">
        <f>IFERROR(_xlfn.XLOOKUP(TRIM(H374), M:M, N:N, "Not Found"), "Not Found")</f>
        <v>Familial based</v>
      </c>
      <c r="V374" t="s">
        <v>1033</v>
      </c>
      <c r="W374" t="s">
        <v>1032</v>
      </c>
      <c r="X374">
        <f>Z374</f>
        <v>4</v>
      </c>
      <c r="Z374">
        <f>IFERROR(_xlfn.XLOOKUP(TRIM(V373), M:M, O:O, "Not Found"), "Not Found")</f>
        <v>4</v>
      </c>
      <c r="AG374" s="15">
        <v>0</v>
      </c>
      <c r="AH374" s="15">
        <v>0</v>
      </c>
      <c r="AI374" s="15">
        <v>3</v>
      </c>
      <c r="AJ374" s="15">
        <v>0</v>
      </c>
      <c r="AK374" s="15">
        <v>0</v>
      </c>
      <c r="AL374" s="15">
        <v>0</v>
      </c>
      <c r="AM374" s="15">
        <v>0</v>
      </c>
      <c r="AO374" t="s">
        <v>1255</v>
      </c>
    </row>
    <row r="375" spans="8:41">
      <c r="H375" t="s">
        <v>965</v>
      </c>
      <c r="I375" t="str">
        <f t="shared" si="6"/>
        <v>schapelle corby</v>
      </c>
      <c r="J375" t="str">
        <v>schapelle corby</v>
      </c>
      <c r="K375" t="str">
        <f>IFERROR(_xlfn.XLOOKUP(TRIM(H375), M:M, N:N, "Not Found"), "Not Found")</f>
        <v>Case Related</v>
      </c>
      <c r="V375" t="s">
        <v>1033</v>
      </c>
      <c r="W375" t="s">
        <v>1032</v>
      </c>
      <c r="X375">
        <f>Z375</f>
        <v>3</v>
      </c>
      <c r="Z375">
        <f>IFERROR(_xlfn.XLOOKUP(TRIM(V374), M:M, O:O, "Not Found"), "Not Found")</f>
        <v>3</v>
      </c>
      <c r="AG375" s="15">
        <v>0</v>
      </c>
      <c r="AH375" s="15">
        <v>0</v>
      </c>
      <c r="AI375" s="15">
        <v>0</v>
      </c>
      <c r="AJ375" s="15">
        <v>0</v>
      </c>
      <c r="AK375" s="15">
        <v>0</v>
      </c>
      <c r="AL375" s="15">
        <v>0</v>
      </c>
      <c r="AM375" s="15">
        <v>0</v>
      </c>
      <c r="AO375" t="s">
        <v>1255</v>
      </c>
    </row>
    <row r="376" spans="8:41">
      <c r="H376" t="s">
        <v>992</v>
      </c>
      <c r="I376" t="str">
        <f t="shared" si="6"/>
        <v>drug smuggler</v>
      </c>
      <c r="J376" t="str">
        <v>drug smuggler</v>
      </c>
      <c r="K376" t="str">
        <f>IFERROR(_xlfn.XLOOKUP(TRIM(H376), M:M, N:N, "Not Found"), "Not Found")</f>
        <v>Crime based</v>
      </c>
      <c r="V376" t="s">
        <v>1247</v>
      </c>
      <c r="W376" t="s">
        <v>1111</v>
      </c>
      <c r="X376">
        <f>Z376</f>
        <v>3</v>
      </c>
      <c r="Z376">
        <f>IFERROR(_xlfn.XLOOKUP(TRIM(V375), M:M, O:O, "Not Found"), "Not Found")</f>
        <v>3</v>
      </c>
      <c r="AG376" s="15">
        <v>0</v>
      </c>
      <c r="AH376" s="15">
        <v>0</v>
      </c>
      <c r="AI376" s="15">
        <v>0</v>
      </c>
      <c r="AJ376" s="15">
        <v>0</v>
      </c>
      <c r="AK376" s="15">
        <v>0</v>
      </c>
      <c r="AL376" s="15">
        <v>0</v>
      </c>
      <c r="AM376" s="15">
        <v>0</v>
      </c>
      <c r="AO376" t="s">
        <v>1007</v>
      </c>
    </row>
    <row r="377" spans="8:41">
      <c r="H377" t="s">
        <v>1020</v>
      </c>
      <c r="I377" t="str">
        <f t="shared" si="6"/>
        <v>af</v>
      </c>
      <c r="J377" t="str">
        <v>af</v>
      </c>
      <c r="K377" t="str">
        <f>IFERROR(_xlfn.XLOOKUP(TRIM(H377), M:M, N:N, "Not Found"), "Not Found")</f>
        <v>Intelligence based</v>
      </c>
      <c r="V377" t="s">
        <v>1247</v>
      </c>
      <c r="W377" t="s">
        <v>1111</v>
      </c>
      <c r="X377">
        <v>4</v>
      </c>
      <c r="Z377" t="str">
        <f>IFERROR(_xlfn.XLOOKUP(TRIM(V376), M:M, O:O, "Not Found"), "Not Found")</f>
        <v>Not Found</v>
      </c>
      <c r="AG377" s="15">
        <v>0</v>
      </c>
      <c r="AH377" s="15">
        <v>0</v>
      </c>
      <c r="AI377" s="15">
        <v>3</v>
      </c>
      <c r="AJ377" s="15">
        <v>0</v>
      </c>
      <c r="AK377" s="15">
        <v>0</v>
      </c>
      <c r="AL377" s="15">
        <v>0</v>
      </c>
      <c r="AM377" s="15">
        <v>0</v>
      </c>
      <c r="AO377" t="s">
        <v>1007</v>
      </c>
    </row>
    <row r="378" spans="8:41">
      <c r="H378" t="s">
        <v>1028</v>
      </c>
      <c r="I378" t="str">
        <f t="shared" si="6"/>
        <v>corby</v>
      </c>
      <c r="J378" t="str">
        <v>corby</v>
      </c>
      <c r="K378" t="str">
        <f>IFERROR(_xlfn.XLOOKUP(TRIM(H378), M:M, N:N, "Not Found"), "Not Found")</f>
        <v>Familial based</v>
      </c>
      <c r="V378" t="s">
        <v>1035</v>
      </c>
      <c r="W378" t="s">
        <v>1032</v>
      </c>
      <c r="X378">
        <v>4</v>
      </c>
      <c r="Z378" t="str">
        <f>IFERROR(_xlfn.XLOOKUP(TRIM(V377), M:M, O:O, "Not Found"), "Not Found")</f>
        <v>Not Found</v>
      </c>
      <c r="AG378" s="15">
        <v>0</v>
      </c>
      <c r="AH378" s="15">
        <v>0</v>
      </c>
      <c r="AI378" s="15">
        <v>3</v>
      </c>
      <c r="AJ378" s="15">
        <v>0</v>
      </c>
      <c r="AK378" s="15">
        <v>0</v>
      </c>
      <c r="AL378" s="15">
        <v>0</v>
      </c>
      <c r="AM378" s="15">
        <v>0</v>
      </c>
      <c r="AO378" t="s">
        <v>985</v>
      </c>
    </row>
    <row r="379" spans="8:41">
      <c r="H379" t="s">
        <v>965</v>
      </c>
      <c r="I379" t="str">
        <f t="shared" si="6"/>
        <v>schapelle corby</v>
      </c>
      <c r="J379" t="str">
        <v>schapelle corby</v>
      </c>
      <c r="K379" t="str">
        <f>IFERROR(_xlfn.XLOOKUP(TRIM(H379), M:M, N:N, "Not Found"), "Not Found")</f>
        <v>Case Related</v>
      </c>
      <c r="V379" t="s">
        <v>1036</v>
      </c>
      <c r="W379" t="s">
        <v>1032</v>
      </c>
      <c r="X379">
        <f>Z379</f>
        <v>4</v>
      </c>
      <c r="Z379">
        <f>IFERROR(_xlfn.XLOOKUP(TRIM(V378), M:M, O:O, "Not Found"), "Not Found")</f>
        <v>4</v>
      </c>
      <c r="AG379" s="15">
        <v>0</v>
      </c>
      <c r="AH379" s="15">
        <v>0</v>
      </c>
      <c r="AI379" s="15">
        <v>0</v>
      </c>
      <c r="AJ379" s="15">
        <v>0</v>
      </c>
      <c r="AK379" s="15">
        <v>0</v>
      </c>
      <c r="AL379" s="15">
        <v>0</v>
      </c>
      <c r="AM379" s="15">
        <v>0</v>
      </c>
      <c r="AO379" t="s">
        <v>1255</v>
      </c>
    </row>
    <row r="380" spans="8:41">
      <c r="H380" t="s">
        <v>983</v>
      </c>
      <c r="I380" t="str">
        <f t="shared" si="6"/>
        <v>australia</v>
      </c>
      <c r="J380" t="str">
        <v>australia</v>
      </c>
      <c r="K380" t="str">
        <f>IFERROR(_xlfn.XLOOKUP(TRIM(H380), M:M, N:N, "Not Found"), "Not Found")</f>
        <v>Case Related</v>
      </c>
      <c r="V380" t="s">
        <v>1257</v>
      </c>
      <c r="W380" t="s">
        <v>1108</v>
      </c>
      <c r="X380">
        <f>Z380</f>
        <v>4</v>
      </c>
      <c r="Z380">
        <f>IFERROR(_xlfn.XLOOKUP(TRIM(V379), M:M, O:O, "Not Found"), "Not Found")</f>
        <v>4</v>
      </c>
      <c r="AG380" s="15">
        <v>0</v>
      </c>
      <c r="AH380" s="15">
        <v>0</v>
      </c>
      <c r="AI380" s="15">
        <v>0</v>
      </c>
      <c r="AJ380" s="15">
        <v>0</v>
      </c>
      <c r="AK380" s="15">
        <v>0</v>
      </c>
      <c r="AL380" s="15">
        <v>0</v>
      </c>
      <c r="AM380" s="15">
        <v>0</v>
      </c>
      <c r="AO380" t="s">
        <v>1255</v>
      </c>
    </row>
    <row r="381" spans="8:41">
      <c r="H381" t="s">
        <v>1028</v>
      </c>
      <c r="I381" t="str">
        <f t="shared" si="6"/>
        <v>corby</v>
      </c>
      <c r="J381" t="str">
        <v>corby</v>
      </c>
      <c r="K381" t="str">
        <f>IFERROR(_xlfn.XLOOKUP(TRIM(H381), M:M, N:N, "Not Found"), "Not Found")</f>
        <v>Familial based</v>
      </c>
      <c r="V381" t="s">
        <v>1257</v>
      </c>
      <c r="W381" t="s">
        <v>1108</v>
      </c>
      <c r="X381">
        <v>1</v>
      </c>
      <c r="Z381" t="str">
        <f>IFERROR(_xlfn.XLOOKUP(TRIM(V380), M:M, O:O, "Not Found"), "Not Found")</f>
        <v>Not Found</v>
      </c>
      <c r="AG381" s="15">
        <v>0</v>
      </c>
      <c r="AH381" s="15">
        <v>0</v>
      </c>
      <c r="AI381" s="15">
        <v>0</v>
      </c>
      <c r="AJ381" s="15">
        <v>0</v>
      </c>
      <c r="AK381" s="15">
        <v>0</v>
      </c>
      <c r="AL381" s="15">
        <v>0</v>
      </c>
      <c r="AM381" s="15">
        <v>0</v>
      </c>
      <c r="AO381" t="s">
        <v>1278</v>
      </c>
    </row>
    <row r="382" spans="8:41">
      <c r="H382" t="s">
        <v>965</v>
      </c>
      <c r="I382" t="str">
        <f t="shared" si="6"/>
        <v>schapelle corby</v>
      </c>
      <c r="J382" t="str">
        <v>schapelle corby</v>
      </c>
      <c r="K382" t="str">
        <f>IFERROR(_xlfn.XLOOKUP(TRIM(H382), M:M, N:N, "Not Found"), "Not Found")</f>
        <v>Case Related</v>
      </c>
      <c r="V382" t="s">
        <v>1000</v>
      </c>
      <c r="W382" t="s">
        <v>985</v>
      </c>
      <c r="X382">
        <v>1</v>
      </c>
      <c r="Z382" t="str">
        <f>IFERROR(_xlfn.XLOOKUP(TRIM(V381), M:M, O:O, "Not Found"), "Not Found")</f>
        <v>Not Found</v>
      </c>
      <c r="AG382" s="15">
        <v>0</v>
      </c>
      <c r="AH382" s="15">
        <v>0</v>
      </c>
      <c r="AI382" s="15">
        <v>3</v>
      </c>
      <c r="AJ382" s="15">
        <v>0</v>
      </c>
      <c r="AK382" s="15">
        <v>0</v>
      </c>
      <c r="AL382" s="15">
        <v>0</v>
      </c>
      <c r="AM382" s="15">
        <v>0</v>
      </c>
      <c r="AO382" t="s">
        <v>1255</v>
      </c>
    </row>
    <row r="383" spans="8:41">
      <c r="H383" t="s">
        <v>983</v>
      </c>
      <c r="I383" t="str">
        <f t="shared" si="6"/>
        <v>australia</v>
      </c>
      <c r="J383" t="str">
        <v>australia</v>
      </c>
      <c r="K383" t="str">
        <f>IFERROR(_xlfn.XLOOKUP(TRIM(H383), M:M, N:N, "Not Found"), "Not Found")</f>
        <v>Case Related</v>
      </c>
      <c r="V383" t="s">
        <v>1000</v>
      </c>
      <c r="W383" t="s">
        <v>985</v>
      </c>
      <c r="X383">
        <f>Z383</f>
        <v>2</v>
      </c>
      <c r="Z383">
        <f>IFERROR(_xlfn.XLOOKUP(TRIM(V382), M:M, O:O, "Not Found"), "Not Found")</f>
        <v>2</v>
      </c>
      <c r="AG383" s="15">
        <v>0</v>
      </c>
      <c r="AH383" s="15">
        <v>0</v>
      </c>
      <c r="AI383" s="15">
        <v>0</v>
      </c>
      <c r="AJ383" s="15">
        <v>0</v>
      </c>
      <c r="AK383" s="15">
        <v>0</v>
      </c>
      <c r="AL383" s="15">
        <v>0</v>
      </c>
      <c r="AM383" s="15">
        <v>0</v>
      </c>
      <c r="AO383" t="s">
        <v>1255</v>
      </c>
    </row>
    <row r="384" spans="8:41">
      <c r="H384" t="s">
        <v>988</v>
      </c>
      <c r="I384" t="str">
        <f t="shared" si="6"/>
        <v>convicted drug smuggler</v>
      </c>
      <c r="J384" t="str">
        <v>convicted drug smuggler</v>
      </c>
      <c r="K384" t="str">
        <f>IFERROR(_xlfn.XLOOKUP(TRIM(H384), M:M, N:N, "Not Found"), "Not Found")</f>
        <v>Crime based</v>
      </c>
      <c r="V384" t="s">
        <v>1000</v>
      </c>
      <c r="W384" t="s">
        <v>985</v>
      </c>
      <c r="X384">
        <f>Z384</f>
        <v>2</v>
      </c>
      <c r="Z384">
        <f>IFERROR(_xlfn.XLOOKUP(TRIM(V383), M:M, O:O, "Not Found"), "Not Found")</f>
        <v>2</v>
      </c>
      <c r="AG384" s="15">
        <v>0</v>
      </c>
      <c r="AH384" s="15">
        <v>0</v>
      </c>
      <c r="AI384" s="15">
        <v>0</v>
      </c>
      <c r="AJ384" s="15">
        <v>0</v>
      </c>
      <c r="AK384" s="15">
        <v>0</v>
      </c>
      <c r="AL384" s="15">
        <v>0</v>
      </c>
      <c r="AM384" s="15">
        <v>0</v>
      </c>
      <c r="AO384" t="s">
        <v>1255</v>
      </c>
    </row>
    <row r="385" spans="8:41">
      <c r="H385" t="s">
        <v>992</v>
      </c>
      <c r="I385" t="str">
        <f t="shared" si="6"/>
        <v>drug smuggler</v>
      </c>
      <c r="J385" t="str">
        <v>drug smuggler</v>
      </c>
      <c r="K385" t="str">
        <f>IFERROR(_xlfn.XLOOKUP(TRIM(H385), M:M, N:N, "Not Found"), "Not Found")</f>
        <v>Crime based</v>
      </c>
      <c r="V385" t="s">
        <v>988</v>
      </c>
      <c r="W385" t="s">
        <v>985</v>
      </c>
      <c r="X385">
        <f>Z385</f>
        <v>2</v>
      </c>
      <c r="Z385">
        <f>IFERROR(_xlfn.XLOOKUP(TRIM(V384), M:M, O:O, "Not Found"), "Not Found")</f>
        <v>2</v>
      </c>
      <c r="AG385" s="15">
        <v>0</v>
      </c>
      <c r="AH385" s="15">
        <v>0</v>
      </c>
      <c r="AI385" s="15">
        <v>0</v>
      </c>
      <c r="AJ385" s="15">
        <v>0</v>
      </c>
      <c r="AK385" s="15">
        <v>0</v>
      </c>
      <c r="AL385" s="15">
        <v>0</v>
      </c>
      <c r="AM385" s="15">
        <v>0</v>
      </c>
      <c r="AO385" t="s">
        <v>1255</v>
      </c>
    </row>
    <row r="386" spans="8:41">
      <c r="H386" t="s">
        <v>1028</v>
      </c>
      <c r="I386" t="str">
        <f t="shared" si="6"/>
        <v>corby</v>
      </c>
      <c r="J386" t="str">
        <v>corby</v>
      </c>
      <c r="K386" t="str">
        <f>IFERROR(_xlfn.XLOOKUP(TRIM(H386), M:M, N:N, "Not Found"), "Not Found")</f>
        <v>Familial based</v>
      </c>
      <c r="V386" t="s">
        <v>988</v>
      </c>
      <c r="W386" t="s">
        <v>985</v>
      </c>
      <c r="X386">
        <f>Z386</f>
        <v>0</v>
      </c>
      <c r="Z386">
        <f>IFERROR(_xlfn.XLOOKUP(TRIM(V385), M:M, O:O, "Not Found"), "Not Found")</f>
        <v>0</v>
      </c>
      <c r="AG386" s="15">
        <v>0</v>
      </c>
      <c r="AH386" s="15">
        <v>0</v>
      </c>
      <c r="AI386" s="15">
        <v>0</v>
      </c>
      <c r="AJ386" s="15">
        <v>0</v>
      </c>
      <c r="AK386" s="15">
        <v>0</v>
      </c>
      <c r="AL386" s="15">
        <v>0</v>
      </c>
      <c r="AM386" s="15">
        <v>0</v>
      </c>
      <c r="AO386" t="s">
        <v>1255</v>
      </c>
    </row>
    <row r="387" spans="8:41">
      <c r="H387" t="s">
        <v>1073</v>
      </c>
      <c r="I387" t="str">
        <f t="shared" si="6"/>
        <v>convicted</v>
      </c>
      <c r="J387" t="str">
        <v>convicted</v>
      </c>
      <c r="K387" t="str">
        <f>IFERROR(_xlfn.XLOOKUP(TRIM(H387), M:M, N:N, "Not Found"), "Not Found")</f>
        <v>Legality based</v>
      </c>
      <c r="V387" t="s">
        <v>988</v>
      </c>
      <c r="W387" t="s">
        <v>985</v>
      </c>
      <c r="X387">
        <f>Z387</f>
        <v>0</v>
      </c>
      <c r="Z387">
        <f>IFERROR(_xlfn.XLOOKUP(TRIM(V386), M:M, O:O, "Not Found"), "Not Found")</f>
        <v>0</v>
      </c>
      <c r="AG387" s="15">
        <v>0</v>
      </c>
      <c r="AH387" s="15">
        <v>0</v>
      </c>
      <c r="AI387" s="15">
        <v>0</v>
      </c>
      <c r="AJ387" s="15">
        <v>0</v>
      </c>
      <c r="AK387" s="15">
        <v>0</v>
      </c>
      <c r="AL387" s="15">
        <v>0</v>
      </c>
      <c r="AM387" s="15">
        <v>0</v>
      </c>
      <c r="AO387" t="s">
        <v>1007</v>
      </c>
    </row>
    <row r="388" spans="8:41">
      <c r="H388" t="s">
        <v>965</v>
      </c>
      <c r="I388" t="str">
        <f t="shared" ref="I388:I451" si="7">TRIM(LOWER(H388))</f>
        <v>schapelle corby</v>
      </c>
      <c r="J388" t="str">
        <v>schapelle corby</v>
      </c>
      <c r="K388" t="str">
        <f>IFERROR(_xlfn.XLOOKUP(TRIM(H388), M:M, N:N, "Not Found"), "Not Found")</f>
        <v>Case Related</v>
      </c>
      <c r="V388" t="s">
        <v>988</v>
      </c>
      <c r="W388" t="s">
        <v>985</v>
      </c>
      <c r="X388">
        <f>Z388</f>
        <v>0</v>
      </c>
      <c r="Z388">
        <f>IFERROR(_xlfn.XLOOKUP(TRIM(V387), M:M, O:O, "Not Found"), "Not Found")</f>
        <v>0</v>
      </c>
      <c r="AG388" s="15">
        <v>0</v>
      </c>
      <c r="AH388" s="15">
        <v>0</v>
      </c>
      <c r="AI388" s="15">
        <v>3</v>
      </c>
      <c r="AJ388" s="15">
        <v>0</v>
      </c>
      <c r="AK388" s="15">
        <v>0</v>
      </c>
      <c r="AL388" s="15">
        <v>0</v>
      </c>
      <c r="AM388" s="15">
        <v>0</v>
      </c>
      <c r="AO388" t="s">
        <v>1255</v>
      </c>
    </row>
    <row r="389" spans="8:41">
      <c r="H389" t="s">
        <v>983</v>
      </c>
      <c r="I389" t="str">
        <f t="shared" si="7"/>
        <v>australia</v>
      </c>
      <c r="J389" t="str">
        <v>australia</v>
      </c>
      <c r="K389" t="str">
        <f>IFERROR(_xlfn.XLOOKUP(TRIM(H389), M:M, N:N, "Not Found"), "Not Found")</f>
        <v>Case Related</v>
      </c>
      <c r="V389" t="s">
        <v>988</v>
      </c>
      <c r="W389" t="s">
        <v>985</v>
      </c>
      <c r="X389">
        <f>Z389</f>
        <v>0</v>
      </c>
      <c r="Z389">
        <f>IFERROR(_xlfn.XLOOKUP(TRIM(V388), M:M, O:O, "Not Found"), "Not Found")</f>
        <v>0</v>
      </c>
      <c r="AG389" s="15">
        <v>0</v>
      </c>
      <c r="AH389" s="15">
        <v>0</v>
      </c>
      <c r="AI389" s="15">
        <v>0</v>
      </c>
      <c r="AJ389" s="15">
        <v>0</v>
      </c>
      <c r="AK389" s="15">
        <v>0</v>
      </c>
      <c r="AL389" s="15">
        <v>0</v>
      </c>
      <c r="AM389" s="15">
        <v>0</v>
      </c>
      <c r="AO389" t="s">
        <v>1255</v>
      </c>
    </row>
    <row r="390" spans="8:41">
      <c r="H390" t="s">
        <v>1028</v>
      </c>
      <c r="I390" t="str">
        <f t="shared" si="7"/>
        <v>corby</v>
      </c>
      <c r="J390" t="str">
        <v>corby</v>
      </c>
      <c r="K390" t="str">
        <f>IFERROR(_xlfn.XLOOKUP(TRIM(H390), M:M, N:N, "Not Found"), "Not Found")</f>
        <v>Familial based</v>
      </c>
      <c r="V390" t="s">
        <v>988</v>
      </c>
      <c r="W390" t="s">
        <v>985</v>
      </c>
      <c r="X390">
        <f>Z390</f>
        <v>0</v>
      </c>
      <c r="Z390">
        <f>IFERROR(_xlfn.XLOOKUP(TRIM(V389), M:M, O:O, "Not Found"), "Not Found")</f>
        <v>0</v>
      </c>
      <c r="AG390" s="15">
        <v>0</v>
      </c>
      <c r="AH390" s="15">
        <v>0</v>
      </c>
      <c r="AI390" s="15">
        <v>0</v>
      </c>
      <c r="AJ390" s="15">
        <v>0</v>
      </c>
      <c r="AK390" s="15">
        <v>0</v>
      </c>
      <c r="AL390" s="15">
        <v>0</v>
      </c>
      <c r="AM390" s="15">
        <v>0</v>
      </c>
      <c r="AO390" t="s">
        <v>1255</v>
      </c>
    </row>
    <row r="391" spans="8:41">
      <c r="H391" t="s">
        <v>965</v>
      </c>
      <c r="I391" t="str">
        <f t="shared" si="7"/>
        <v>schapelle corby</v>
      </c>
      <c r="J391" t="str">
        <v>schapelle corby</v>
      </c>
      <c r="K391" t="str">
        <f>IFERROR(_xlfn.XLOOKUP(TRIM(H391), M:M, N:N, "Not Found"), "Not Found")</f>
        <v>Case Related</v>
      </c>
      <c r="V391" t="s">
        <v>988</v>
      </c>
      <c r="W391" t="s">
        <v>985</v>
      </c>
      <c r="X391">
        <f>Z391</f>
        <v>0</v>
      </c>
      <c r="Z391">
        <f>IFERROR(_xlfn.XLOOKUP(TRIM(V390), M:M, O:O, "Not Found"), "Not Found")</f>
        <v>0</v>
      </c>
      <c r="AG391" s="15">
        <v>0</v>
      </c>
      <c r="AH391" s="15">
        <v>0</v>
      </c>
      <c r="AI391" s="15">
        <v>0</v>
      </c>
      <c r="AJ391" s="15">
        <v>0</v>
      </c>
      <c r="AK391" s="15">
        <v>0</v>
      </c>
      <c r="AL391" s="15">
        <v>0</v>
      </c>
      <c r="AM391" s="15">
        <v>0</v>
      </c>
      <c r="AO391" t="s">
        <v>1255</v>
      </c>
    </row>
    <row r="392" spans="8:41">
      <c r="H392" t="s">
        <v>1028</v>
      </c>
      <c r="I392" t="str">
        <f t="shared" si="7"/>
        <v>corby</v>
      </c>
      <c r="J392" t="str">
        <v>corby</v>
      </c>
      <c r="K392" t="str">
        <f>IFERROR(_xlfn.XLOOKUP(TRIM(H392), M:M, N:N, "Not Found"), "Not Found")</f>
        <v>Familial based</v>
      </c>
      <c r="V392" t="s">
        <v>988</v>
      </c>
      <c r="W392" t="s">
        <v>985</v>
      </c>
      <c r="X392">
        <f>Z392</f>
        <v>0</v>
      </c>
      <c r="Z392">
        <f>IFERROR(_xlfn.XLOOKUP(TRIM(V391), M:M, O:O, "Not Found"), "Not Found")</f>
        <v>0</v>
      </c>
      <c r="AG392" s="15">
        <v>0</v>
      </c>
      <c r="AH392" s="15">
        <v>0</v>
      </c>
      <c r="AI392" s="15">
        <v>0</v>
      </c>
      <c r="AJ392" s="15">
        <v>0</v>
      </c>
      <c r="AK392" s="15">
        <v>0</v>
      </c>
      <c r="AL392" s="15">
        <v>0</v>
      </c>
      <c r="AM392" s="15">
        <v>0</v>
      </c>
      <c r="AO392" t="s">
        <v>1255</v>
      </c>
    </row>
    <row r="393" spans="8:41">
      <c r="H393" t="s">
        <v>965</v>
      </c>
      <c r="I393" t="str">
        <f t="shared" si="7"/>
        <v>schapelle corby</v>
      </c>
      <c r="J393" t="str">
        <v>schapelle corby</v>
      </c>
      <c r="K393" t="str">
        <f>IFERROR(_xlfn.XLOOKUP(TRIM(H393), M:M, N:N, "Not Found"), "Not Found")</f>
        <v>Case Related</v>
      </c>
      <c r="V393" t="s">
        <v>988</v>
      </c>
      <c r="W393" t="s">
        <v>985</v>
      </c>
      <c r="X393">
        <f>Z393</f>
        <v>0</v>
      </c>
      <c r="Z393">
        <f>IFERROR(_xlfn.XLOOKUP(TRIM(V392), M:M, O:O, "Not Found"), "Not Found")</f>
        <v>0</v>
      </c>
      <c r="AG393" s="15">
        <v>0</v>
      </c>
      <c r="AH393" s="15">
        <v>0</v>
      </c>
      <c r="AI393" s="15">
        <v>0</v>
      </c>
      <c r="AJ393" s="15">
        <v>0</v>
      </c>
      <c r="AK393" s="15">
        <v>0</v>
      </c>
      <c r="AL393" s="15">
        <v>0</v>
      </c>
      <c r="AM393" s="15">
        <v>0</v>
      </c>
      <c r="AO393" t="s">
        <v>1255</v>
      </c>
    </row>
    <row r="394" spans="8:41">
      <c r="H394" t="s">
        <v>983</v>
      </c>
      <c r="I394" t="str">
        <f t="shared" si="7"/>
        <v>australia</v>
      </c>
      <c r="J394" t="str">
        <v>australia</v>
      </c>
      <c r="K394" t="str">
        <f>IFERROR(_xlfn.XLOOKUP(TRIM(H394), M:M, N:N, "Not Found"), "Not Found")</f>
        <v>Case Related</v>
      </c>
      <c r="V394" t="s">
        <v>988</v>
      </c>
      <c r="W394" t="s">
        <v>985</v>
      </c>
      <c r="X394">
        <f>Z394</f>
        <v>0</v>
      </c>
      <c r="Z394">
        <f>IFERROR(_xlfn.XLOOKUP(TRIM(V393), M:M, O:O, "Not Found"), "Not Found")</f>
        <v>0</v>
      </c>
      <c r="AG394" s="15">
        <v>0</v>
      </c>
      <c r="AH394" s="15">
        <v>0</v>
      </c>
      <c r="AI394" s="15">
        <v>0</v>
      </c>
      <c r="AJ394" s="15">
        <v>0</v>
      </c>
      <c r="AK394" s="15">
        <v>0</v>
      </c>
      <c r="AL394" s="15">
        <v>0</v>
      </c>
      <c r="AM394" s="15">
        <v>0</v>
      </c>
      <c r="AO394" t="s">
        <v>1255</v>
      </c>
    </row>
    <row r="395" spans="8:41">
      <c r="H395" t="s">
        <v>1028</v>
      </c>
      <c r="I395" t="str">
        <f t="shared" si="7"/>
        <v>corby</v>
      </c>
      <c r="J395" t="str">
        <v>corby</v>
      </c>
      <c r="K395" t="str">
        <f>IFERROR(_xlfn.XLOOKUP(TRIM(H395), M:M, N:N, "Not Found"), "Not Found")</f>
        <v>Familial based</v>
      </c>
      <c r="V395" t="s">
        <v>988</v>
      </c>
      <c r="W395" t="s">
        <v>985</v>
      </c>
      <c r="X395">
        <f>Z395</f>
        <v>0</v>
      </c>
      <c r="Z395">
        <f>IFERROR(_xlfn.XLOOKUP(TRIM(V394), M:M, O:O, "Not Found"), "Not Found")</f>
        <v>0</v>
      </c>
      <c r="AG395" s="15">
        <v>0</v>
      </c>
      <c r="AH395" s="15">
        <v>0</v>
      </c>
      <c r="AI395" s="15">
        <v>0</v>
      </c>
      <c r="AJ395" s="15">
        <v>0</v>
      </c>
      <c r="AK395" s="15">
        <v>0</v>
      </c>
      <c r="AL395" s="15">
        <v>0</v>
      </c>
      <c r="AM395" s="15">
        <v>0</v>
      </c>
      <c r="AO395" t="s">
        <v>1258</v>
      </c>
    </row>
    <row r="396" spans="8:41">
      <c r="H396" t="s">
        <v>965</v>
      </c>
      <c r="I396" t="str">
        <f t="shared" si="7"/>
        <v>schapelle corby</v>
      </c>
      <c r="J396" t="str">
        <v>schapelle corby</v>
      </c>
      <c r="K396" t="str">
        <f>IFERROR(_xlfn.XLOOKUP(TRIM(H396), M:M, N:N, "Not Found"), "Not Found")</f>
        <v>Case Related</v>
      </c>
      <c r="V396" t="s">
        <v>989</v>
      </c>
      <c r="W396" t="s">
        <v>985</v>
      </c>
      <c r="X396">
        <f>Z396</f>
        <v>0</v>
      </c>
      <c r="Z396">
        <f>IFERROR(_xlfn.XLOOKUP(TRIM(V395), M:M, O:O, "Not Found"), "Not Found")</f>
        <v>0</v>
      </c>
      <c r="AG396" s="15">
        <v>0</v>
      </c>
      <c r="AH396" s="15">
        <v>0</v>
      </c>
      <c r="AI396" s="15">
        <v>0</v>
      </c>
      <c r="AJ396" s="15">
        <v>0</v>
      </c>
      <c r="AK396" s="15">
        <v>3</v>
      </c>
      <c r="AL396" s="15">
        <v>0</v>
      </c>
      <c r="AM396" s="15">
        <v>0</v>
      </c>
      <c r="AO396" t="s">
        <v>1294</v>
      </c>
    </row>
    <row r="397" spans="8:41">
      <c r="H397" t="s">
        <v>1028</v>
      </c>
      <c r="I397" t="str">
        <f t="shared" si="7"/>
        <v>corby</v>
      </c>
      <c r="J397" t="str">
        <v>corby</v>
      </c>
      <c r="K397" t="str">
        <f>IFERROR(_xlfn.XLOOKUP(TRIM(H397), M:M, N:N, "Not Found"), "Not Found")</f>
        <v>Familial based</v>
      </c>
      <c r="V397" t="s">
        <v>989</v>
      </c>
      <c r="W397" t="s">
        <v>985</v>
      </c>
      <c r="X397">
        <f>Z397</f>
        <v>1</v>
      </c>
      <c r="Z397">
        <f>IFERROR(_xlfn.XLOOKUP(TRIM(V396), M:M, O:O, "Not Found"), "Not Found")</f>
        <v>1</v>
      </c>
      <c r="AG397" s="15">
        <v>0</v>
      </c>
      <c r="AH397" s="15">
        <v>0</v>
      </c>
      <c r="AI397" s="15">
        <v>1</v>
      </c>
      <c r="AJ397" s="15">
        <v>0</v>
      </c>
      <c r="AK397" s="15">
        <v>3.5</v>
      </c>
      <c r="AL397" s="15">
        <v>0</v>
      </c>
      <c r="AM397" s="15">
        <v>0</v>
      </c>
      <c r="AO397" t="s">
        <v>1007</v>
      </c>
    </row>
    <row r="398" spans="8:41">
      <c r="H398" t="s">
        <v>965</v>
      </c>
      <c r="I398" t="str">
        <f t="shared" si="7"/>
        <v>schapelle corby</v>
      </c>
      <c r="J398" t="str">
        <v>schapelle corby</v>
      </c>
      <c r="K398" t="str">
        <f>IFERROR(_xlfn.XLOOKUP(TRIM(H398), M:M, N:N, "Not Found"), "Not Found")</f>
        <v>Case Related</v>
      </c>
      <c r="V398" t="s">
        <v>989</v>
      </c>
      <c r="W398" t="s">
        <v>985</v>
      </c>
      <c r="X398">
        <f>Z398</f>
        <v>1</v>
      </c>
      <c r="Z398">
        <f>IFERROR(_xlfn.XLOOKUP(TRIM(V397), M:M, O:O, "Not Found"), "Not Found")</f>
        <v>1</v>
      </c>
      <c r="AG398" s="15">
        <v>0</v>
      </c>
      <c r="AH398" s="15">
        <v>0</v>
      </c>
      <c r="AI398" s="15">
        <v>1</v>
      </c>
      <c r="AJ398" s="15">
        <v>0</v>
      </c>
      <c r="AK398" s="15">
        <v>0</v>
      </c>
      <c r="AL398" s="15">
        <v>0</v>
      </c>
      <c r="AM398" s="15">
        <v>0</v>
      </c>
      <c r="AO398" t="s">
        <v>1007</v>
      </c>
    </row>
    <row r="399" spans="8:41">
      <c r="H399" t="s">
        <v>1028</v>
      </c>
      <c r="I399" t="str">
        <f t="shared" si="7"/>
        <v>corby</v>
      </c>
      <c r="J399" t="str">
        <v>corby</v>
      </c>
      <c r="K399" t="str">
        <f>IFERROR(_xlfn.XLOOKUP(TRIM(H399), M:M, N:N, "Not Found"), "Not Found")</f>
        <v>Familial based</v>
      </c>
      <c r="V399" t="s">
        <v>989</v>
      </c>
      <c r="W399" t="s">
        <v>985</v>
      </c>
      <c r="X399">
        <f>Z399</f>
        <v>1</v>
      </c>
      <c r="Z399">
        <f>IFERROR(_xlfn.XLOOKUP(TRIM(V398), M:M, O:O, "Not Found"), "Not Found")</f>
        <v>1</v>
      </c>
      <c r="AG399" s="15">
        <v>0</v>
      </c>
      <c r="AH399" s="15">
        <v>0</v>
      </c>
      <c r="AI399" s="15">
        <v>1</v>
      </c>
      <c r="AJ399" s="15">
        <v>0</v>
      </c>
      <c r="AK399" s="15">
        <v>0</v>
      </c>
      <c r="AL399" s="15">
        <v>0</v>
      </c>
      <c r="AM399" s="15">
        <v>0</v>
      </c>
      <c r="AO399" t="s">
        <v>1275</v>
      </c>
    </row>
    <row r="400" spans="8:41">
      <c r="H400" t="s">
        <v>1060</v>
      </c>
      <c r="I400" t="str">
        <f t="shared" si="7"/>
        <v>innocent</v>
      </c>
      <c r="J400" t="str">
        <v>innocent</v>
      </c>
      <c r="K400" t="str">
        <f>IFERROR(_xlfn.XLOOKUP(TRIM(H400), M:M, N:N, "Not Found"), "Not Found")</f>
        <v>Legality based</v>
      </c>
      <c r="V400" t="s">
        <v>989</v>
      </c>
      <c r="W400" t="s">
        <v>985</v>
      </c>
      <c r="X400">
        <f>Z400</f>
        <v>1</v>
      </c>
      <c r="Z400">
        <f>IFERROR(_xlfn.XLOOKUP(TRIM(V399), M:M, O:O, "Not Found"), "Not Found")</f>
        <v>1</v>
      </c>
      <c r="AG400" s="15">
        <v>0</v>
      </c>
      <c r="AH400" s="15">
        <v>0</v>
      </c>
      <c r="AI400" s="15">
        <v>0</v>
      </c>
      <c r="AJ400" s="15">
        <v>0</v>
      </c>
      <c r="AK400" s="15">
        <v>3</v>
      </c>
      <c r="AL400" s="15">
        <v>0</v>
      </c>
      <c r="AM400" s="15">
        <v>0</v>
      </c>
      <c r="AO400" t="s">
        <v>1283</v>
      </c>
    </row>
    <row r="401" spans="8:41">
      <c r="H401" t="s">
        <v>965</v>
      </c>
      <c r="I401" t="str">
        <f t="shared" si="7"/>
        <v>schapelle corby</v>
      </c>
      <c r="J401" t="str">
        <v>schapelle corby</v>
      </c>
      <c r="K401" t="str">
        <f>IFERROR(_xlfn.XLOOKUP(TRIM(H401), M:M, N:N, "Not Found"), "Not Found")</f>
        <v>Case Related</v>
      </c>
      <c r="V401" t="s">
        <v>989</v>
      </c>
      <c r="W401" t="s">
        <v>985</v>
      </c>
      <c r="X401">
        <f>Z401</f>
        <v>1</v>
      </c>
      <c r="Z401">
        <f>IFERROR(_xlfn.XLOOKUP(TRIM(V400), M:M, O:O, "Not Found"), "Not Found")</f>
        <v>1</v>
      </c>
      <c r="AG401" s="15">
        <v>0</v>
      </c>
      <c r="AH401" s="15">
        <v>0</v>
      </c>
      <c r="AI401" s="15">
        <v>1</v>
      </c>
      <c r="AJ401" s="15">
        <v>0</v>
      </c>
      <c r="AK401" s="15">
        <v>0</v>
      </c>
      <c r="AL401" s="15">
        <v>0</v>
      </c>
      <c r="AM401" s="15">
        <v>0</v>
      </c>
      <c r="AO401" t="s">
        <v>1007</v>
      </c>
    </row>
    <row r="402" spans="8:41">
      <c r="H402" t="s">
        <v>983</v>
      </c>
      <c r="I402" t="str">
        <f t="shared" si="7"/>
        <v>australia</v>
      </c>
      <c r="J402" t="str">
        <v>australia</v>
      </c>
      <c r="K402" t="str">
        <f>IFERROR(_xlfn.XLOOKUP(TRIM(H402), M:M, N:N, "Not Found"), "Not Found")</f>
        <v>Case Related</v>
      </c>
      <c r="V402" t="s">
        <v>989</v>
      </c>
      <c r="W402" t="s">
        <v>985</v>
      </c>
      <c r="X402">
        <f>Z402</f>
        <v>1</v>
      </c>
      <c r="Z402">
        <f>IFERROR(_xlfn.XLOOKUP(TRIM(V401), M:M, O:O, "Not Found"), "Not Found")</f>
        <v>1</v>
      </c>
      <c r="AG402" s="15">
        <v>0</v>
      </c>
      <c r="AH402" s="15">
        <v>0</v>
      </c>
      <c r="AI402" s="15">
        <v>1</v>
      </c>
      <c r="AJ402" s="15">
        <v>0</v>
      </c>
      <c r="AK402" s="15">
        <v>0</v>
      </c>
      <c r="AL402" s="15">
        <v>0</v>
      </c>
      <c r="AM402" s="15">
        <v>0</v>
      </c>
      <c r="AO402" t="s">
        <v>1255</v>
      </c>
    </row>
    <row r="403" spans="8:41">
      <c r="H403" t="s">
        <v>984</v>
      </c>
      <c r="I403" t="str">
        <f t="shared" si="7"/>
        <v>drugs</v>
      </c>
      <c r="J403" t="str">
        <v>drugs</v>
      </c>
      <c r="K403" t="str">
        <f>IFERROR(_xlfn.XLOOKUP(TRIM(H403), M:M, N:N, "Not Found"), "Not Found")</f>
        <v>Crime based</v>
      </c>
      <c r="V403" t="s">
        <v>989</v>
      </c>
      <c r="W403" t="s">
        <v>985</v>
      </c>
      <c r="X403">
        <f>Z403</f>
        <v>1</v>
      </c>
      <c r="Z403">
        <f>IFERROR(_xlfn.XLOOKUP(TRIM(V402), M:M, O:O, "Not Found"), "Not Found")</f>
        <v>1</v>
      </c>
      <c r="AG403" s="15">
        <v>0</v>
      </c>
      <c r="AH403" s="15">
        <v>0</v>
      </c>
      <c r="AI403" s="15">
        <v>0</v>
      </c>
      <c r="AJ403" s="15">
        <v>0</v>
      </c>
      <c r="AK403" s="15">
        <v>0</v>
      </c>
      <c r="AL403" s="15">
        <v>0</v>
      </c>
      <c r="AM403" s="15">
        <v>0</v>
      </c>
      <c r="AO403" t="s">
        <v>966</v>
      </c>
    </row>
    <row r="404" spans="8:41">
      <c r="H404" t="s">
        <v>992</v>
      </c>
      <c r="I404" t="str">
        <f t="shared" si="7"/>
        <v>drug smuggler</v>
      </c>
      <c r="J404" t="str">
        <v>drug smuggler</v>
      </c>
      <c r="K404" t="str">
        <f>IFERROR(_xlfn.XLOOKUP(TRIM(H404), M:M, N:N, "Not Found"), "Not Found")</f>
        <v>Crime based</v>
      </c>
      <c r="V404" t="s">
        <v>989</v>
      </c>
      <c r="W404" t="s">
        <v>985</v>
      </c>
      <c r="X404">
        <f>Z404</f>
        <v>1</v>
      </c>
      <c r="Z404">
        <f>IFERROR(_xlfn.XLOOKUP(TRIM(V403), M:M, O:O, "Not Found"), "Not Found")</f>
        <v>1</v>
      </c>
      <c r="AG404" s="15">
        <v>0</v>
      </c>
      <c r="AH404" s="15">
        <v>0</v>
      </c>
      <c r="AI404" s="15">
        <v>0</v>
      </c>
      <c r="AJ404" s="15">
        <v>0</v>
      </c>
      <c r="AK404" s="15">
        <v>0</v>
      </c>
      <c r="AL404" s="15">
        <v>0</v>
      </c>
      <c r="AM404" s="15">
        <v>0</v>
      </c>
      <c r="AO404" t="s">
        <v>1255</v>
      </c>
    </row>
    <row r="405" spans="8:41">
      <c r="H405" t="s">
        <v>1028</v>
      </c>
      <c r="I405" t="str">
        <f t="shared" si="7"/>
        <v>corby</v>
      </c>
      <c r="J405" t="str">
        <v>corby</v>
      </c>
      <c r="K405" t="str">
        <f>IFERROR(_xlfn.XLOOKUP(TRIM(H405), M:M, N:N, "Not Found"), "Not Found")</f>
        <v>Familial based</v>
      </c>
      <c r="V405" t="s">
        <v>989</v>
      </c>
      <c r="W405" t="s">
        <v>985</v>
      </c>
      <c r="X405">
        <f>Z405</f>
        <v>1</v>
      </c>
      <c r="Z405">
        <f>IFERROR(_xlfn.XLOOKUP(TRIM(V404), M:M, O:O, "Not Found"), "Not Found")</f>
        <v>1</v>
      </c>
      <c r="AG405" s="15">
        <v>0</v>
      </c>
      <c r="AH405" s="15">
        <v>0</v>
      </c>
      <c r="AI405" s="15">
        <v>0</v>
      </c>
      <c r="AJ405" s="15">
        <v>0</v>
      </c>
      <c r="AK405" s="15">
        <v>0</v>
      </c>
      <c r="AL405" s="15">
        <v>0</v>
      </c>
      <c r="AM405" s="15">
        <v>0</v>
      </c>
      <c r="AO405" t="s">
        <v>1255</v>
      </c>
    </row>
    <row r="406" spans="8:41">
      <c r="H406" t="s">
        <v>965</v>
      </c>
      <c r="I406" t="str">
        <f t="shared" si="7"/>
        <v>schapelle corby</v>
      </c>
      <c r="J406" t="str">
        <v>schapelle corby</v>
      </c>
      <c r="K406" t="str">
        <f>IFERROR(_xlfn.XLOOKUP(TRIM(H406), M:M, N:N, "Not Found"), "Not Found")</f>
        <v>Case Related</v>
      </c>
      <c r="V406" t="s">
        <v>989</v>
      </c>
      <c r="W406" t="s">
        <v>985</v>
      </c>
      <c r="X406">
        <f>Z406</f>
        <v>1</v>
      </c>
      <c r="Z406">
        <f>IFERROR(_xlfn.XLOOKUP(TRIM(V405), M:M, O:O, "Not Found"), "Not Found")</f>
        <v>1</v>
      </c>
      <c r="AG406" s="15">
        <v>0</v>
      </c>
      <c r="AH406" s="15">
        <v>0</v>
      </c>
      <c r="AI406" s="15">
        <v>0</v>
      </c>
      <c r="AJ406" s="15">
        <v>0</v>
      </c>
      <c r="AK406" s="15">
        <v>0</v>
      </c>
      <c r="AL406" s="15">
        <v>0</v>
      </c>
      <c r="AM406" s="15">
        <v>0</v>
      </c>
      <c r="AO406" t="s">
        <v>1255</v>
      </c>
    </row>
    <row r="407" spans="8:41">
      <c r="H407" t="s">
        <v>983</v>
      </c>
      <c r="I407" t="str">
        <f t="shared" si="7"/>
        <v>australia</v>
      </c>
      <c r="J407" t="str">
        <v>australia</v>
      </c>
      <c r="K407" t="str">
        <f>IFERROR(_xlfn.XLOOKUP(TRIM(H407), M:M, N:N, "Not Found"), "Not Found")</f>
        <v>Case Related</v>
      </c>
      <c r="V407" t="s">
        <v>989</v>
      </c>
      <c r="W407" t="s">
        <v>985</v>
      </c>
      <c r="X407">
        <f>Z407</f>
        <v>1</v>
      </c>
      <c r="Z407">
        <f>IFERROR(_xlfn.XLOOKUP(TRIM(V406), M:M, O:O, "Not Found"), "Not Found")</f>
        <v>1</v>
      </c>
      <c r="AG407" s="15">
        <v>0</v>
      </c>
      <c r="AH407" s="15">
        <v>0</v>
      </c>
      <c r="AI407" s="15">
        <v>0</v>
      </c>
      <c r="AJ407" s="15">
        <v>0</v>
      </c>
      <c r="AK407" s="15">
        <v>0</v>
      </c>
      <c r="AL407" s="15">
        <v>0</v>
      </c>
      <c r="AM407" s="15">
        <v>0</v>
      </c>
      <c r="AO407" t="s">
        <v>1255</v>
      </c>
    </row>
    <row r="408" spans="8:41">
      <c r="H408" t="s">
        <v>1028</v>
      </c>
      <c r="I408" t="str">
        <f t="shared" si="7"/>
        <v>corby</v>
      </c>
      <c r="J408" t="str">
        <v>corby</v>
      </c>
      <c r="K408" t="str">
        <f>IFERROR(_xlfn.XLOOKUP(TRIM(H408), M:M, N:N, "Not Found"), "Not Found")</f>
        <v>Familial based</v>
      </c>
      <c r="V408" t="s">
        <v>989</v>
      </c>
      <c r="W408" t="s">
        <v>985</v>
      </c>
      <c r="X408">
        <f>Z408</f>
        <v>1</v>
      </c>
      <c r="Z408">
        <f>IFERROR(_xlfn.XLOOKUP(TRIM(V407), M:M, O:O, "Not Found"), "Not Found")</f>
        <v>1</v>
      </c>
      <c r="AG408" s="15">
        <v>0</v>
      </c>
      <c r="AH408" s="15">
        <v>0</v>
      </c>
      <c r="AI408" s="15">
        <v>0</v>
      </c>
      <c r="AJ408" s="15">
        <v>0</v>
      </c>
      <c r="AK408" s="15">
        <v>0</v>
      </c>
      <c r="AL408" s="15">
        <v>0</v>
      </c>
      <c r="AM408" s="15">
        <v>0</v>
      </c>
      <c r="AO408" t="s">
        <v>1255</v>
      </c>
    </row>
    <row r="409" spans="8:41">
      <c r="H409" t="s">
        <v>1020</v>
      </c>
      <c r="I409" t="str">
        <f t="shared" si="7"/>
        <v>af</v>
      </c>
      <c r="J409" t="str">
        <v>af</v>
      </c>
      <c r="K409" t="str">
        <f>IFERROR(_xlfn.XLOOKUP(TRIM(H409), M:M, N:N, "Not Found"), "Not Found")</f>
        <v>Intelligence based</v>
      </c>
      <c r="V409" t="s">
        <v>989</v>
      </c>
      <c r="W409" t="s">
        <v>985</v>
      </c>
      <c r="X409">
        <f>Z409</f>
        <v>1</v>
      </c>
      <c r="Z409">
        <f>IFERROR(_xlfn.XLOOKUP(TRIM(V408), M:M, O:O, "Not Found"), "Not Found")</f>
        <v>1</v>
      </c>
      <c r="AG409" s="15">
        <v>0</v>
      </c>
      <c r="AH409" s="15">
        <v>0</v>
      </c>
      <c r="AI409" s="15">
        <v>0</v>
      </c>
      <c r="AJ409" s="15">
        <v>0</v>
      </c>
      <c r="AK409" s="15">
        <v>0</v>
      </c>
      <c r="AL409" s="15">
        <v>0</v>
      </c>
      <c r="AM409" s="15">
        <v>0</v>
      </c>
      <c r="AO409" t="s">
        <v>966</v>
      </c>
    </row>
    <row r="410" spans="8:41">
      <c r="H410" t="s">
        <v>1028</v>
      </c>
      <c r="I410" t="str">
        <f t="shared" si="7"/>
        <v>corby</v>
      </c>
      <c r="J410" t="str">
        <v>corby</v>
      </c>
      <c r="K410" t="str">
        <f>IFERROR(_xlfn.XLOOKUP(TRIM(H410), M:M, N:N, "Not Found"), "Not Found")</f>
        <v>Familial based</v>
      </c>
      <c r="V410" t="s">
        <v>1005</v>
      </c>
      <c r="W410" t="s">
        <v>985</v>
      </c>
      <c r="X410">
        <f>Z410</f>
        <v>1</v>
      </c>
      <c r="Z410">
        <f>IFERROR(_xlfn.XLOOKUP(TRIM(V409), M:M, O:O, "Not Found"), "Not Found")</f>
        <v>1</v>
      </c>
      <c r="AG410" s="15">
        <v>0</v>
      </c>
      <c r="AH410" s="15">
        <v>0</v>
      </c>
      <c r="AI410" s="15">
        <v>0</v>
      </c>
      <c r="AJ410" s="15">
        <v>0</v>
      </c>
      <c r="AK410" s="15">
        <v>0</v>
      </c>
      <c r="AL410" s="15">
        <v>0</v>
      </c>
      <c r="AM410" s="15">
        <v>0</v>
      </c>
      <c r="AO410" t="s">
        <v>1255</v>
      </c>
    </row>
    <row r="411" spans="8:41">
      <c r="H411" t="s">
        <v>1043</v>
      </c>
      <c r="I411" t="str">
        <f t="shared" si="7"/>
        <v>afp</v>
      </c>
      <c r="J411" t="str">
        <v>AFP</v>
      </c>
      <c r="K411" t="str">
        <f>IFERROR(_xlfn.XLOOKUP(TRIM(H411), M:M, N:N, "Not Found"), "Not Found")</f>
        <v>Authority based</v>
      </c>
      <c r="V411" t="s">
        <v>992</v>
      </c>
      <c r="W411" t="s">
        <v>985</v>
      </c>
      <c r="X411">
        <f>Z411</f>
        <v>1</v>
      </c>
      <c r="Z411">
        <f>IFERROR(_xlfn.XLOOKUP(TRIM(V410), M:M, O:O, "Not Found"), "Not Found")</f>
        <v>1</v>
      </c>
      <c r="AG411" s="15">
        <v>0</v>
      </c>
      <c r="AH411" s="15">
        <v>0</v>
      </c>
      <c r="AI411" s="15">
        <v>0</v>
      </c>
      <c r="AJ411" s="15">
        <v>0</v>
      </c>
      <c r="AK411" s="15">
        <v>0</v>
      </c>
      <c r="AL411" s="15">
        <v>0</v>
      </c>
      <c r="AM411" s="15">
        <v>0</v>
      </c>
      <c r="AO411" t="s">
        <v>1255</v>
      </c>
    </row>
    <row r="412" spans="8:41">
      <c r="H412" t="s">
        <v>965</v>
      </c>
      <c r="I412" t="str">
        <f t="shared" si="7"/>
        <v>schapelle corby</v>
      </c>
      <c r="J412" t="str">
        <v>schapelle corby</v>
      </c>
      <c r="K412" t="str">
        <f>IFERROR(_xlfn.XLOOKUP(TRIM(H412), M:M, N:N, "Not Found"), "Not Found")</f>
        <v>Case Related</v>
      </c>
      <c r="V412" t="s">
        <v>992</v>
      </c>
      <c r="W412" t="s">
        <v>985</v>
      </c>
      <c r="X412">
        <f>Z412</f>
        <v>1</v>
      </c>
      <c r="Z412">
        <f>IFERROR(_xlfn.XLOOKUP(TRIM(V411), M:M, O:O, "Not Found"), "Not Found")</f>
        <v>1</v>
      </c>
      <c r="AG412" s="15">
        <v>0</v>
      </c>
      <c r="AH412" s="15">
        <v>0</v>
      </c>
      <c r="AI412" s="15">
        <v>0</v>
      </c>
      <c r="AJ412" s="15">
        <v>0</v>
      </c>
      <c r="AK412" s="15">
        <v>0</v>
      </c>
      <c r="AL412" s="15">
        <v>0</v>
      </c>
      <c r="AM412" s="15">
        <v>0</v>
      </c>
      <c r="AO412" t="s">
        <v>1255</v>
      </c>
    </row>
    <row r="413" spans="8:41">
      <c r="H413" t="s">
        <v>983</v>
      </c>
      <c r="I413" t="str">
        <f t="shared" si="7"/>
        <v>australia</v>
      </c>
      <c r="J413" t="str">
        <v>australia</v>
      </c>
      <c r="K413" t="str">
        <f>IFERROR(_xlfn.XLOOKUP(TRIM(H413), M:M, N:N, "Not Found"), "Not Found")</f>
        <v>Case Related</v>
      </c>
      <c r="V413" t="s">
        <v>992</v>
      </c>
      <c r="W413" t="s">
        <v>985</v>
      </c>
      <c r="X413">
        <f>Z413</f>
        <v>1</v>
      </c>
      <c r="Z413">
        <f>IFERROR(_xlfn.XLOOKUP(TRIM(V412), M:M, O:O, "Not Found"), "Not Found")</f>
        <v>1</v>
      </c>
      <c r="AG413" s="15">
        <v>0</v>
      </c>
      <c r="AH413" s="15">
        <v>0</v>
      </c>
      <c r="AI413" s="15">
        <v>0</v>
      </c>
      <c r="AJ413" s="15">
        <v>0</v>
      </c>
      <c r="AK413" s="15">
        <v>0</v>
      </c>
      <c r="AL413" s="15">
        <v>0</v>
      </c>
      <c r="AM413" s="15">
        <v>0</v>
      </c>
      <c r="AO413" t="s">
        <v>1255</v>
      </c>
    </row>
    <row r="414" spans="8:41">
      <c r="H414" t="s">
        <v>1028</v>
      </c>
      <c r="I414" t="str">
        <f t="shared" si="7"/>
        <v>corby</v>
      </c>
      <c r="J414" t="str">
        <v>corby</v>
      </c>
      <c r="K414" t="str">
        <f>IFERROR(_xlfn.XLOOKUP(TRIM(H414), M:M, N:N, "Not Found"), "Not Found")</f>
        <v>Familial based</v>
      </c>
      <c r="V414" t="s">
        <v>992</v>
      </c>
      <c r="W414" t="s">
        <v>985</v>
      </c>
      <c r="X414">
        <f>Z414</f>
        <v>1</v>
      </c>
      <c r="Z414">
        <f>IFERROR(_xlfn.XLOOKUP(TRIM(V413), M:M, O:O, "Not Found"), "Not Found")</f>
        <v>1</v>
      </c>
      <c r="AG414" s="15">
        <v>0</v>
      </c>
      <c r="AH414" s="15">
        <v>0</v>
      </c>
      <c r="AI414" s="15">
        <v>0</v>
      </c>
      <c r="AJ414" s="15">
        <v>0</v>
      </c>
      <c r="AK414" s="15">
        <v>0</v>
      </c>
      <c r="AL414" s="15">
        <v>0</v>
      </c>
      <c r="AM414" s="15">
        <v>0</v>
      </c>
      <c r="AO414" t="s">
        <v>1032</v>
      </c>
    </row>
    <row r="415" spans="8:41">
      <c r="H415" t="s">
        <v>965</v>
      </c>
      <c r="I415" t="str">
        <f t="shared" si="7"/>
        <v>schapelle corby</v>
      </c>
      <c r="J415" t="str">
        <v>schapelle corby</v>
      </c>
      <c r="K415" t="str">
        <f>IFERROR(_xlfn.XLOOKUP(TRIM(H415), M:M, N:N, "Not Found"), "Not Found")</f>
        <v>Case Related</v>
      </c>
      <c r="V415" t="s">
        <v>992</v>
      </c>
      <c r="W415" t="s">
        <v>985</v>
      </c>
      <c r="X415">
        <f>Z415</f>
        <v>1</v>
      </c>
      <c r="Z415">
        <f>IFERROR(_xlfn.XLOOKUP(TRIM(V414), M:M, O:O, "Not Found"), "Not Found")</f>
        <v>1</v>
      </c>
      <c r="AG415" s="15">
        <v>0</v>
      </c>
      <c r="AH415" s="15">
        <v>0</v>
      </c>
      <c r="AI415" s="15">
        <v>0</v>
      </c>
      <c r="AJ415" s="15">
        <v>0</v>
      </c>
      <c r="AK415" s="15">
        <v>3</v>
      </c>
      <c r="AL415" s="15">
        <v>0</v>
      </c>
      <c r="AM415" s="15">
        <v>0</v>
      </c>
      <c r="AO415" t="s">
        <v>1275</v>
      </c>
    </row>
    <row r="416" spans="8:41">
      <c r="H416" t="s">
        <v>988</v>
      </c>
      <c r="I416" t="str">
        <f t="shared" si="7"/>
        <v>convicted drug smuggler</v>
      </c>
      <c r="J416" t="str">
        <v>convicted drug smuggler</v>
      </c>
      <c r="K416" t="str">
        <f>IFERROR(_xlfn.XLOOKUP(TRIM(H416), M:M, N:N, "Not Found"), "Not Found")</f>
        <v>Crime based</v>
      </c>
      <c r="V416" t="s">
        <v>992</v>
      </c>
      <c r="W416" t="s">
        <v>985</v>
      </c>
      <c r="X416">
        <f>Z416</f>
        <v>1</v>
      </c>
      <c r="Z416">
        <f>IFERROR(_xlfn.XLOOKUP(TRIM(V415), M:M, O:O, "Not Found"), "Not Found")</f>
        <v>1</v>
      </c>
      <c r="AG416" s="15">
        <v>0</v>
      </c>
      <c r="AH416" s="15">
        <v>0</v>
      </c>
      <c r="AI416" s="15">
        <v>0</v>
      </c>
      <c r="AJ416" s="15">
        <v>0</v>
      </c>
      <c r="AK416" s="15">
        <v>3</v>
      </c>
      <c r="AL416" s="15">
        <v>0</v>
      </c>
      <c r="AM416" s="15">
        <v>0</v>
      </c>
      <c r="AO416" t="s">
        <v>1255</v>
      </c>
    </row>
    <row r="417" spans="8:41">
      <c r="H417" t="s">
        <v>992</v>
      </c>
      <c r="I417" t="str">
        <f t="shared" si="7"/>
        <v>drug smuggler</v>
      </c>
      <c r="J417" t="str">
        <v>drug smuggler</v>
      </c>
      <c r="K417" t="str">
        <f>IFERROR(_xlfn.XLOOKUP(TRIM(H417), M:M, N:N, "Not Found"), "Not Found")</f>
        <v>Crime based</v>
      </c>
      <c r="V417" t="s">
        <v>992</v>
      </c>
      <c r="W417" t="s">
        <v>985</v>
      </c>
      <c r="X417">
        <f>Z417</f>
        <v>1</v>
      </c>
      <c r="Z417">
        <f>IFERROR(_xlfn.XLOOKUP(TRIM(V416), M:M, O:O, "Not Found"), "Not Found")</f>
        <v>1</v>
      </c>
      <c r="AG417" s="15">
        <v>0</v>
      </c>
      <c r="AH417" s="15">
        <v>0</v>
      </c>
      <c r="AI417" s="15">
        <v>0</v>
      </c>
      <c r="AJ417" s="15">
        <v>0</v>
      </c>
      <c r="AK417" s="15">
        <v>0</v>
      </c>
      <c r="AL417" s="15">
        <v>0</v>
      </c>
      <c r="AM417" s="15">
        <v>0</v>
      </c>
      <c r="AO417" t="s">
        <v>1255</v>
      </c>
    </row>
    <row r="418" spans="8:41">
      <c r="H418" t="s">
        <v>1028</v>
      </c>
      <c r="I418" t="str">
        <f t="shared" si="7"/>
        <v>corby</v>
      </c>
      <c r="J418" t="str">
        <v>corby</v>
      </c>
      <c r="K418" t="str">
        <f>IFERROR(_xlfn.XLOOKUP(TRIM(H418), M:M, N:N, "Not Found"), "Not Found")</f>
        <v>Familial based</v>
      </c>
      <c r="V418" t="s">
        <v>992</v>
      </c>
      <c r="W418" t="s">
        <v>985</v>
      </c>
      <c r="X418">
        <f>Z418</f>
        <v>1</v>
      </c>
      <c r="Z418">
        <f>IFERROR(_xlfn.XLOOKUP(TRIM(V417), M:M, O:O, "Not Found"), "Not Found")</f>
        <v>1</v>
      </c>
      <c r="AG418" s="15">
        <v>0</v>
      </c>
      <c r="AH418" s="15">
        <v>0</v>
      </c>
      <c r="AI418" s="15">
        <v>0</v>
      </c>
      <c r="AJ418" s="15">
        <v>0</v>
      </c>
      <c r="AK418" s="15">
        <v>0</v>
      </c>
      <c r="AL418" s="15">
        <v>0</v>
      </c>
      <c r="AM418" s="15">
        <v>0</v>
      </c>
      <c r="AO418" t="s">
        <v>1255</v>
      </c>
    </row>
    <row r="419" spans="8:41">
      <c r="H419" t="s">
        <v>1073</v>
      </c>
      <c r="I419" t="str">
        <f t="shared" si="7"/>
        <v>convicted</v>
      </c>
      <c r="J419" t="str">
        <v>convicted</v>
      </c>
      <c r="K419" t="str">
        <f>IFERROR(_xlfn.XLOOKUP(TRIM(H419), M:M, N:N, "Not Found"), "Not Found")</f>
        <v>Legality based</v>
      </c>
      <c r="V419" t="s">
        <v>992</v>
      </c>
      <c r="W419" t="s">
        <v>985</v>
      </c>
      <c r="X419">
        <f>Z419</f>
        <v>1</v>
      </c>
      <c r="Z419">
        <f>IFERROR(_xlfn.XLOOKUP(TRIM(V418), M:M, O:O, "Not Found"), "Not Found")</f>
        <v>1</v>
      </c>
      <c r="AG419" s="15">
        <v>0</v>
      </c>
      <c r="AH419" s="15">
        <v>0</v>
      </c>
      <c r="AI419" s="15">
        <v>0</v>
      </c>
      <c r="AJ419" s="15">
        <v>0</v>
      </c>
      <c r="AK419" s="15">
        <v>0</v>
      </c>
      <c r="AL419" s="15">
        <v>0</v>
      </c>
      <c r="AM419" s="15">
        <v>0</v>
      </c>
      <c r="AO419" t="s">
        <v>1255</v>
      </c>
    </row>
    <row r="420" spans="8:41">
      <c r="H420" t="s">
        <v>965</v>
      </c>
      <c r="I420" t="str">
        <f t="shared" si="7"/>
        <v>schapelle corby</v>
      </c>
      <c r="J420" t="str">
        <v>schapelle corby</v>
      </c>
      <c r="K420" t="str">
        <f>IFERROR(_xlfn.XLOOKUP(TRIM(H420), M:M, N:N, "Not Found"), "Not Found")</f>
        <v>Case Related</v>
      </c>
      <c r="V420" t="s">
        <v>992</v>
      </c>
      <c r="W420" t="s">
        <v>985</v>
      </c>
      <c r="X420">
        <f>Z420</f>
        <v>1</v>
      </c>
      <c r="Z420">
        <f>IFERROR(_xlfn.XLOOKUP(TRIM(V419), M:M, O:O, "Not Found"), "Not Found")</f>
        <v>1</v>
      </c>
      <c r="AG420" s="15">
        <v>0</v>
      </c>
      <c r="AH420" s="15">
        <v>0</v>
      </c>
      <c r="AI420" s="15">
        <v>0</v>
      </c>
      <c r="AJ420" s="15">
        <v>0</v>
      </c>
      <c r="AK420" s="15">
        <v>0</v>
      </c>
      <c r="AL420" s="15">
        <v>0</v>
      </c>
      <c r="AM420" s="15">
        <v>0</v>
      </c>
      <c r="AO420" t="s">
        <v>1283</v>
      </c>
    </row>
    <row r="421" spans="8:41">
      <c r="H421" t="s">
        <v>988</v>
      </c>
      <c r="I421" t="str">
        <f t="shared" si="7"/>
        <v>convicted drug smuggler</v>
      </c>
      <c r="J421" t="str">
        <v>convicted drug smuggler</v>
      </c>
      <c r="K421" t="str">
        <f>IFERROR(_xlfn.XLOOKUP(TRIM(H421), M:M, N:N, "Not Found"), "Not Found")</f>
        <v>Crime based</v>
      </c>
      <c r="V421" t="s">
        <v>992</v>
      </c>
      <c r="W421" t="s">
        <v>985</v>
      </c>
      <c r="X421">
        <f>Z421</f>
        <v>1</v>
      </c>
      <c r="Z421">
        <f>IFERROR(_xlfn.XLOOKUP(TRIM(V420), M:M, O:O, "Not Found"), "Not Found")</f>
        <v>1</v>
      </c>
      <c r="AG421" s="15">
        <v>0</v>
      </c>
      <c r="AH421" s="15">
        <v>0</v>
      </c>
      <c r="AI421" s="15">
        <v>1</v>
      </c>
      <c r="AJ421" s="15">
        <v>0</v>
      </c>
      <c r="AK421" s="15">
        <v>0</v>
      </c>
      <c r="AL421" s="15">
        <v>0</v>
      </c>
      <c r="AM421" s="15">
        <v>0</v>
      </c>
      <c r="AO421" t="s">
        <v>1255</v>
      </c>
    </row>
    <row r="422" spans="8:41">
      <c r="H422" t="s">
        <v>992</v>
      </c>
      <c r="I422" t="str">
        <f t="shared" si="7"/>
        <v>drug smuggler</v>
      </c>
      <c r="J422" t="str">
        <v>drug smuggler</v>
      </c>
      <c r="K422" t="str">
        <f>IFERROR(_xlfn.XLOOKUP(TRIM(H422), M:M, N:N, "Not Found"), "Not Found")</f>
        <v>Crime based</v>
      </c>
      <c r="V422" t="s">
        <v>992</v>
      </c>
      <c r="W422" t="s">
        <v>985</v>
      </c>
      <c r="X422">
        <f>Z422</f>
        <v>1</v>
      </c>
      <c r="Z422">
        <f>IFERROR(_xlfn.XLOOKUP(TRIM(V421), M:M, O:O, "Not Found"), "Not Found")</f>
        <v>1</v>
      </c>
      <c r="AG422" s="15">
        <v>0</v>
      </c>
      <c r="AH422" s="15">
        <v>0</v>
      </c>
      <c r="AI422" s="15">
        <v>0</v>
      </c>
      <c r="AJ422" s="15">
        <v>0</v>
      </c>
      <c r="AK422" s="15">
        <v>0</v>
      </c>
      <c r="AL422" s="15">
        <v>0</v>
      </c>
      <c r="AM422" s="15">
        <v>0</v>
      </c>
      <c r="AO422" t="s">
        <v>1255</v>
      </c>
    </row>
    <row r="423" spans="8:41">
      <c r="H423" t="s">
        <v>1028</v>
      </c>
      <c r="I423" t="str">
        <f t="shared" si="7"/>
        <v>corby</v>
      </c>
      <c r="J423" t="str">
        <v>corby</v>
      </c>
      <c r="K423" t="str">
        <f>IFERROR(_xlfn.XLOOKUP(TRIM(H423), M:M, N:N, "Not Found"), "Not Found")</f>
        <v>Familial based</v>
      </c>
      <c r="V423" t="s">
        <v>992</v>
      </c>
      <c r="W423" t="s">
        <v>985</v>
      </c>
      <c r="X423">
        <f>Z423</f>
        <v>1</v>
      </c>
      <c r="Z423">
        <f>IFERROR(_xlfn.XLOOKUP(TRIM(V422), M:M, O:O, "Not Found"), "Not Found")</f>
        <v>1</v>
      </c>
      <c r="AG423" s="15">
        <v>0</v>
      </c>
      <c r="AH423" s="15">
        <v>0</v>
      </c>
      <c r="AI423" s="15">
        <v>0</v>
      </c>
      <c r="AJ423" s="15">
        <v>0</v>
      </c>
      <c r="AK423" s="15">
        <v>0</v>
      </c>
      <c r="AL423" s="15">
        <v>0</v>
      </c>
      <c r="AM423" s="15">
        <v>0</v>
      </c>
      <c r="AO423" t="s">
        <v>1260</v>
      </c>
    </row>
    <row r="424" spans="8:41">
      <c r="H424" t="s">
        <v>1073</v>
      </c>
      <c r="I424" t="str">
        <f t="shared" si="7"/>
        <v>convicted</v>
      </c>
      <c r="J424" t="str">
        <v>convicted</v>
      </c>
      <c r="K424" t="str">
        <f>IFERROR(_xlfn.XLOOKUP(TRIM(H424), M:M, N:N, "Not Found"), "Not Found")</f>
        <v>Legality based</v>
      </c>
      <c r="V424" t="s">
        <v>992</v>
      </c>
      <c r="W424" t="s">
        <v>985</v>
      </c>
      <c r="X424">
        <f>Z424</f>
        <v>1</v>
      </c>
      <c r="Z424">
        <f>IFERROR(_xlfn.XLOOKUP(TRIM(V423), M:M, O:O, "Not Found"), "Not Found")</f>
        <v>1</v>
      </c>
      <c r="AG424" s="15">
        <v>0</v>
      </c>
      <c r="AH424" s="15">
        <v>0</v>
      </c>
      <c r="AI424" s="15">
        <v>1</v>
      </c>
      <c r="AJ424" s="15">
        <v>0</v>
      </c>
      <c r="AK424" s="15">
        <v>0</v>
      </c>
      <c r="AL424" s="15">
        <v>0</v>
      </c>
      <c r="AM424" s="15">
        <v>0</v>
      </c>
      <c r="AO424" t="s">
        <v>1255</v>
      </c>
    </row>
    <row r="425" spans="8:41">
      <c r="H425" t="s">
        <v>965</v>
      </c>
      <c r="I425" t="str">
        <f t="shared" si="7"/>
        <v>schapelle corby</v>
      </c>
      <c r="J425" t="str">
        <v>schapelle corby</v>
      </c>
      <c r="K425" t="str">
        <f>IFERROR(_xlfn.XLOOKUP(TRIM(H425), M:M, N:N, "Not Found"), "Not Found")</f>
        <v>Case Related</v>
      </c>
      <c r="V425" t="s">
        <v>992</v>
      </c>
      <c r="W425" t="s">
        <v>985</v>
      </c>
      <c r="X425">
        <f>Z425</f>
        <v>1</v>
      </c>
      <c r="Z425">
        <f>IFERROR(_xlfn.XLOOKUP(TRIM(V424), M:M, O:O, "Not Found"), "Not Found")</f>
        <v>1</v>
      </c>
      <c r="AG425" s="15">
        <v>0</v>
      </c>
      <c r="AH425" s="15">
        <v>0</v>
      </c>
      <c r="AI425" s="15">
        <v>0</v>
      </c>
      <c r="AJ425" s="15">
        <v>0</v>
      </c>
      <c r="AK425" s="15">
        <v>0</v>
      </c>
      <c r="AL425" s="15">
        <v>0</v>
      </c>
      <c r="AM425" s="15">
        <v>0</v>
      </c>
      <c r="AO425" t="s">
        <v>966</v>
      </c>
    </row>
    <row r="426" spans="8:41">
      <c r="H426" t="s">
        <v>1028</v>
      </c>
      <c r="I426" t="str">
        <f t="shared" si="7"/>
        <v>corby</v>
      </c>
      <c r="J426" t="str">
        <v>corby</v>
      </c>
      <c r="K426" t="str">
        <f>IFERROR(_xlfn.XLOOKUP(TRIM(H426), M:M, N:N, "Not Found"), "Not Found")</f>
        <v>Familial based</v>
      </c>
      <c r="V426" t="s">
        <v>992</v>
      </c>
      <c r="W426" t="s">
        <v>985</v>
      </c>
      <c r="X426">
        <f>Z426</f>
        <v>1</v>
      </c>
      <c r="Z426">
        <f>IFERROR(_xlfn.XLOOKUP(TRIM(V425), M:M, O:O, "Not Found"), "Not Found")</f>
        <v>1</v>
      </c>
      <c r="AG426" s="15">
        <v>0</v>
      </c>
      <c r="AH426" s="15">
        <v>0</v>
      </c>
      <c r="AI426" s="15">
        <v>0</v>
      </c>
      <c r="AJ426" s="15">
        <v>0</v>
      </c>
      <c r="AK426" s="15">
        <v>0</v>
      </c>
      <c r="AL426" s="15">
        <v>0</v>
      </c>
      <c r="AM426" s="15">
        <v>0</v>
      </c>
      <c r="AO426" t="s">
        <v>1255</v>
      </c>
    </row>
    <row r="427" spans="8:41">
      <c r="H427" t="s">
        <v>965</v>
      </c>
      <c r="I427" t="str">
        <f t="shared" si="7"/>
        <v>schapelle corby</v>
      </c>
      <c r="J427" t="str">
        <v>schapelle corby</v>
      </c>
      <c r="K427" t="str">
        <f>IFERROR(_xlfn.XLOOKUP(TRIM(H427), M:M, N:N, "Not Found"), "Not Found")</f>
        <v>Case Related</v>
      </c>
      <c r="V427" t="s">
        <v>992</v>
      </c>
      <c r="W427" t="s">
        <v>985</v>
      </c>
      <c r="X427">
        <f>Z427</f>
        <v>1</v>
      </c>
      <c r="Z427">
        <f>IFERROR(_xlfn.XLOOKUP(TRIM(V426), M:M, O:O, "Not Found"), "Not Found")</f>
        <v>1</v>
      </c>
      <c r="AG427" s="15">
        <v>0</v>
      </c>
      <c r="AH427" s="15">
        <v>0</v>
      </c>
      <c r="AI427" s="15">
        <v>0</v>
      </c>
      <c r="AJ427" s="15">
        <v>0</v>
      </c>
      <c r="AK427" s="15">
        <v>0</v>
      </c>
      <c r="AL427" s="15">
        <v>0</v>
      </c>
      <c r="AM427" s="15">
        <v>0</v>
      </c>
      <c r="AO427" t="s">
        <v>1255</v>
      </c>
    </row>
    <row r="428" spans="8:41">
      <c r="H428" t="s">
        <v>983</v>
      </c>
      <c r="I428" t="str">
        <f t="shared" si="7"/>
        <v>australia</v>
      </c>
      <c r="J428" t="str">
        <v>australia</v>
      </c>
      <c r="K428" t="str">
        <f>IFERROR(_xlfn.XLOOKUP(TRIM(H428), M:M, N:N, "Not Found"), "Not Found")</f>
        <v>Case Related</v>
      </c>
      <c r="V428" t="s">
        <v>991</v>
      </c>
      <c r="W428" t="s">
        <v>985</v>
      </c>
      <c r="X428">
        <f>Z428</f>
        <v>1</v>
      </c>
      <c r="Z428">
        <f>IFERROR(_xlfn.XLOOKUP(TRIM(V427), M:M, O:O, "Not Found"), "Not Found")</f>
        <v>1</v>
      </c>
      <c r="AG428" s="15">
        <v>0</v>
      </c>
      <c r="AH428" s="15">
        <v>0</v>
      </c>
      <c r="AI428" s="15">
        <v>0</v>
      </c>
      <c r="AJ428" s="15">
        <v>0</v>
      </c>
      <c r="AK428" s="15">
        <v>0</v>
      </c>
      <c r="AL428" s="15">
        <v>0</v>
      </c>
      <c r="AM428" s="15">
        <v>0</v>
      </c>
      <c r="AO428" t="s">
        <v>1255</v>
      </c>
    </row>
    <row r="429" spans="8:41">
      <c r="H429" t="s">
        <v>996</v>
      </c>
      <c r="I429" t="str">
        <f t="shared" si="7"/>
        <v>jail</v>
      </c>
      <c r="J429" t="str">
        <v>jail</v>
      </c>
      <c r="K429" t="str">
        <f>IFERROR(_xlfn.XLOOKUP(TRIM(H429), M:M, N:N, "Not Found"), "Not Found")</f>
        <v>Crime based</v>
      </c>
      <c r="V429" t="s">
        <v>991</v>
      </c>
      <c r="W429" t="s">
        <v>985</v>
      </c>
      <c r="X429">
        <f>Z429</f>
        <v>1</v>
      </c>
      <c r="Z429">
        <f>IFERROR(_xlfn.XLOOKUP(TRIM(V428), M:M, O:O, "Not Found"), "Not Found")</f>
        <v>1</v>
      </c>
      <c r="AG429" s="15">
        <v>0</v>
      </c>
      <c r="AH429" s="15">
        <v>0</v>
      </c>
      <c r="AI429" s="15">
        <v>0</v>
      </c>
      <c r="AJ429" s="15">
        <v>0</v>
      </c>
      <c r="AK429" s="15">
        <v>0</v>
      </c>
      <c r="AL429" s="15">
        <v>0</v>
      </c>
      <c r="AM429" s="15">
        <v>0</v>
      </c>
      <c r="AO429" t="s">
        <v>1255</v>
      </c>
    </row>
    <row r="430" spans="8:41">
      <c r="H430" t="s">
        <v>1020</v>
      </c>
      <c r="I430" t="str">
        <f t="shared" si="7"/>
        <v>af</v>
      </c>
      <c r="J430" t="str">
        <v>af</v>
      </c>
      <c r="K430" t="str">
        <f>IFERROR(_xlfn.XLOOKUP(TRIM(H430), M:M, N:N, "Not Found"), "Not Found")</f>
        <v>Intelligence based</v>
      </c>
      <c r="V430" t="s">
        <v>991</v>
      </c>
      <c r="W430" t="s">
        <v>985</v>
      </c>
      <c r="X430">
        <f>Z430</f>
        <v>1</v>
      </c>
      <c r="Z430">
        <f>IFERROR(_xlfn.XLOOKUP(TRIM(V429), M:M, O:O, "Not Found"), "Not Found")</f>
        <v>1</v>
      </c>
      <c r="AG430" s="15">
        <v>0</v>
      </c>
      <c r="AH430" s="15">
        <v>0</v>
      </c>
      <c r="AI430" s="15">
        <v>0</v>
      </c>
      <c r="AJ430" s="15">
        <v>0</v>
      </c>
      <c r="AK430" s="15">
        <v>0</v>
      </c>
      <c r="AL430" s="15">
        <v>0</v>
      </c>
      <c r="AM430" s="15">
        <v>0</v>
      </c>
      <c r="AO430" t="s">
        <v>1255</v>
      </c>
    </row>
    <row r="431" spans="8:41">
      <c r="H431" t="s">
        <v>1028</v>
      </c>
      <c r="I431" t="str">
        <f t="shared" si="7"/>
        <v>corby</v>
      </c>
      <c r="J431" t="str">
        <v>corby</v>
      </c>
      <c r="K431" t="str">
        <f>IFERROR(_xlfn.XLOOKUP(TRIM(H431), M:M, N:N, "Not Found"), "Not Found")</f>
        <v>Familial based</v>
      </c>
      <c r="V431" t="s">
        <v>991</v>
      </c>
      <c r="W431" t="s">
        <v>985</v>
      </c>
      <c r="X431">
        <f>Z431</f>
        <v>1</v>
      </c>
      <c r="Z431">
        <f>IFERROR(_xlfn.XLOOKUP(TRIM(V430), M:M, O:O, "Not Found"), "Not Found")</f>
        <v>1</v>
      </c>
      <c r="AG431" s="15">
        <v>0</v>
      </c>
      <c r="AH431" s="15">
        <v>0</v>
      </c>
      <c r="AI431" s="15">
        <v>0</v>
      </c>
      <c r="AJ431" s="15">
        <v>0</v>
      </c>
      <c r="AK431" s="15">
        <v>0</v>
      </c>
      <c r="AL431" s="15">
        <v>0</v>
      </c>
      <c r="AM431" s="15">
        <v>0</v>
      </c>
      <c r="AO431" t="s">
        <v>1255</v>
      </c>
    </row>
    <row r="432" spans="8:41">
      <c r="H432" t="s">
        <v>1236</v>
      </c>
      <c r="I432" t="str">
        <f t="shared" si="7"/>
        <v>sentence</v>
      </c>
      <c r="J432" t="str">
        <v>sentence</v>
      </c>
      <c r="K432" t="str">
        <f>IFERROR(_xlfn.XLOOKUP(TRIM(H432), M:M, N:N, "Not Found"), "Not Found")</f>
        <v>Not Found</v>
      </c>
      <c r="V432" t="s">
        <v>991</v>
      </c>
      <c r="W432" t="s">
        <v>985</v>
      </c>
      <c r="X432">
        <f>Z432</f>
        <v>1</v>
      </c>
      <c r="Z432">
        <f>IFERROR(_xlfn.XLOOKUP(TRIM(V431), M:M, O:O, "Not Found"), "Not Found")</f>
        <v>1</v>
      </c>
      <c r="AG432" s="15">
        <v>0</v>
      </c>
      <c r="AH432" s="15">
        <v>0</v>
      </c>
      <c r="AI432" s="15">
        <v>0</v>
      </c>
      <c r="AJ432" s="15">
        <v>0</v>
      </c>
      <c r="AK432" s="15">
        <v>0</v>
      </c>
      <c r="AL432" s="15">
        <v>0</v>
      </c>
      <c r="AM432" s="15">
        <v>0</v>
      </c>
      <c r="AO432" t="s">
        <v>1032</v>
      </c>
    </row>
    <row r="433" spans="8:41">
      <c r="H433" t="s">
        <v>965</v>
      </c>
      <c r="I433" t="str">
        <f t="shared" si="7"/>
        <v>schapelle corby</v>
      </c>
      <c r="J433" t="str">
        <v>schapelle corby</v>
      </c>
      <c r="K433" t="str">
        <f>IFERROR(_xlfn.XLOOKUP(TRIM(H433), M:M, N:N, "Not Found"), "Not Found")</f>
        <v>Case Related</v>
      </c>
      <c r="V433" t="s">
        <v>984</v>
      </c>
      <c r="W433" t="s">
        <v>985</v>
      </c>
      <c r="X433">
        <f>Z433</f>
        <v>1</v>
      </c>
      <c r="Z433">
        <f>IFERROR(_xlfn.XLOOKUP(TRIM(V432), M:M, O:O, "Not Found"), "Not Found")</f>
        <v>1</v>
      </c>
      <c r="AG433" s="15">
        <v>0</v>
      </c>
      <c r="AH433" s="15">
        <v>0</v>
      </c>
      <c r="AI433" s="15">
        <v>0</v>
      </c>
      <c r="AJ433" s="15">
        <v>0</v>
      </c>
      <c r="AK433" s="15">
        <v>3</v>
      </c>
      <c r="AL433" s="15">
        <v>0</v>
      </c>
      <c r="AM433" s="15">
        <v>0</v>
      </c>
      <c r="AO433" t="s">
        <v>1240</v>
      </c>
    </row>
    <row r="434" spans="8:41">
      <c r="H434" t="s">
        <v>1028</v>
      </c>
      <c r="I434" t="str">
        <f t="shared" si="7"/>
        <v>corby</v>
      </c>
      <c r="J434" t="str">
        <v>corby</v>
      </c>
      <c r="K434" t="str">
        <f>IFERROR(_xlfn.XLOOKUP(TRIM(H434), M:M, N:N, "Not Found"), "Not Found")</f>
        <v>Familial based</v>
      </c>
      <c r="V434" t="s">
        <v>984</v>
      </c>
      <c r="W434" t="s">
        <v>985</v>
      </c>
      <c r="X434">
        <f>Z434</f>
        <v>0</v>
      </c>
      <c r="Z434">
        <f>IFERROR(_xlfn.XLOOKUP(TRIM(V433), M:M, O:O, "Not Found"), "Not Found")</f>
        <v>0</v>
      </c>
      <c r="AG434" s="15">
        <v>0</v>
      </c>
      <c r="AH434" s="15">
        <v>0</v>
      </c>
      <c r="AI434" s="15">
        <v>0</v>
      </c>
      <c r="AJ434" s="15">
        <v>0</v>
      </c>
      <c r="AK434" s="15">
        <v>0</v>
      </c>
      <c r="AL434" s="15">
        <v>0</v>
      </c>
      <c r="AM434" s="15">
        <v>0</v>
      </c>
      <c r="AO434" t="s">
        <v>1255</v>
      </c>
    </row>
    <row r="435" spans="8:41">
      <c r="H435" t="s">
        <v>965</v>
      </c>
      <c r="I435" t="str">
        <f t="shared" si="7"/>
        <v>schapelle corby</v>
      </c>
      <c r="J435" t="str">
        <v>schapelle corby</v>
      </c>
      <c r="K435" t="str">
        <f>IFERROR(_xlfn.XLOOKUP(TRIM(H435), M:M, N:N, "Not Found"), "Not Found")</f>
        <v>Case Related</v>
      </c>
      <c r="V435" t="s">
        <v>984</v>
      </c>
      <c r="W435" t="s">
        <v>985</v>
      </c>
      <c r="X435">
        <f>Z435</f>
        <v>0</v>
      </c>
      <c r="Z435">
        <f>IFERROR(_xlfn.XLOOKUP(TRIM(V434), M:M, O:O, "Not Found"), "Not Found")</f>
        <v>0</v>
      </c>
      <c r="AG435" s="15">
        <v>0</v>
      </c>
      <c r="AH435" s="15">
        <v>0</v>
      </c>
      <c r="AI435" s="15">
        <v>0</v>
      </c>
      <c r="AJ435" s="15">
        <v>0</v>
      </c>
      <c r="AK435" s="15">
        <v>0</v>
      </c>
      <c r="AL435" s="15">
        <v>0</v>
      </c>
      <c r="AM435" s="15">
        <v>0</v>
      </c>
      <c r="AO435" t="s">
        <v>1295</v>
      </c>
    </row>
    <row r="436" spans="8:41">
      <c r="H436" t="s">
        <v>983</v>
      </c>
      <c r="I436" t="str">
        <f t="shared" si="7"/>
        <v>australia</v>
      </c>
      <c r="J436" t="str">
        <v>australia</v>
      </c>
      <c r="K436" t="str">
        <f>IFERROR(_xlfn.XLOOKUP(TRIM(H436), M:M, N:N, "Not Found"), "Not Found")</f>
        <v>Case Related</v>
      </c>
      <c r="V436" t="s">
        <v>984</v>
      </c>
      <c r="W436" t="s">
        <v>985</v>
      </c>
      <c r="X436">
        <f>Z436</f>
        <v>0</v>
      </c>
      <c r="Z436">
        <f>IFERROR(_xlfn.XLOOKUP(TRIM(V435), M:M, O:O, "Not Found"), "Not Found")</f>
        <v>0</v>
      </c>
      <c r="AG436" s="15">
        <v>0</v>
      </c>
      <c r="AH436" s="15">
        <v>0</v>
      </c>
      <c r="AI436" s="15">
        <v>3</v>
      </c>
      <c r="AJ436" s="15">
        <v>0</v>
      </c>
      <c r="AK436" s="15">
        <v>3</v>
      </c>
      <c r="AL436" s="15">
        <v>0</v>
      </c>
      <c r="AM436" s="15">
        <v>0</v>
      </c>
      <c r="AO436" t="s">
        <v>1269</v>
      </c>
    </row>
    <row r="437" spans="8:41">
      <c r="H437" t="s">
        <v>1028</v>
      </c>
      <c r="I437" t="str">
        <f t="shared" si="7"/>
        <v>corby</v>
      </c>
      <c r="J437" t="str">
        <v>corby</v>
      </c>
      <c r="K437" t="str">
        <f>IFERROR(_xlfn.XLOOKUP(TRIM(H437), M:M, N:N, "Not Found"), "Not Found")</f>
        <v>Familial based</v>
      </c>
      <c r="V437" t="s">
        <v>984</v>
      </c>
      <c r="W437" t="s">
        <v>985</v>
      </c>
      <c r="X437">
        <f>Z437</f>
        <v>0</v>
      </c>
      <c r="Z437">
        <f>IFERROR(_xlfn.XLOOKUP(TRIM(V436), M:M, O:O, "Not Found"), "Not Found")</f>
        <v>0</v>
      </c>
      <c r="AG437" s="15">
        <v>0</v>
      </c>
      <c r="AH437" s="15">
        <v>0</v>
      </c>
      <c r="AI437" s="15">
        <v>0</v>
      </c>
      <c r="AJ437" s="15">
        <v>0</v>
      </c>
      <c r="AK437" s="15">
        <v>0</v>
      </c>
      <c r="AL437" s="15">
        <v>0</v>
      </c>
      <c r="AM437" s="15">
        <v>0</v>
      </c>
      <c r="AO437" t="s">
        <v>1255</v>
      </c>
    </row>
    <row r="438" spans="8:41">
      <c r="H438" t="s">
        <v>965</v>
      </c>
      <c r="I438" t="str">
        <f t="shared" si="7"/>
        <v>schapelle corby</v>
      </c>
      <c r="J438" t="str">
        <v>schapelle corby</v>
      </c>
      <c r="K438" t="str">
        <f>IFERROR(_xlfn.XLOOKUP(TRIM(H438), M:M, N:N, "Not Found"), "Not Found")</f>
        <v>Case Related</v>
      </c>
      <c r="V438" t="s">
        <v>984</v>
      </c>
      <c r="W438" t="s">
        <v>985</v>
      </c>
      <c r="X438">
        <f>Z438</f>
        <v>0</v>
      </c>
      <c r="Z438">
        <f>IFERROR(_xlfn.XLOOKUP(TRIM(V437), M:M, O:O, "Not Found"), "Not Found")</f>
        <v>0</v>
      </c>
      <c r="AG438" s="15">
        <v>0</v>
      </c>
      <c r="AH438" s="15">
        <v>0</v>
      </c>
      <c r="AI438" s="15">
        <v>0</v>
      </c>
      <c r="AJ438" s="15">
        <v>0</v>
      </c>
      <c r="AK438" s="15">
        <v>0</v>
      </c>
      <c r="AL438" s="15">
        <v>0</v>
      </c>
      <c r="AM438" s="15">
        <v>0</v>
      </c>
      <c r="AO438" t="s">
        <v>1288</v>
      </c>
    </row>
    <row r="439" spans="8:41">
      <c r="H439" t="s">
        <v>1028</v>
      </c>
      <c r="I439" t="str">
        <f t="shared" si="7"/>
        <v>corby</v>
      </c>
      <c r="J439" t="str">
        <v>corby</v>
      </c>
      <c r="K439" t="str">
        <f>IFERROR(_xlfn.XLOOKUP(TRIM(H439), M:M, N:N, "Not Found"), "Not Found")</f>
        <v>Familial based</v>
      </c>
      <c r="V439" t="s">
        <v>984</v>
      </c>
      <c r="W439" t="s">
        <v>985</v>
      </c>
      <c r="X439">
        <f>Z439</f>
        <v>0</v>
      </c>
      <c r="Z439">
        <f>IFERROR(_xlfn.XLOOKUP(TRIM(V438), M:M, O:O, "Not Found"), "Not Found")</f>
        <v>0</v>
      </c>
      <c r="AG439" s="15">
        <v>0</v>
      </c>
      <c r="AH439" s="15">
        <v>0</v>
      </c>
      <c r="AI439" s="15">
        <v>1</v>
      </c>
      <c r="AJ439" s="15">
        <v>0</v>
      </c>
      <c r="AK439" s="15">
        <v>0</v>
      </c>
      <c r="AL439" s="15">
        <v>0</v>
      </c>
      <c r="AM439" s="15">
        <v>0</v>
      </c>
      <c r="AO439" t="s">
        <v>1255</v>
      </c>
    </row>
    <row r="440" spans="8:41">
      <c r="H440" t="s">
        <v>965</v>
      </c>
      <c r="I440" t="str">
        <f t="shared" si="7"/>
        <v>schapelle corby</v>
      </c>
      <c r="J440" t="str">
        <v>schapelle corby</v>
      </c>
      <c r="K440" t="str">
        <f>IFERROR(_xlfn.XLOOKUP(TRIM(H440), M:M, N:N, "Not Found"), "Not Found")</f>
        <v>Case Related</v>
      </c>
      <c r="V440" t="s">
        <v>984</v>
      </c>
      <c r="W440" t="s">
        <v>985</v>
      </c>
      <c r="X440">
        <f>Z440</f>
        <v>0</v>
      </c>
      <c r="Z440">
        <f>IFERROR(_xlfn.XLOOKUP(TRIM(V439), M:M, O:O, "Not Found"), "Not Found")</f>
        <v>0</v>
      </c>
      <c r="AG440" s="15">
        <v>0</v>
      </c>
      <c r="AH440" s="15">
        <v>0</v>
      </c>
      <c r="AI440" s="15">
        <v>0</v>
      </c>
      <c r="AJ440" s="15">
        <v>0</v>
      </c>
      <c r="AK440" s="15">
        <v>0</v>
      </c>
      <c r="AL440" s="15">
        <v>0</v>
      </c>
      <c r="AM440" s="15">
        <v>0</v>
      </c>
      <c r="AO440" t="s">
        <v>1255</v>
      </c>
    </row>
    <row r="441" spans="8:41">
      <c r="H441" t="s">
        <v>1028</v>
      </c>
      <c r="I441" t="str">
        <f t="shared" si="7"/>
        <v>corby</v>
      </c>
      <c r="J441" t="str">
        <v>corby</v>
      </c>
      <c r="K441" t="str">
        <f>IFERROR(_xlfn.XLOOKUP(TRIM(H441), M:M, N:N, "Not Found"), "Not Found")</f>
        <v>Familial based</v>
      </c>
      <c r="V441" t="s">
        <v>984</v>
      </c>
      <c r="W441" t="s">
        <v>985</v>
      </c>
      <c r="X441">
        <f>Z441</f>
        <v>0</v>
      </c>
      <c r="Z441">
        <f>IFERROR(_xlfn.XLOOKUP(TRIM(V440), M:M, O:O, "Not Found"), "Not Found")</f>
        <v>0</v>
      </c>
      <c r="AG441" s="15">
        <v>0</v>
      </c>
      <c r="AH441" s="15">
        <v>0</v>
      </c>
      <c r="AI441" s="15">
        <v>0</v>
      </c>
      <c r="AJ441" s="15">
        <v>0</v>
      </c>
      <c r="AK441" s="15">
        <v>0</v>
      </c>
      <c r="AL441" s="15">
        <v>0</v>
      </c>
      <c r="AM441" s="15">
        <v>0</v>
      </c>
      <c r="AO441" t="s">
        <v>1255</v>
      </c>
    </row>
    <row r="442" spans="8:41">
      <c r="H442" t="s">
        <v>965</v>
      </c>
      <c r="I442" t="str">
        <f t="shared" si="7"/>
        <v>schapelle corby</v>
      </c>
      <c r="J442" t="str">
        <v>schapelle corby</v>
      </c>
      <c r="K442" t="str">
        <f>IFERROR(_xlfn.XLOOKUP(TRIM(H442), M:M, N:N, "Not Found"), "Not Found")</f>
        <v>Case Related</v>
      </c>
      <c r="V442" t="s">
        <v>984</v>
      </c>
      <c r="W442" t="s">
        <v>985</v>
      </c>
      <c r="X442">
        <f>Z442</f>
        <v>0</v>
      </c>
      <c r="Z442">
        <f>IFERROR(_xlfn.XLOOKUP(TRIM(V441), M:M, O:O, "Not Found"), "Not Found")</f>
        <v>0</v>
      </c>
      <c r="AG442" s="15">
        <v>0</v>
      </c>
      <c r="AH442" s="15">
        <v>0</v>
      </c>
      <c r="AI442" s="15">
        <v>0</v>
      </c>
      <c r="AJ442" s="15">
        <v>0</v>
      </c>
      <c r="AK442" s="15">
        <v>0</v>
      </c>
      <c r="AL442" s="15">
        <v>0</v>
      </c>
      <c r="AM442" s="15">
        <v>0</v>
      </c>
      <c r="AO442" t="s">
        <v>1255</v>
      </c>
    </row>
    <row r="443" spans="8:41">
      <c r="H443" t="s">
        <v>1028</v>
      </c>
      <c r="I443" t="str">
        <f t="shared" si="7"/>
        <v>corby</v>
      </c>
      <c r="J443" t="str">
        <v>corby</v>
      </c>
      <c r="K443" t="str">
        <f>IFERROR(_xlfn.XLOOKUP(TRIM(H443), M:M, N:N, "Not Found"), "Not Found")</f>
        <v>Familial based</v>
      </c>
      <c r="V443" t="s">
        <v>984</v>
      </c>
      <c r="W443" t="s">
        <v>985</v>
      </c>
      <c r="X443">
        <f>Z443</f>
        <v>0</v>
      </c>
      <c r="Z443">
        <f>IFERROR(_xlfn.XLOOKUP(TRIM(V442), M:M, O:O, "Not Found"), "Not Found")</f>
        <v>0</v>
      </c>
      <c r="AG443" s="15">
        <v>0</v>
      </c>
      <c r="AH443" s="15">
        <v>0</v>
      </c>
      <c r="AI443" s="15">
        <v>0</v>
      </c>
      <c r="AJ443" s="15">
        <v>0</v>
      </c>
      <c r="AK443" s="15">
        <v>0</v>
      </c>
      <c r="AL443" s="15">
        <v>0</v>
      </c>
      <c r="AM443" s="15">
        <v>0</v>
      </c>
      <c r="AO443" t="s">
        <v>1007</v>
      </c>
    </row>
    <row r="444" spans="8:41">
      <c r="H444" t="s">
        <v>965</v>
      </c>
      <c r="I444" t="str">
        <f t="shared" si="7"/>
        <v>schapelle corby</v>
      </c>
      <c r="J444" t="str">
        <v>schapelle corby</v>
      </c>
      <c r="K444" t="str">
        <f>IFERROR(_xlfn.XLOOKUP(TRIM(H444), M:M, N:N, "Not Found"), "Not Found")</f>
        <v>Case Related</v>
      </c>
      <c r="V444" t="s">
        <v>984</v>
      </c>
      <c r="W444" t="s">
        <v>985</v>
      </c>
      <c r="X444">
        <f>Z444</f>
        <v>0</v>
      </c>
      <c r="Z444">
        <f>IFERROR(_xlfn.XLOOKUP(TRIM(V443), M:M, O:O, "Not Found"), "Not Found")</f>
        <v>0</v>
      </c>
      <c r="AG444" s="15">
        <v>0</v>
      </c>
      <c r="AH444" s="15">
        <v>0</v>
      </c>
      <c r="AI444" s="15">
        <v>1</v>
      </c>
      <c r="AJ444" s="15">
        <v>0</v>
      </c>
      <c r="AK444" s="15">
        <v>0</v>
      </c>
      <c r="AL444" s="15">
        <v>0</v>
      </c>
      <c r="AM444" s="15">
        <v>0</v>
      </c>
      <c r="AO444" t="s">
        <v>1255</v>
      </c>
    </row>
    <row r="445" spans="8:41">
      <c r="H445" t="s">
        <v>1027</v>
      </c>
      <c r="I445" t="str">
        <f t="shared" si="7"/>
        <v>mercedes</v>
      </c>
      <c r="J445" t="str">
        <v>mercedes</v>
      </c>
      <c r="K445" t="str">
        <f>IFERROR(_xlfn.XLOOKUP(TRIM(H445), M:M, N:N, "Not Found"), "Not Found")</f>
        <v>Familial based</v>
      </c>
      <c r="V445" t="s">
        <v>984</v>
      </c>
      <c r="W445" t="s">
        <v>985</v>
      </c>
      <c r="X445">
        <f>Z445</f>
        <v>0</v>
      </c>
      <c r="Z445">
        <f>IFERROR(_xlfn.XLOOKUP(TRIM(V444), M:M, O:O, "Not Found"), "Not Found")</f>
        <v>0</v>
      </c>
      <c r="AG445" s="15">
        <v>0</v>
      </c>
      <c r="AH445" s="15">
        <v>0</v>
      </c>
      <c r="AI445" s="15">
        <v>0</v>
      </c>
      <c r="AJ445" s="15">
        <v>0</v>
      </c>
      <c r="AK445" s="15">
        <v>0</v>
      </c>
      <c r="AL445" s="15">
        <v>0</v>
      </c>
      <c r="AM445" s="15">
        <v>0</v>
      </c>
      <c r="AO445" t="s">
        <v>1255</v>
      </c>
    </row>
    <row r="446" spans="8:41">
      <c r="H446" t="s">
        <v>1028</v>
      </c>
      <c r="I446" t="str">
        <f t="shared" si="7"/>
        <v>corby</v>
      </c>
      <c r="J446" t="str">
        <v>corby</v>
      </c>
      <c r="K446" t="str">
        <f>IFERROR(_xlfn.XLOOKUP(TRIM(H446), M:M, N:N, "Not Found"), "Not Found")</f>
        <v>Familial based</v>
      </c>
      <c r="V446" t="s">
        <v>984</v>
      </c>
      <c r="W446" t="s">
        <v>985</v>
      </c>
      <c r="X446">
        <f>Z446</f>
        <v>0</v>
      </c>
      <c r="Z446">
        <f>IFERROR(_xlfn.XLOOKUP(TRIM(V445), M:M, O:O, "Not Found"), "Not Found")</f>
        <v>0</v>
      </c>
      <c r="AG446" s="15">
        <v>0</v>
      </c>
      <c r="AH446" s="15">
        <v>0</v>
      </c>
      <c r="AI446" s="15">
        <v>0</v>
      </c>
      <c r="AJ446" s="15">
        <v>0</v>
      </c>
      <c r="AK446" s="15">
        <v>0</v>
      </c>
      <c r="AL446" s="15">
        <v>0</v>
      </c>
      <c r="AM446" s="15">
        <v>0</v>
      </c>
      <c r="AO446" t="s">
        <v>1255</v>
      </c>
    </row>
    <row r="447" spans="8:41">
      <c r="H447" t="s">
        <v>965</v>
      </c>
      <c r="I447" t="str">
        <f t="shared" si="7"/>
        <v>schapelle corby</v>
      </c>
      <c r="J447" t="str">
        <v>schapelle corby</v>
      </c>
      <c r="K447" t="str">
        <f>IFERROR(_xlfn.XLOOKUP(TRIM(H447), M:M, N:N, "Not Found"), "Not Found")</f>
        <v>Case Related</v>
      </c>
      <c r="V447" t="s">
        <v>984</v>
      </c>
      <c r="W447" t="s">
        <v>985</v>
      </c>
      <c r="X447">
        <f>Z447</f>
        <v>0</v>
      </c>
      <c r="Z447">
        <f>IFERROR(_xlfn.XLOOKUP(TRIM(V446), M:M, O:O, "Not Found"), "Not Found")</f>
        <v>0</v>
      </c>
      <c r="AG447" s="15">
        <v>0</v>
      </c>
      <c r="AH447" s="15">
        <v>0</v>
      </c>
      <c r="AI447" s="15">
        <v>0</v>
      </c>
      <c r="AJ447" s="15">
        <v>0</v>
      </c>
      <c r="AK447" s="15">
        <v>0</v>
      </c>
      <c r="AL447" s="15">
        <v>0</v>
      </c>
      <c r="AM447" s="15">
        <v>0</v>
      </c>
      <c r="AO447" t="s">
        <v>1007</v>
      </c>
    </row>
    <row r="448" spans="8:41">
      <c r="H448" t="s">
        <v>1028</v>
      </c>
      <c r="I448" t="str">
        <f t="shared" si="7"/>
        <v>corby</v>
      </c>
      <c r="J448" t="str">
        <v>corby</v>
      </c>
      <c r="K448" t="str">
        <f>IFERROR(_xlfn.XLOOKUP(TRIM(H448), M:M, N:N, "Not Found"), "Not Found")</f>
        <v>Familial based</v>
      </c>
      <c r="V448" t="s">
        <v>984</v>
      </c>
      <c r="W448" t="s">
        <v>985</v>
      </c>
      <c r="X448">
        <f>Z448</f>
        <v>0</v>
      </c>
      <c r="Z448">
        <f>IFERROR(_xlfn.XLOOKUP(TRIM(V447), M:M, O:O, "Not Found"), "Not Found")</f>
        <v>0</v>
      </c>
      <c r="AG448" s="15">
        <v>0</v>
      </c>
      <c r="AH448" s="15">
        <v>0</v>
      </c>
      <c r="AI448" s="15">
        <v>3</v>
      </c>
      <c r="AJ448" s="15">
        <v>0</v>
      </c>
      <c r="AK448" s="15">
        <v>0</v>
      </c>
      <c r="AL448" s="15">
        <v>0</v>
      </c>
      <c r="AM448" s="15">
        <v>0</v>
      </c>
      <c r="AO448" t="s">
        <v>1270</v>
      </c>
    </row>
    <row r="449" spans="8:41">
      <c r="H449" t="s">
        <v>1060</v>
      </c>
      <c r="I449" t="str">
        <f t="shared" si="7"/>
        <v>innocent</v>
      </c>
      <c r="J449" t="str">
        <v>innocent</v>
      </c>
      <c r="K449" t="str">
        <f>IFERROR(_xlfn.XLOOKUP(TRIM(H449), M:M, N:N, "Not Found"), "Not Found")</f>
        <v>Legality based</v>
      </c>
      <c r="V449" t="s">
        <v>984</v>
      </c>
      <c r="W449" t="s">
        <v>985</v>
      </c>
      <c r="X449">
        <f>Z449</f>
        <v>0</v>
      </c>
      <c r="Z449">
        <f>IFERROR(_xlfn.XLOOKUP(TRIM(V448), M:M, O:O, "Not Found"), "Not Found")</f>
        <v>0</v>
      </c>
      <c r="AG449" s="15">
        <v>0</v>
      </c>
      <c r="AH449" s="15">
        <v>0</v>
      </c>
      <c r="AI449" s="15">
        <v>1</v>
      </c>
      <c r="AJ449" s="15">
        <v>0</v>
      </c>
      <c r="AK449" s="15">
        <v>0</v>
      </c>
      <c r="AL449" s="15">
        <v>0</v>
      </c>
      <c r="AM449" s="15">
        <v>0</v>
      </c>
      <c r="AO449" t="s">
        <v>1290</v>
      </c>
    </row>
    <row r="450" spans="8:41">
      <c r="H450" t="s">
        <v>965</v>
      </c>
      <c r="I450" t="str">
        <f t="shared" si="7"/>
        <v>schapelle corby</v>
      </c>
      <c r="J450" t="str">
        <v>schapelle corby</v>
      </c>
      <c r="K450" t="str">
        <f>IFERROR(_xlfn.XLOOKUP(TRIM(H450), M:M, N:N, "Not Found"), "Not Found")</f>
        <v>Case Related</v>
      </c>
      <c r="V450" t="s">
        <v>984</v>
      </c>
      <c r="W450" t="s">
        <v>985</v>
      </c>
      <c r="X450">
        <f>Z450</f>
        <v>0</v>
      </c>
      <c r="Z450">
        <f>IFERROR(_xlfn.XLOOKUP(TRIM(V449), M:M, O:O, "Not Found"), "Not Found")</f>
        <v>0</v>
      </c>
      <c r="AG450" s="15">
        <v>0</v>
      </c>
      <c r="AH450" s="15">
        <v>0.5</v>
      </c>
      <c r="AI450" s="15">
        <v>2.3333333330000001</v>
      </c>
      <c r="AJ450" s="15">
        <v>0</v>
      </c>
      <c r="AK450" s="15">
        <v>0</v>
      </c>
      <c r="AL450" s="15">
        <v>0</v>
      </c>
      <c r="AM450" s="15">
        <v>0</v>
      </c>
      <c r="AO450" t="s">
        <v>1255</v>
      </c>
    </row>
    <row r="451" spans="8:41">
      <c r="H451" t="s">
        <v>1028</v>
      </c>
      <c r="I451" t="str">
        <f t="shared" si="7"/>
        <v>corby</v>
      </c>
      <c r="J451" t="str">
        <v>corby</v>
      </c>
      <c r="K451" t="str">
        <f>IFERROR(_xlfn.XLOOKUP(TRIM(H451), M:M, N:N, "Not Found"), "Not Found")</f>
        <v>Familial based</v>
      </c>
      <c r="V451" t="s">
        <v>984</v>
      </c>
      <c r="W451" t="s">
        <v>985</v>
      </c>
      <c r="X451">
        <f>Z451</f>
        <v>0</v>
      </c>
      <c r="Z451">
        <f>IFERROR(_xlfn.XLOOKUP(TRIM(V450), M:M, O:O, "Not Found"), "Not Found")</f>
        <v>0</v>
      </c>
      <c r="AG451" s="15">
        <v>0</v>
      </c>
      <c r="AH451" s="15">
        <v>0</v>
      </c>
      <c r="AI451" s="15">
        <v>0</v>
      </c>
      <c r="AJ451" s="15">
        <v>0</v>
      </c>
      <c r="AK451" s="15">
        <v>0</v>
      </c>
      <c r="AL451" s="15">
        <v>0</v>
      </c>
      <c r="AM451" s="15">
        <v>0</v>
      </c>
      <c r="AO451" t="s">
        <v>1255</v>
      </c>
    </row>
    <row r="452" spans="8:41">
      <c r="H452" t="s">
        <v>1244</v>
      </c>
      <c r="I452" t="str">
        <f t="shared" ref="I452:I515" si="8">TRIM(LOWER(H452))</f>
        <v>law</v>
      </c>
      <c r="J452" t="str">
        <v>law</v>
      </c>
      <c r="K452" t="str">
        <f>IFERROR(_xlfn.XLOOKUP(TRIM(H452), M:M, N:N, "Not Found"), "Not Found")</f>
        <v>Not Found</v>
      </c>
      <c r="V452" t="s">
        <v>984</v>
      </c>
      <c r="W452" t="s">
        <v>985</v>
      </c>
      <c r="X452">
        <f>Z452</f>
        <v>0</v>
      </c>
      <c r="Z452">
        <f>IFERROR(_xlfn.XLOOKUP(TRIM(V451), M:M, O:O, "Not Found"), "Not Found")</f>
        <v>0</v>
      </c>
      <c r="AG452" s="15">
        <v>0</v>
      </c>
      <c r="AH452" s="15">
        <v>0</v>
      </c>
      <c r="AI452" s="15">
        <v>0</v>
      </c>
      <c r="AJ452" s="15">
        <v>0</v>
      </c>
      <c r="AK452" s="15">
        <v>0</v>
      </c>
      <c r="AL452" s="15">
        <v>0</v>
      </c>
      <c r="AM452" s="15">
        <v>0</v>
      </c>
      <c r="AO452" t="s">
        <v>1255</v>
      </c>
    </row>
    <row r="453" spans="8:41">
      <c r="H453" t="s">
        <v>965</v>
      </c>
      <c r="I453" t="str">
        <f t="shared" si="8"/>
        <v>schapelle corby</v>
      </c>
      <c r="J453" t="str">
        <v>schapelle corby</v>
      </c>
      <c r="K453" t="str">
        <f>IFERROR(_xlfn.XLOOKUP(TRIM(H453), M:M, N:N, "Not Found"), "Not Found")</f>
        <v>Case Related</v>
      </c>
      <c r="V453" t="s">
        <v>996</v>
      </c>
      <c r="W453" t="s">
        <v>985</v>
      </c>
      <c r="X453">
        <f>Z453</f>
        <v>0</v>
      </c>
      <c r="Z453">
        <f>IFERROR(_xlfn.XLOOKUP(TRIM(V452), M:M, O:O, "Not Found"), "Not Found")</f>
        <v>0</v>
      </c>
      <c r="AG453" s="15">
        <v>0</v>
      </c>
      <c r="AH453" s="15">
        <v>0</v>
      </c>
      <c r="AI453" s="15">
        <v>0</v>
      </c>
      <c r="AJ453" s="15">
        <v>0</v>
      </c>
      <c r="AK453" s="15">
        <v>0</v>
      </c>
      <c r="AL453" s="15">
        <v>0</v>
      </c>
      <c r="AM453" s="15">
        <v>0</v>
      </c>
      <c r="AO453" t="s">
        <v>1255</v>
      </c>
    </row>
    <row r="454" spans="8:41">
      <c r="H454" t="s">
        <v>1028</v>
      </c>
      <c r="I454" t="str">
        <f t="shared" si="8"/>
        <v>corby</v>
      </c>
      <c r="J454" t="str">
        <v>corby</v>
      </c>
      <c r="K454" t="str">
        <f>IFERROR(_xlfn.XLOOKUP(TRIM(H454), M:M, N:N, "Not Found"), "Not Found")</f>
        <v>Familial based</v>
      </c>
      <c r="V454" t="s">
        <v>996</v>
      </c>
      <c r="W454" t="s">
        <v>985</v>
      </c>
      <c r="X454">
        <f>Z454</f>
        <v>0</v>
      </c>
      <c r="Z454">
        <f>IFERROR(_xlfn.XLOOKUP(TRIM(V453), M:M, O:O, "Not Found"), "Not Found")</f>
        <v>0</v>
      </c>
      <c r="AG454" s="15">
        <v>0</v>
      </c>
      <c r="AH454" s="15">
        <v>0</v>
      </c>
      <c r="AI454" s="15">
        <v>0</v>
      </c>
      <c r="AJ454" s="15">
        <v>0</v>
      </c>
      <c r="AK454" s="15">
        <v>0</v>
      </c>
      <c r="AL454" s="15">
        <v>0</v>
      </c>
      <c r="AM454" s="15">
        <v>0</v>
      </c>
      <c r="AO454" t="s">
        <v>966</v>
      </c>
    </row>
    <row r="455" spans="8:41">
      <c r="H455" t="s">
        <v>965</v>
      </c>
      <c r="I455" t="str">
        <f t="shared" si="8"/>
        <v>schapelle corby</v>
      </c>
      <c r="J455" t="str">
        <v>schapelle corby</v>
      </c>
      <c r="K455" t="str">
        <f>IFERROR(_xlfn.XLOOKUP(TRIM(H455), M:M, N:N, "Not Found"), "Not Found")</f>
        <v>Case Related</v>
      </c>
      <c r="V455" t="s">
        <v>996</v>
      </c>
      <c r="W455" t="s">
        <v>985</v>
      </c>
      <c r="X455">
        <f>Z455</f>
        <v>0</v>
      </c>
      <c r="Z455">
        <f>IFERROR(_xlfn.XLOOKUP(TRIM(V454), M:M, O:O, "Not Found"), "Not Found")</f>
        <v>0</v>
      </c>
      <c r="AG455" s="15">
        <v>0</v>
      </c>
      <c r="AH455" s="15">
        <v>0</v>
      </c>
      <c r="AI455" s="15">
        <v>0</v>
      </c>
      <c r="AJ455" s="15">
        <v>0</v>
      </c>
      <c r="AK455" s="15">
        <v>0</v>
      </c>
      <c r="AL455" s="15">
        <v>0</v>
      </c>
      <c r="AM455" s="15">
        <v>0</v>
      </c>
      <c r="AO455" t="s">
        <v>1269</v>
      </c>
    </row>
    <row r="456" spans="8:41">
      <c r="H456" t="s">
        <v>1028</v>
      </c>
      <c r="I456" t="str">
        <f t="shared" si="8"/>
        <v>corby</v>
      </c>
      <c r="J456" t="str">
        <v>corby</v>
      </c>
      <c r="K456" t="str">
        <f>IFERROR(_xlfn.XLOOKUP(TRIM(H456), M:M, N:N, "Not Found"), "Not Found")</f>
        <v>Familial based</v>
      </c>
      <c r="V456" t="s">
        <v>996</v>
      </c>
      <c r="W456" t="s">
        <v>985</v>
      </c>
      <c r="X456">
        <f>Z456</f>
        <v>0</v>
      </c>
      <c r="Z456">
        <f>IFERROR(_xlfn.XLOOKUP(TRIM(V455), M:M, O:O, "Not Found"), "Not Found")</f>
        <v>0</v>
      </c>
      <c r="AG456" s="15">
        <v>0</v>
      </c>
      <c r="AH456" s="15">
        <v>0</v>
      </c>
      <c r="AI456" s="15">
        <v>0</v>
      </c>
      <c r="AJ456" s="15">
        <v>0</v>
      </c>
      <c r="AK456" s="15">
        <v>0</v>
      </c>
      <c r="AL456" s="15">
        <v>0</v>
      </c>
      <c r="AM456" s="15">
        <v>0</v>
      </c>
      <c r="AO456" t="s">
        <v>1256</v>
      </c>
    </row>
    <row r="457" spans="8:41">
      <c r="H457" t="s">
        <v>965</v>
      </c>
      <c r="I457" t="str">
        <f t="shared" si="8"/>
        <v>schapelle corby</v>
      </c>
      <c r="J457" t="str">
        <v>schapelle corby</v>
      </c>
      <c r="K457" t="str">
        <f>IFERROR(_xlfn.XLOOKUP(TRIM(H457), M:M, N:N, "Not Found"), "Not Found")</f>
        <v>Case Related</v>
      </c>
      <c r="V457" t="s">
        <v>996</v>
      </c>
      <c r="W457" t="s">
        <v>985</v>
      </c>
      <c r="X457">
        <f>Z457</f>
        <v>0</v>
      </c>
      <c r="Z457">
        <f>IFERROR(_xlfn.XLOOKUP(TRIM(V456), M:M, O:O, "Not Found"), "Not Found")</f>
        <v>0</v>
      </c>
      <c r="AG457" s="15">
        <v>0</v>
      </c>
      <c r="AH457" s="15">
        <v>0</v>
      </c>
      <c r="AI457" s="15">
        <v>1</v>
      </c>
      <c r="AJ457" s="15">
        <v>0</v>
      </c>
      <c r="AK457" s="15">
        <v>0</v>
      </c>
      <c r="AL457" s="15">
        <v>0</v>
      </c>
      <c r="AM457" s="15">
        <v>0</v>
      </c>
      <c r="AO457" t="s">
        <v>1255</v>
      </c>
    </row>
    <row r="458" spans="8:41">
      <c r="H458" t="s">
        <v>996</v>
      </c>
      <c r="I458" t="str">
        <f t="shared" si="8"/>
        <v>jail</v>
      </c>
      <c r="J458" t="str">
        <v>jail</v>
      </c>
      <c r="K458" t="str">
        <f>IFERROR(_xlfn.XLOOKUP(TRIM(H458), M:M, N:N, "Not Found"), "Not Found")</f>
        <v>Crime based</v>
      </c>
      <c r="V458" t="s">
        <v>996</v>
      </c>
      <c r="W458" t="s">
        <v>985</v>
      </c>
      <c r="X458">
        <f>Z458</f>
        <v>0</v>
      </c>
      <c r="Z458">
        <f>IFERROR(_xlfn.XLOOKUP(TRIM(V457), M:M, O:O, "Not Found"), "Not Found")</f>
        <v>0</v>
      </c>
      <c r="AG458" s="15">
        <v>0</v>
      </c>
      <c r="AH458" s="15">
        <v>0</v>
      </c>
      <c r="AI458" s="15">
        <v>0</v>
      </c>
      <c r="AJ458" s="15">
        <v>0</v>
      </c>
      <c r="AK458" s="15">
        <v>0</v>
      </c>
      <c r="AL458" s="15">
        <v>0</v>
      </c>
      <c r="AM458" s="15">
        <v>0</v>
      </c>
      <c r="AO458" t="s">
        <v>1255</v>
      </c>
    </row>
    <row r="459" spans="8:41">
      <c r="H459" t="s">
        <v>1028</v>
      </c>
      <c r="I459" t="str">
        <f t="shared" si="8"/>
        <v>corby</v>
      </c>
      <c r="J459" t="str">
        <v>corby</v>
      </c>
      <c r="K459" t="str">
        <f>IFERROR(_xlfn.XLOOKUP(TRIM(H459), M:M, N:N, "Not Found"), "Not Found")</f>
        <v>Familial based</v>
      </c>
      <c r="V459" t="s">
        <v>1248</v>
      </c>
      <c r="W459" t="s">
        <v>1108</v>
      </c>
      <c r="X459">
        <f>Z459</f>
        <v>0</v>
      </c>
      <c r="Z459">
        <f>IFERROR(_xlfn.XLOOKUP(TRIM(V458), M:M, O:O, "Not Found"), "Not Found")</f>
        <v>0</v>
      </c>
      <c r="AG459" s="15">
        <v>0</v>
      </c>
      <c r="AH459" s="15">
        <v>0</v>
      </c>
      <c r="AI459" s="15">
        <v>0</v>
      </c>
      <c r="AJ459" s="15">
        <v>0</v>
      </c>
      <c r="AK459" s="15">
        <v>0</v>
      </c>
      <c r="AL459" s="15">
        <v>0</v>
      </c>
      <c r="AM459" s="15">
        <v>0</v>
      </c>
      <c r="AO459" t="s">
        <v>1255</v>
      </c>
    </row>
    <row r="460" spans="8:41">
      <c r="H460" t="s">
        <v>1061</v>
      </c>
      <c r="I460" t="str">
        <f t="shared" si="8"/>
        <v>sentenced</v>
      </c>
      <c r="J460" t="str">
        <v>sentenced</v>
      </c>
      <c r="K460" t="str">
        <f>IFERROR(_xlfn.XLOOKUP(TRIM(H460), M:M, N:N, "Not Found"), "Not Found")</f>
        <v>Legality based</v>
      </c>
      <c r="V460" t="s">
        <v>1248</v>
      </c>
      <c r="W460" t="s">
        <v>1108</v>
      </c>
      <c r="X460">
        <v>0</v>
      </c>
      <c r="Z460" t="str">
        <f>IFERROR(_xlfn.XLOOKUP(TRIM(V459), M:M, O:O, "Not Found"), "Not Found")</f>
        <v>Not Found</v>
      </c>
      <c r="AG460" s="15">
        <v>0</v>
      </c>
      <c r="AH460" s="15">
        <v>0</v>
      </c>
      <c r="AI460" s="15">
        <v>0</v>
      </c>
      <c r="AJ460" s="15">
        <v>0</v>
      </c>
      <c r="AK460" s="15">
        <v>0</v>
      </c>
      <c r="AL460" s="15">
        <v>0</v>
      </c>
      <c r="AM460" s="15">
        <v>0</v>
      </c>
      <c r="AO460" t="s">
        <v>985</v>
      </c>
    </row>
    <row r="461" spans="8:41">
      <c r="H461" t="s">
        <v>1020</v>
      </c>
      <c r="I461" t="str">
        <f t="shared" si="8"/>
        <v>af</v>
      </c>
      <c r="J461" t="str">
        <v>af</v>
      </c>
      <c r="K461" t="str">
        <f>IFERROR(_xlfn.XLOOKUP(TRIM(H461), M:M, N:N, "Not Found"), "Not Found")</f>
        <v>Intelligence based</v>
      </c>
      <c r="V461" t="s">
        <v>1248</v>
      </c>
      <c r="W461" t="s">
        <v>1108</v>
      </c>
      <c r="X461">
        <v>0</v>
      </c>
      <c r="Z461" t="str">
        <f>IFERROR(_xlfn.XLOOKUP(TRIM(V460), M:M, O:O, "Not Found"), "Not Found")</f>
        <v>Not Found</v>
      </c>
      <c r="AG461" s="15">
        <v>0</v>
      </c>
      <c r="AH461" s="15">
        <v>0</v>
      </c>
      <c r="AI461" s="15">
        <v>0</v>
      </c>
      <c r="AJ461" s="15">
        <v>0</v>
      </c>
      <c r="AK461" s="15">
        <v>0</v>
      </c>
      <c r="AL461" s="15">
        <v>0</v>
      </c>
      <c r="AM461" s="15">
        <v>0</v>
      </c>
      <c r="AO461" t="s">
        <v>1058</v>
      </c>
    </row>
    <row r="462" spans="8:41">
      <c r="H462" t="s">
        <v>970</v>
      </c>
      <c r="I462" t="str">
        <f t="shared" si="8"/>
        <v>australian</v>
      </c>
      <c r="J462" t="str">
        <v>australian</v>
      </c>
      <c r="K462" t="str">
        <f>IFERROR(_xlfn.XLOOKUP(TRIM(H462), M:M, N:N, "Not Found"), "Not Found")</f>
        <v>Case Related</v>
      </c>
      <c r="V462" t="s">
        <v>1248</v>
      </c>
      <c r="W462" t="s">
        <v>1108</v>
      </c>
      <c r="X462">
        <v>0</v>
      </c>
      <c r="Z462" t="str">
        <f>IFERROR(_xlfn.XLOOKUP(TRIM(V461), M:M, O:O, "Not Found"), "Not Found")</f>
        <v>Not Found</v>
      </c>
      <c r="AG462" s="15">
        <v>0</v>
      </c>
      <c r="AH462" s="15">
        <v>0</v>
      </c>
      <c r="AI462" s="15">
        <v>0</v>
      </c>
      <c r="AJ462" s="15">
        <v>0</v>
      </c>
      <c r="AK462" s="15">
        <v>0</v>
      </c>
      <c r="AL462" s="15">
        <v>0</v>
      </c>
      <c r="AM462" s="15">
        <v>0</v>
      </c>
      <c r="AO462" t="s">
        <v>985</v>
      </c>
    </row>
    <row r="463" spans="8:41">
      <c r="H463" t="s">
        <v>983</v>
      </c>
      <c r="I463" t="str">
        <f t="shared" si="8"/>
        <v>australia</v>
      </c>
      <c r="J463" t="str">
        <v>australia</v>
      </c>
      <c r="K463" t="str">
        <f>IFERROR(_xlfn.XLOOKUP(TRIM(H463), M:M, N:N, "Not Found"), "Not Found")</f>
        <v>Case Related</v>
      </c>
      <c r="V463" t="s">
        <v>1248</v>
      </c>
      <c r="W463" t="s">
        <v>1108</v>
      </c>
      <c r="X463">
        <v>0</v>
      </c>
      <c r="Z463" t="str">
        <f>IFERROR(_xlfn.XLOOKUP(TRIM(V462), M:M, O:O, "Not Found"), "Not Found")</f>
        <v>Not Found</v>
      </c>
      <c r="AG463" s="15">
        <v>0</v>
      </c>
      <c r="AH463" s="15">
        <v>0</v>
      </c>
      <c r="AI463" s="15">
        <v>0</v>
      </c>
      <c r="AJ463" s="15">
        <v>0</v>
      </c>
      <c r="AK463" s="15">
        <v>0</v>
      </c>
      <c r="AL463" s="15">
        <v>0</v>
      </c>
      <c r="AM463" s="15">
        <v>0</v>
      </c>
      <c r="AO463" t="s">
        <v>1255</v>
      </c>
    </row>
    <row r="464" spans="8:41">
      <c r="H464" t="s">
        <v>1020</v>
      </c>
      <c r="I464" t="str">
        <f t="shared" si="8"/>
        <v>af</v>
      </c>
      <c r="J464" t="str">
        <v>af</v>
      </c>
      <c r="K464" t="str">
        <f>IFERROR(_xlfn.XLOOKUP(TRIM(H464), M:M, N:N, "Not Found"), "Not Found")</f>
        <v>Intelligence based</v>
      </c>
      <c r="V464" t="s">
        <v>1248</v>
      </c>
      <c r="W464" t="s">
        <v>1108</v>
      </c>
      <c r="X464">
        <v>0</v>
      </c>
      <c r="Z464" t="str">
        <f>IFERROR(_xlfn.XLOOKUP(TRIM(V463), M:M, O:O, "Not Found"), "Not Found")</f>
        <v>Not Found</v>
      </c>
      <c r="AG464" s="15">
        <v>0</v>
      </c>
      <c r="AH464" s="15">
        <v>0</v>
      </c>
      <c r="AI464" s="15">
        <v>0</v>
      </c>
      <c r="AJ464" s="15">
        <v>0</v>
      </c>
      <c r="AK464" s="15">
        <v>0</v>
      </c>
      <c r="AL464" s="15">
        <v>0</v>
      </c>
      <c r="AM464" s="15">
        <v>0</v>
      </c>
      <c r="AO464" t="s">
        <v>1058</v>
      </c>
    </row>
    <row r="465" spans="8:41">
      <c r="H465" t="s">
        <v>1043</v>
      </c>
      <c r="I465" t="str">
        <f t="shared" si="8"/>
        <v>afp</v>
      </c>
      <c r="J465" t="str">
        <v>AFP</v>
      </c>
      <c r="K465" t="str">
        <f>IFERROR(_xlfn.XLOOKUP(TRIM(H465), M:M, N:N, "Not Found"), "Not Found")</f>
        <v>Authority based</v>
      </c>
      <c r="V465" t="s">
        <v>1248</v>
      </c>
      <c r="W465" t="s">
        <v>1108</v>
      </c>
      <c r="X465">
        <v>0</v>
      </c>
      <c r="Z465" t="str">
        <f>IFERROR(_xlfn.XLOOKUP(TRIM(V464), M:M, O:O, "Not Found"), "Not Found")</f>
        <v>Not Found</v>
      </c>
      <c r="AG465" s="15">
        <v>0</v>
      </c>
      <c r="AH465" s="15">
        <v>0</v>
      </c>
      <c r="AI465" s="15">
        <v>0</v>
      </c>
      <c r="AJ465" s="15">
        <v>0</v>
      </c>
      <c r="AK465" s="15">
        <v>0</v>
      </c>
      <c r="AL465" s="15">
        <v>0</v>
      </c>
      <c r="AM465" s="15">
        <v>0</v>
      </c>
      <c r="AO465" t="s">
        <v>1296</v>
      </c>
    </row>
    <row r="466" spans="8:41">
      <c r="H466" t="s">
        <v>1057</v>
      </c>
      <c r="I466" t="str">
        <f t="shared" si="8"/>
        <v>guilty</v>
      </c>
      <c r="J466" t="str">
        <v>guilty</v>
      </c>
      <c r="K466" t="str">
        <f>IFERROR(_xlfn.XLOOKUP(TRIM(H466), M:M, N:N, "Not Found"), "Not Found")</f>
        <v>Legality based</v>
      </c>
      <c r="V466" t="s">
        <v>1248</v>
      </c>
      <c r="W466" t="s">
        <v>1108</v>
      </c>
      <c r="X466">
        <v>0</v>
      </c>
      <c r="Z466" t="str">
        <f>IFERROR(_xlfn.XLOOKUP(TRIM(V465), M:M, O:O, "Not Found"), "Not Found")</f>
        <v>Not Found</v>
      </c>
      <c r="AG466" s="15">
        <v>0</v>
      </c>
      <c r="AH466" s="15">
        <v>0</v>
      </c>
      <c r="AI466" s="15">
        <v>0</v>
      </c>
      <c r="AJ466" s="15">
        <v>0</v>
      </c>
      <c r="AK466" s="15">
        <v>0</v>
      </c>
      <c r="AL466" s="15">
        <v>0</v>
      </c>
      <c r="AM466" s="15">
        <v>0</v>
      </c>
      <c r="AO466" t="s">
        <v>1255</v>
      </c>
    </row>
    <row r="467" spans="8:41">
      <c r="H467" t="s">
        <v>983</v>
      </c>
      <c r="I467" t="str">
        <f t="shared" si="8"/>
        <v>australia</v>
      </c>
      <c r="J467" t="str">
        <v>australia</v>
      </c>
      <c r="K467" t="str">
        <f>IFERROR(_xlfn.XLOOKUP(TRIM(H467), M:M, N:N, "Not Found"), "Not Found")</f>
        <v>Case Related</v>
      </c>
      <c r="V467" t="s">
        <v>1248</v>
      </c>
      <c r="W467" t="s">
        <v>1108</v>
      </c>
      <c r="X467">
        <v>0</v>
      </c>
      <c r="Z467" t="str">
        <f>IFERROR(_xlfn.XLOOKUP(TRIM(V466), M:M, O:O, "Not Found"), "Not Found")</f>
        <v>Not Found</v>
      </c>
      <c r="AG467" s="15">
        <v>0</v>
      </c>
      <c r="AH467" s="15">
        <v>0</v>
      </c>
      <c r="AI467" s="15">
        <v>0</v>
      </c>
      <c r="AJ467" s="15">
        <v>0</v>
      </c>
      <c r="AK467" s="15">
        <v>0</v>
      </c>
      <c r="AL467" s="15">
        <v>0</v>
      </c>
      <c r="AM467" s="15">
        <v>0</v>
      </c>
      <c r="AO467" t="s">
        <v>1255</v>
      </c>
    </row>
    <row r="468" spans="8:41">
      <c r="H468" t="s">
        <v>1020</v>
      </c>
      <c r="I468" t="str">
        <f t="shared" si="8"/>
        <v>af</v>
      </c>
      <c r="J468" t="str">
        <v>af</v>
      </c>
      <c r="K468" t="str">
        <f>IFERROR(_xlfn.XLOOKUP(TRIM(H468), M:M, N:N, "Not Found"), "Not Found")</f>
        <v>Intelligence based</v>
      </c>
      <c r="V468" t="s">
        <v>1248</v>
      </c>
      <c r="W468" t="s">
        <v>1108</v>
      </c>
      <c r="X468">
        <v>0</v>
      </c>
      <c r="Z468" t="str">
        <f>IFERROR(_xlfn.XLOOKUP(TRIM(V467), M:M, O:O, "Not Found"), "Not Found")</f>
        <v>Not Found</v>
      </c>
      <c r="AG468" s="15">
        <v>0</v>
      </c>
      <c r="AH468" s="15">
        <v>0</v>
      </c>
      <c r="AI468" s="15">
        <v>0</v>
      </c>
      <c r="AJ468" s="15">
        <v>0</v>
      </c>
      <c r="AK468" s="15">
        <v>0</v>
      </c>
      <c r="AL468" s="15">
        <v>0</v>
      </c>
      <c r="AM468" s="15">
        <v>0</v>
      </c>
      <c r="AO468" t="s">
        <v>1255</v>
      </c>
    </row>
    <row r="469" spans="8:41">
      <c r="H469" t="s">
        <v>1043</v>
      </c>
      <c r="I469" t="str">
        <f t="shared" si="8"/>
        <v>afp</v>
      </c>
      <c r="J469" t="str">
        <v>AFP</v>
      </c>
      <c r="K469" t="str">
        <f>IFERROR(_xlfn.XLOOKUP(TRIM(H469), M:M, N:N, "Not Found"), "Not Found")</f>
        <v>Authority based</v>
      </c>
      <c r="V469" t="s">
        <v>1248</v>
      </c>
      <c r="W469" t="s">
        <v>1108</v>
      </c>
      <c r="X469">
        <v>0</v>
      </c>
      <c r="Z469" t="str">
        <f>IFERROR(_xlfn.XLOOKUP(TRIM(V468), M:M, O:O, "Not Found"), "Not Found")</f>
        <v>Not Found</v>
      </c>
      <c r="AG469" s="15">
        <v>0</v>
      </c>
      <c r="AH469" s="15">
        <v>0</v>
      </c>
      <c r="AI469" s="15">
        <v>0</v>
      </c>
      <c r="AJ469" s="15">
        <v>0</v>
      </c>
      <c r="AK469" s="15">
        <v>0</v>
      </c>
      <c r="AL469" s="15">
        <v>0</v>
      </c>
      <c r="AM469" s="15">
        <v>0</v>
      </c>
      <c r="AO469" t="s">
        <v>1007</v>
      </c>
    </row>
    <row r="470" spans="8:41">
      <c r="H470" t="s">
        <v>1057</v>
      </c>
      <c r="I470" t="str">
        <f t="shared" si="8"/>
        <v>guilty</v>
      </c>
      <c r="J470" t="str">
        <v>guilty</v>
      </c>
      <c r="K470" t="str">
        <f>IFERROR(_xlfn.XLOOKUP(TRIM(H470), M:M, N:N, "Not Found"), "Not Found")</f>
        <v>Legality based</v>
      </c>
      <c r="V470" t="s">
        <v>1248</v>
      </c>
      <c r="W470" t="s">
        <v>1108</v>
      </c>
      <c r="X470">
        <v>0</v>
      </c>
      <c r="Z470" t="str">
        <f>IFERROR(_xlfn.XLOOKUP(TRIM(V469), M:M, O:O, "Not Found"), "Not Found")</f>
        <v>Not Found</v>
      </c>
      <c r="AG470" s="15">
        <v>0</v>
      </c>
      <c r="AH470" s="15">
        <v>0</v>
      </c>
      <c r="AI470" s="15">
        <v>1</v>
      </c>
      <c r="AJ470" s="15">
        <v>0</v>
      </c>
      <c r="AK470" s="15">
        <v>0</v>
      </c>
      <c r="AL470" s="15">
        <v>0</v>
      </c>
      <c r="AM470" s="15">
        <v>0</v>
      </c>
      <c r="AO470" t="s">
        <v>1255</v>
      </c>
    </row>
    <row r="471" spans="8:41">
      <c r="H471" t="s">
        <v>989</v>
      </c>
      <c r="I471" t="str">
        <f t="shared" si="8"/>
        <v>criminal</v>
      </c>
      <c r="J471" t="str">
        <v>criminal</v>
      </c>
      <c r="K471" t="str">
        <f>IFERROR(_xlfn.XLOOKUP(TRIM(H471), M:M, N:N, "Not Found"), "Not Found")</f>
        <v>Crime based</v>
      </c>
      <c r="V471" t="s">
        <v>998</v>
      </c>
      <c r="W471" t="s">
        <v>985</v>
      </c>
      <c r="X471">
        <v>0</v>
      </c>
      <c r="Z471" t="str">
        <f>IFERROR(_xlfn.XLOOKUP(TRIM(V470), M:M, O:O, "Not Found"), "Not Found")</f>
        <v>Not Found</v>
      </c>
      <c r="AG471" s="15">
        <v>0</v>
      </c>
      <c r="AH471" s="15">
        <v>0</v>
      </c>
      <c r="AI471" s="15">
        <v>0</v>
      </c>
      <c r="AJ471" s="15">
        <v>0</v>
      </c>
      <c r="AK471" s="15">
        <v>0</v>
      </c>
      <c r="AL471" s="15">
        <v>0</v>
      </c>
      <c r="AM471" s="15">
        <v>0</v>
      </c>
      <c r="AO471" t="s">
        <v>1255</v>
      </c>
    </row>
    <row r="472" spans="8:41">
      <c r="H472" t="s">
        <v>1020</v>
      </c>
      <c r="I472" t="str">
        <f t="shared" si="8"/>
        <v>af</v>
      </c>
      <c r="J472" t="str">
        <v>af</v>
      </c>
      <c r="K472" t="str">
        <f>IFERROR(_xlfn.XLOOKUP(TRIM(H472), M:M, N:N, "Not Found"), "Not Found")</f>
        <v>Intelligence based</v>
      </c>
      <c r="V472" t="s">
        <v>998</v>
      </c>
      <c r="W472" t="s">
        <v>985</v>
      </c>
      <c r="X472">
        <f>Z472</f>
        <v>0</v>
      </c>
      <c r="Z472">
        <f>IFERROR(_xlfn.XLOOKUP(TRIM(V471), M:M, O:O, "Not Found"), "Not Found")</f>
        <v>0</v>
      </c>
      <c r="AG472" s="15">
        <v>0</v>
      </c>
      <c r="AH472" s="15">
        <v>0</v>
      </c>
      <c r="AI472" s="15">
        <v>0</v>
      </c>
      <c r="AJ472" s="15">
        <v>0</v>
      </c>
      <c r="AK472" s="15">
        <v>0</v>
      </c>
      <c r="AL472" s="15">
        <v>0</v>
      </c>
      <c r="AM472" s="15">
        <v>0</v>
      </c>
      <c r="AO472" t="s">
        <v>1255</v>
      </c>
    </row>
    <row r="473" spans="8:41">
      <c r="H473" t="s">
        <v>1043</v>
      </c>
      <c r="I473" t="str">
        <f t="shared" si="8"/>
        <v>afp</v>
      </c>
      <c r="J473" t="str">
        <v>AFP</v>
      </c>
      <c r="K473" t="str">
        <f>IFERROR(_xlfn.XLOOKUP(TRIM(H473), M:M, N:N, "Not Found"), "Not Found")</f>
        <v>Authority based</v>
      </c>
      <c r="V473" t="s">
        <v>998</v>
      </c>
      <c r="W473" t="s">
        <v>985</v>
      </c>
      <c r="X473">
        <f>Z473</f>
        <v>0</v>
      </c>
      <c r="Z473">
        <f>IFERROR(_xlfn.XLOOKUP(TRIM(V472), M:M, O:O, "Not Found"), "Not Found")</f>
        <v>0</v>
      </c>
      <c r="AG473" s="15">
        <v>0</v>
      </c>
      <c r="AH473" s="15">
        <v>0</v>
      </c>
      <c r="AI473" s="15">
        <v>0</v>
      </c>
      <c r="AJ473" s="15">
        <v>0</v>
      </c>
      <c r="AK473" s="15">
        <v>0</v>
      </c>
      <c r="AL473" s="15">
        <v>0</v>
      </c>
      <c r="AM473" s="15">
        <v>0</v>
      </c>
      <c r="AO473" t="s">
        <v>1255</v>
      </c>
    </row>
    <row r="474" spans="8:41">
      <c r="H474" t="s">
        <v>1064</v>
      </c>
      <c r="I474" t="str">
        <f t="shared" si="8"/>
        <v>arrested</v>
      </c>
      <c r="J474" t="str">
        <v>arrested</v>
      </c>
      <c r="K474" t="str">
        <f>IFERROR(_xlfn.XLOOKUP(TRIM(H474), M:M, N:N, "Not Found"), "Not Found")</f>
        <v>Legality based</v>
      </c>
      <c r="V474" t="s">
        <v>993</v>
      </c>
      <c r="W474" t="s">
        <v>985</v>
      </c>
      <c r="X474">
        <f>Z474</f>
        <v>0</v>
      </c>
      <c r="Z474">
        <f>IFERROR(_xlfn.XLOOKUP(TRIM(V473), M:M, O:O, "Not Found"), "Not Found")</f>
        <v>0</v>
      </c>
      <c r="AG474" s="15">
        <v>0</v>
      </c>
      <c r="AH474" s="15">
        <v>0</v>
      </c>
      <c r="AI474" s="15">
        <v>0</v>
      </c>
      <c r="AJ474" s="15">
        <v>0</v>
      </c>
      <c r="AK474" s="15">
        <v>0</v>
      </c>
      <c r="AL474" s="15">
        <v>0</v>
      </c>
      <c r="AM474" s="15">
        <v>0</v>
      </c>
      <c r="AO474" t="s">
        <v>1255</v>
      </c>
    </row>
    <row r="475" spans="8:41">
      <c r="H475" t="s">
        <v>983</v>
      </c>
      <c r="I475" t="str">
        <f t="shared" si="8"/>
        <v>australia</v>
      </c>
      <c r="J475" t="str">
        <v>australia</v>
      </c>
      <c r="K475" t="str">
        <f>IFERROR(_xlfn.XLOOKUP(TRIM(H475), M:M, N:N, "Not Found"), "Not Found")</f>
        <v>Case Related</v>
      </c>
      <c r="V475" t="s">
        <v>993</v>
      </c>
      <c r="W475" t="s">
        <v>985</v>
      </c>
      <c r="X475">
        <f>Z475</f>
        <v>0</v>
      </c>
      <c r="Z475">
        <f>IFERROR(_xlfn.XLOOKUP(TRIM(V474), M:M, O:O, "Not Found"), "Not Found")</f>
        <v>0</v>
      </c>
      <c r="AG475" s="15">
        <v>0</v>
      </c>
      <c r="AH475" s="15">
        <v>0</v>
      </c>
      <c r="AI475" s="15">
        <v>0</v>
      </c>
      <c r="AJ475" s="15">
        <v>0</v>
      </c>
      <c r="AK475" s="15">
        <v>0</v>
      </c>
      <c r="AL475" s="15">
        <v>0</v>
      </c>
      <c r="AM475" s="15">
        <v>0</v>
      </c>
      <c r="AO475" t="s">
        <v>1255</v>
      </c>
    </row>
    <row r="476" spans="8:41">
      <c r="H476" t="s">
        <v>1020</v>
      </c>
      <c r="I476" t="str">
        <f t="shared" si="8"/>
        <v>af</v>
      </c>
      <c r="J476" t="str">
        <v>af</v>
      </c>
      <c r="K476" t="str">
        <f>IFERROR(_xlfn.XLOOKUP(TRIM(H476), M:M, N:N, "Not Found"), "Not Found")</f>
        <v>Intelligence based</v>
      </c>
      <c r="V476" t="s">
        <v>1001</v>
      </c>
      <c r="W476" t="s">
        <v>985</v>
      </c>
      <c r="X476">
        <f>Z476</f>
        <v>0</v>
      </c>
      <c r="Z476">
        <f>IFERROR(_xlfn.XLOOKUP(TRIM(V475), M:M, O:O, "Not Found"), "Not Found")</f>
        <v>0</v>
      </c>
      <c r="AG476" s="15">
        <v>0</v>
      </c>
      <c r="AH476" s="15">
        <v>0</v>
      </c>
      <c r="AI476" s="15">
        <v>0</v>
      </c>
      <c r="AJ476" s="15">
        <v>0</v>
      </c>
      <c r="AK476" s="15">
        <v>0</v>
      </c>
      <c r="AL476" s="15">
        <v>0</v>
      </c>
      <c r="AM476" s="15">
        <v>0</v>
      </c>
      <c r="AO476" t="s">
        <v>1255</v>
      </c>
    </row>
    <row r="477" spans="8:41">
      <c r="H477" t="s">
        <v>1043</v>
      </c>
      <c r="I477" t="str">
        <f t="shared" si="8"/>
        <v>afp</v>
      </c>
      <c r="J477" t="str">
        <v>AFP</v>
      </c>
      <c r="K477" t="str">
        <f>IFERROR(_xlfn.XLOOKUP(TRIM(H477), M:M, N:N, "Not Found"), "Not Found")</f>
        <v>Authority based</v>
      </c>
      <c r="V477" t="s">
        <v>1001</v>
      </c>
      <c r="W477" t="s">
        <v>985</v>
      </c>
      <c r="X477">
        <f>Z477</f>
        <v>0</v>
      </c>
      <c r="Z477">
        <f>IFERROR(_xlfn.XLOOKUP(TRIM(V476), M:M, O:O, "Not Found"), "Not Found")</f>
        <v>0</v>
      </c>
      <c r="AG477" s="15">
        <v>0</v>
      </c>
      <c r="AH477" s="15">
        <v>0</v>
      </c>
      <c r="AI477" s="15">
        <v>0</v>
      </c>
      <c r="AJ477" s="15">
        <v>0</v>
      </c>
      <c r="AK477" s="15">
        <v>0</v>
      </c>
      <c r="AL477" s="15">
        <v>0</v>
      </c>
      <c r="AM477" s="15">
        <v>0</v>
      </c>
      <c r="AO477" t="s">
        <v>1255</v>
      </c>
    </row>
    <row r="478" spans="8:41">
      <c r="H478" t="s">
        <v>992</v>
      </c>
      <c r="I478" t="str">
        <f t="shared" si="8"/>
        <v>drug smuggler</v>
      </c>
      <c r="J478" t="str">
        <v>drug smuggler</v>
      </c>
      <c r="K478" t="str">
        <f>IFERROR(_xlfn.XLOOKUP(TRIM(H478), M:M, N:N, "Not Found"), "Not Found")</f>
        <v>Crime based</v>
      </c>
      <c r="V478" t="s">
        <v>1001</v>
      </c>
      <c r="W478" t="s">
        <v>985</v>
      </c>
      <c r="X478">
        <f>Z478</f>
        <v>0</v>
      </c>
      <c r="Z478">
        <f>IFERROR(_xlfn.XLOOKUP(TRIM(V477), M:M, O:O, "Not Found"), "Not Found")</f>
        <v>0</v>
      </c>
      <c r="AG478" s="15">
        <v>0</v>
      </c>
      <c r="AH478" s="15">
        <v>0</v>
      </c>
      <c r="AI478" s="15">
        <v>0</v>
      </c>
      <c r="AJ478" s="15">
        <v>0</v>
      </c>
      <c r="AK478" s="15">
        <v>0</v>
      </c>
      <c r="AL478" s="15">
        <v>0</v>
      </c>
      <c r="AM478" s="15">
        <v>0</v>
      </c>
      <c r="AO478" t="s">
        <v>1255</v>
      </c>
    </row>
    <row r="479" spans="8:41">
      <c r="H479" t="s">
        <v>1057</v>
      </c>
      <c r="I479" t="str">
        <f t="shared" si="8"/>
        <v>guilty</v>
      </c>
      <c r="J479" t="str">
        <v>guilty</v>
      </c>
      <c r="K479" t="str">
        <f>IFERROR(_xlfn.XLOOKUP(TRIM(H479), M:M, N:N, "Not Found"), "Not Found")</f>
        <v>Legality based</v>
      </c>
      <c r="V479" t="s">
        <v>999</v>
      </c>
      <c r="W479" t="s">
        <v>985</v>
      </c>
      <c r="X479">
        <f>Z479</f>
        <v>0</v>
      </c>
      <c r="Z479">
        <f>IFERROR(_xlfn.XLOOKUP(TRIM(V478), M:M, O:O, "Not Found"), "Not Found")</f>
        <v>0</v>
      </c>
      <c r="AG479" s="15">
        <v>0</v>
      </c>
      <c r="AH479" s="15">
        <v>0</v>
      </c>
      <c r="AI479" s="15">
        <v>0</v>
      </c>
      <c r="AJ479" s="15">
        <v>0</v>
      </c>
      <c r="AK479" s="15">
        <v>0</v>
      </c>
      <c r="AL479" s="15">
        <v>0</v>
      </c>
      <c r="AM479" s="15">
        <v>0</v>
      </c>
      <c r="AO479" t="s">
        <v>1007</v>
      </c>
    </row>
    <row r="480" spans="8:41">
      <c r="H480" t="s">
        <v>1057</v>
      </c>
      <c r="I480" t="str">
        <f t="shared" si="8"/>
        <v>guilty</v>
      </c>
      <c r="J480" t="str">
        <v>guilty</v>
      </c>
      <c r="K480" t="str">
        <f>IFERROR(_xlfn.XLOOKUP(TRIM(H480), M:M, N:N, "Not Found"), "Not Found")</f>
        <v>Legality based</v>
      </c>
      <c r="V480" t="s">
        <v>999</v>
      </c>
      <c r="W480" t="s">
        <v>985</v>
      </c>
      <c r="X480">
        <f>Z480</f>
        <v>0</v>
      </c>
      <c r="Z480">
        <f>IFERROR(_xlfn.XLOOKUP(TRIM(V479), M:M, O:O, "Not Found"), "Not Found")</f>
        <v>0</v>
      </c>
      <c r="AG480" s="15">
        <v>0</v>
      </c>
      <c r="AH480" s="15">
        <v>0</v>
      </c>
      <c r="AI480" s="15">
        <v>3</v>
      </c>
      <c r="AJ480" s="15">
        <v>0</v>
      </c>
      <c r="AK480" s="15">
        <v>0</v>
      </c>
      <c r="AL480" s="15">
        <v>0</v>
      </c>
      <c r="AM480" s="15">
        <v>0</v>
      </c>
      <c r="AO480" t="s">
        <v>1007</v>
      </c>
    </row>
    <row r="481" spans="8:41">
      <c r="H481" t="s">
        <v>970</v>
      </c>
      <c r="I481" t="str">
        <f t="shared" si="8"/>
        <v>australian</v>
      </c>
      <c r="J481" t="str">
        <v>australian</v>
      </c>
      <c r="K481" t="str">
        <f>IFERROR(_xlfn.XLOOKUP(TRIM(H481), M:M, N:N, "Not Found"), "Not Found")</f>
        <v>Case Related</v>
      </c>
      <c r="V481" t="s">
        <v>1004</v>
      </c>
      <c r="W481" t="s">
        <v>985</v>
      </c>
      <c r="X481">
        <f>Z481</f>
        <v>0</v>
      </c>
      <c r="Z481">
        <f>IFERROR(_xlfn.XLOOKUP(TRIM(V480), M:M, O:O, "Not Found"), "Not Found")</f>
        <v>0</v>
      </c>
      <c r="AG481" s="15">
        <v>0</v>
      </c>
      <c r="AH481" s="15">
        <v>0</v>
      </c>
      <c r="AI481" s="15">
        <v>1</v>
      </c>
      <c r="AJ481" s="15">
        <v>0</v>
      </c>
      <c r="AK481" s="15">
        <v>0</v>
      </c>
      <c r="AL481" s="15">
        <v>0</v>
      </c>
      <c r="AM481" s="15">
        <v>0</v>
      </c>
      <c r="AO481" t="s">
        <v>1255</v>
      </c>
    </row>
    <row r="482" spans="8:41">
      <c r="H482" t="s">
        <v>983</v>
      </c>
      <c r="I482" t="str">
        <f t="shared" si="8"/>
        <v>australia</v>
      </c>
      <c r="J482" t="str">
        <v>australia</v>
      </c>
      <c r="K482" t="str">
        <f>IFERROR(_xlfn.XLOOKUP(TRIM(H482), M:M, N:N, "Not Found"), "Not Found")</f>
        <v>Case Related</v>
      </c>
      <c r="V482" t="s">
        <v>990</v>
      </c>
      <c r="W482" t="s">
        <v>985</v>
      </c>
      <c r="X482">
        <f>Z482</f>
        <v>0</v>
      </c>
      <c r="Z482">
        <f>IFERROR(_xlfn.XLOOKUP(TRIM(V481), M:M, O:O, "Not Found"), "Not Found")</f>
        <v>0</v>
      </c>
      <c r="AG482" s="15">
        <v>0</v>
      </c>
      <c r="AH482" s="15">
        <v>0</v>
      </c>
      <c r="AI482" s="15">
        <v>0</v>
      </c>
      <c r="AJ482" s="15">
        <v>0</v>
      </c>
      <c r="AK482" s="15">
        <v>0</v>
      </c>
      <c r="AL482" s="15">
        <v>0</v>
      </c>
      <c r="AM482" s="15">
        <v>0</v>
      </c>
      <c r="AO482" t="s">
        <v>1255</v>
      </c>
    </row>
    <row r="483" spans="8:41">
      <c r="H483" t="s">
        <v>1031</v>
      </c>
      <c r="I483" t="str">
        <f t="shared" si="8"/>
        <v>bogan</v>
      </c>
      <c r="J483" t="str">
        <v>bogan</v>
      </c>
      <c r="K483" t="str">
        <f>IFERROR(_xlfn.XLOOKUP(TRIM(H483), M:M, N:N, "Not Found"), "Not Found")</f>
        <v>Class based</v>
      </c>
      <c r="V483" t="s">
        <v>990</v>
      </c>
      <c r="W483" t="s">
        <v>985</v>
      </c>
      <c r="X483">
        <f>Z483</f>
        <v>2</v>
      </c>
      <c r="Z483">
        <f>IFERROR(_xlfn.XLOOKUP(TRIM(V482), M:M, O:O, "Not Found"), "Not Found")</f>
        <v>2</v>
      </c>
      <c r="AG483" s="15">
        <v>0</v>
      </c>
      <c r="AH483" s="15">
        <v>0</v>
      </c>
      <c r="AI483" s="15">
        <v>0</v>
      </c>
      <c r="AJ483" s="15">
        <v>0</v>
      </c>
      <c r="AK483" s="15">
        <v>0</v>
      </c>
      <c r="AL483" s="15">
        <v>0</v>
      </c>
      <c r="AM483" s="15">
        <v>0</v>
      </c>
      <c r="AO483" t="s">
        <v>1255</v>
      </c>
    </row>
    <row r="484" spans="8:41">
      <c r="H484" t="s">
        <v>1060</v>
      </c>
      <c r="I484" t="str">
        <f t="shared" si="8"/>
        <v>innocent</v>
      </c>
      <c r="J484" t="str">
        <v>innocent</v>
      </c>
      <c r="K484" t="str">
        <f>IFERROR(_xlfn.XLOOKUP(TRIM(H484), M:M, N:N, "Not Found"), "Not Found")</f>
        <v>Legality based</v>
      </c>
      <c r="V484" t="s">
        <v>990</v>
      </c>
      <c r="W484" t="s">
        <v>985</v>
      </c>
      <c r="X484">
        <f>Z484</f>
        <v>2</v>
      </c>
      <c r="Z484">
        <f>IFERROR(_xlfn.XLOOKUP(TRIM(V483), M:M, O:O, "Not Found"), "Not Found")</f>
        <v>2</v>
      </c>
      <c r="AG484" s="15">
        <v>0</v>
      </c>
      <c r="AH484" s="15">
        <v>0</v>
      </c>
      <c r="AI484" s="15">
        <v>0</v>
      </c>
      <c r="AJ484" s="15">
        <v>0</v>
      </c>
      <c r="AK484" s="15">
        <v>0</v>
      </c>
      <c r="AL484" s="15">
        <v>0</v>
      </c>
      <c r="AM484" s="15">
        <v>0</v>
      </c>
      <c r="AO484" t="s">
        <v>1255</v>
      </c>
    </row>
    <row r="485" spans="8:41">
      <c r="H485" t="s">
        <v>1057</v>
      </c>
      <c r="I485" t="str">
        <f t="shared" si="8"/>
        <v>guilty</v>
      </c>
      <c r="J485" t="str">
        <v>guilty</v>
      </c>
      <c r="K485" t="str">
        <f>IFERROR(_xlfn.XLOOKUP(TRIM(H485), M:M, N:N, "Not Found"), "Not Found")</f>
        <v>Legality based</v>
      </c>
      <c r="V485" t="s">
        <v>995</v>
      </c>
      <c r="W485" t="s">
        <v>985</v>
      </c>
      <c r="X485">
        <f>Z485</f>
        <v>2</v>
      </c>
      <c r="Z485">
        <f>IFERROR(_xlfn.XLOOKUP(TRIM(V484), M:M, O:O, "Not Found"), "Not Found")</f>
        <v>2</v>
      </c>
      <c r="AG485" s="15">
        <v>0</v>
      </c>
      <c r="AH485" s="15">
        <v>0</v>
      </c>
      <c r="AI485" s="15">
        <v>0</v>
      </c>
      <c r="AJ485" s="15">
        <v>0</v>
      </c>
      <c r="AK485" s="15">
        <v>0</v>
      </c>
      <c r="AL485" s="15">
        <v>0</v>
      </c>
      <c r="AM485" s="15">
        <v>0</v>
      </c>
      <c r="AO485" t="s">
        <v>1260</v>
      </c>
    </row>
    <row r="486" spans="8:41">
      <c r="H486" t="s">
        <v>1064</v>
      </c>
      <c r="I486" t="str">
        <f t="shared" si="8"/>
        <v>arrested</v>
      </c>
      <c r="J486" t="str">
        <v>arrested</v>
      </c>
      <c r="K486" t="str">
        <f>IFERROR(_xlfn.XLOOKUP(TRIM(H486), M:M, N:N, "Not Found"), "Not Found")</f>
        <v>Legality based</v>
      </c>
      <c r="V486" t="s">
        <v>995</v>
      </c>
      <c r="W486" t="s">
        <v>985</v>
      </c>
      <c r="X486">
        <f>Z486</f>
        <v>0</v>
      </c>
      <c r="Z486">
        <f>IFERROR(_xlfn.XLOOKUP(TRIM(V485), M:M, O:O, "Not Found"), "Not Found")</f>
        <v>0</v>
      </c>
      <c r="AG486" s="15">
        <v>0</v>
      </c>
      <c r="AH486" s="15">
        <v>0</v>
      </c>
      <c r="AI486" s="15">
        <v>1</v>
      </c>
      <c r="AJ486" s="15">
        <v>0</v>
      </c>
      <c r="AK486" s="15">
        <v>0</v>
      </c>
      <c r="AL486" s="15">
        <v>0</v>
      </c>
      <c r="AM486" s="15">
        <v>0</v>
      </c>
      <c r="AO486" t="s">
        <v>1256</v>
      </c>
    </row>
    <row r="487" spans="8:41">
      <c r="H487" t="s">
        <v>984</v>
      </c>
      <c r="I487" t="str">
        <f t="shared" si="8"/>
        <v>drugs</v>
      </c>
      <c r="J487" t="str">
        <v>drugs</v>
      </c>
      <c r="K487" t="str">
        <f>IFERROR(_xlfn.XLOOKUP(TRIM(H487), M:M, N:N, "Not Found"), "Not Found")</f>
        <v>Crime based</v>
      </c>
      <c r="V487" t="s">
        <v>995</v>
      </c>
      <c r="W487" t="s">
        <v>985</v>
      </c>
      <c r="X487">
        <f>Z487</f>
        <v>0</v>
      </c>
      <c r="Z487">
        <f>IFERROR(_xlfn.XLOOKUP(TRIM(V486), M:M, O:O, "Not Found"), "Not Found")</f>
        <v>0</v>
      </c>
      <c r="AG487" s="15">
        <v>0</v>
      </c>
      <c r="AH487" s="15">
        <v>0.66666666699999999</v>
      </c>
      <c r="AI487" s="15">
        <v>1</v>
      </c>
      <c r="AJ487" s="15">
        <v>0</v>
      </c>
      <c r="AK487" s="15">
        <v>0</v>
      </c>
      <c r="AL487" s="15">
        <v>0</v>
      </c>
      <c r="AM487" s="15">
        <v>0</v>
      </c>
      <c r="AO487" t="s">
        <v>1256</v>
      </c>
    </row>
    <row r="488" spans="8:41">
      <c r="H488" t="s">
        <v>970</v>
      </c>
      <c r="I488" t="str">
        <f t="shared" si="8"/>
        <v>australian</v>
      </c>
      <c r="J488" t="str">
        <v>australian</v>
      </c>
      <c r="K488" t="str">
        <f>IFERROR(_xlfn.XLOOKUP(TRIM(H488), M:M, N:N, "Not Found"), "Not Found")</f>
        <v>Case Related</v>
      </c>
      <c r="V488" t="s">
        <v>995</v>
      </c>
      <c r="W488" t="s">
        <v>985</v>
      </c>
      <c r="X488">
        <f>Z488</f>
        <v>0</v>
      </c>
      <c r="Z488">
        <f>IFERROR(_xlfn.XLOOKUP(TRIM(V487), M:M, O:O, "Not Found"), "Not Found")</f>
        <v>0</v>
      </c>
      <c r="AG488" s="15">
        <v>0</v>
      </c>
      <c r="AH488" s="15">
        <v>0</v>
      </c>
      <c r="AI488" s="15">
        <v>1</v>
      </c>
      <c r="AJ488" s="15">
        <v>0</v>
      </c>
      <c r="AK488" s="15">
        <v>0</v>
      </c>
      <c r="AL488" s="15">
        <v>0</v>
      </c>
      <c r="AM488" s="15">
        <v>0</v>
      </c>
      <c r="AO488" t="s">
        <v>1238</v>
      </c>
    </row>
    <row r="489" spans="8:41">
      <c r="H489" t="s">
        <v>983</v>
      </c>
      <c r="I489" t="str">
        <f t="shared" si="8"/>
        <v>australia</v>
      </c>
      <c r="J489" t="str">
        <v>australia</v>
      </c>
      <c r="K489" t="str">
        <f>IFERROR(_xlfn.XLOOKUP(TRIM(H489), M:M, N:N, "Not Found"), "Not Found")</f>
        <v>Case Related</v>
      </c>
      <c r="V489" t="s">
        <v>995</v>
      </c>
      <c r="W489" t="s">
        <v>985</v>
      </c>
      <c r="X489">
        <f>Z489</f>
        <v>0</v>
      </c>
      <c r="Z489">
        <f>IFERROR(_xlfn.XLOOKUP(TRIM(V488), M:M, O:O, "Not Found"), "Not Found")</f>
        <v>0</v>
      </c>
      <c r="AG489" s="15">
        <v>0</v>
      </c>
      <c r="AH489" s="15">
        <v>0</v>
      </c>
      <c r="AI489" s="15">
        <v>0</v>
      </c>
      <c r="AJ489" s="15">
        <v>0</v>
      </c>
      <c r="AK489" s="15">
        <v>0</v>
      </c>
      <c r="AL489" s="15">
        <v>0</v>
      </c>
      <c r="AM489" s="15">
        <v>0</v>
      </c>
      <c r="AO489" t="s">
        <v>1297</v>
      </c>
    </row>
    <row r="490" spans="8:41">
      <c r="H490" t="s">
        <v>965</v>
      </c>
      <c r="I490" t="str">
        <f t="shared" si="8"/>
        <v>schapelle corby</v>
      </c>
      <c r="J490" t="str">
        <v>schapelle corby</v>
      </c>
      <c r="K490" t="str">
        <f>IFERROR(_xlfn.XLOOKUP(TRIM(H490), M:M, N:N, "Not Found"), "Not Found")</f>
        <v>Case Related</v>
      </c>
      <c r="V490" t="s">
        <v>995</v>
      </c>
      <c r="W490" t="s">
        <v>985</v>
      </c>
      <c r="X490">
        <f>Z490</f>
        <v>0</v>
      </c>
      <c r="Z490">
        <f>IFERROR(_xlfn.XLOOKUP(TRIM(V489), M:M, O:O, "Not Found"), "Not Found")</f>
        <v>0</v>
      </c>
      <c r="AG490" s="15">
        <v>0</v>
      </c>
      <c r="AH490" s="15">
        <v>0</v>
      </c>
      <c r="AI490" s="15">
        <v>1</v>
      </c>
      <c r="AJ490" s="15">
        <v>0</v>
      </c>
      <c r="AK490" s="15">
        <v>0</v>
      </c>
      <c r="AL490" s="15">
        <v>0</v>
      </c>
      <c r="AM490" s="15">
        <v>0</v>
      </c>
      <c r="AO490" t="s">
        <v>1245</v>
      </c>
    </row>
    <row r="491" spans="8:41">
      <c r="H491" t="s">
        <v>1028</v>
      </c>
      <c r="I491" t="str">
        <f t="shared" si="8"/>
        <v>corby</v>
      </c>
      <c r="J491" t="str">
        <v>corby</v>
      </c>
      <c r="K491" t="str">
        <f>IFERROR(_xlfn.XLOOKUP(TRIM(H491), M:M, N:N, "Not Found"), "Not Found")</f>
        <v>Familial based</v>
      </c>
      <c r="V491" t="s">
        <v>1029</v>
      </c>
      <c r="W491" t="s">
        <v>1022</v>
      </c>
      <c r="X491">
        <f>Z491</f>
        <v>0</v>
      </c>
      <c r="Z491">
        <f>IFERROR(_xlfn.XLOOKUP(TRIM(V490), M:M, O:O, "Not Found"), "Not Found")</f>
        <v>0</v>
      </c>
      <c r="AG491" s="15">
        <v>0</v>
      </c>
      <c r="AH491" s="15">
        <v>0</v>
      </c>
      <c r="AI491" s="15">
        <v>0</v>
      </c>
      <c r="AJ491" s="15">
        <v>0</v>
      </c>
      <c r="AK491" s="15">
        <v>0</v>
      </c>
      <c r="AL491" s="15">
        <v>0</v>
      </c>
      <c r="AM491" s="15">
        <v>0</v>
      </c>
      <c r="AO491" t="s">
        <v>1255</v>
      </c>
    </row>
    <row r="492" spans="8:41">
      <c r="H492" t="s">
        <v>988</v>
      </c>
      <c r="I492" t="str">
        <f t="shared" si="8"/>
        <v>convicted drug smuggler</v>
      </c>
      <c r="J492" t="str">
        <v>convicted drug smuggler</v>
      </c>
      <c r="K492" t="str">
        <f>IFERROR(_xlfn.XLOOKUP(TRIM(H492), M:M, N:N, "Not Found"), "Not Found")</f>
        <v>Crime based</v>
      </c>
      <c r="V492" t="s">
        <v>1029</v>
      </c>
      <c r="W492" t="s">
        <v>1022</v>
      </c>
      <c r="X492">
        <f>Z492</f>
        <v>0</v>
      </c>
      <c r="Z492">
        <f>IFERROR(_xlfn.XLOOKUP(TRIM(V491), M:M, O:O, "Not Found"), "Not Found")</f>
        <v>0</v>
      </c>
      <c r="AG492" s="15">
        <v>0</v>
      </c>
      <c r="AH492" s="15">
        <v>0</v>
      </c>
      <c r="AI492" s="15">
        <v>0</v>
      </c>
      <c r="AJ492" s="15">
        <v>0</v>
      </c>
      <c r="AK492" s="15">
        <v>0</v>
      </c>
      <c r="AL492" s="15">
        <v>0</v>
      </c>
      <c r="AM492" s="15">
        <v>0</v>
      </c>
      <c r="AO492" t="s">
        <v>1260</v>
      </c>
    </row>
    <row r="493" spans="8:41">
      <c r="H493" t="s">
        <v>992</v>
      </c>
      <c r="I493" t="str">
        <f t="shared" si="8"/>
        <v>drug smuggler</v>
      </c>
      <c r="J493" t="str">
        <v>drug smuggler</v>
      </c>
      <c r="K493" t="str">
        <f>IFERROR(_xlfn.XLOOKUP(TRIM(H493), M:M, N:N, "Not Found"), "Not Found")</f>
        <v>Crime based</v>
      </c>
      <c r="V493" t="s">
        <v>1029</v>
      </c>
      <c r="W493" t="s">
        <v>1022</v>
      </c>
      <c r="X493">
        <f>Z493</f>
        <v>0</v>
      </c>
      <c r="Z493">
        <f>IFERROR(_xlfn.XLOOKUP(TRIM(V492), M:M, O:O, "Not Found"), "Not Found")</f>
        <v>0</v>
      </c>
      <c r="AG493" s="15">
        <v>0</v>
      </c>
      <c r="AH493" s="15">
        <v>0</v>
      </c>
      <c r="AI493" s="15">
        <v>1</v>
      </c>
      <c r="AJ493" s="15">
        <v>0</v>
      </c>
      <c r="AK493" s="15">
        <v>0</v>
      </c>
      <c r="AL493" s="15">
        <v>0</v>
      </c>
      <c r="AM493" s="15">
        <v>0</v>
      </c>
      <c r="AO493" t="s">
        <v>1245</v>
      </c>
    </row>
    <row r="494" spans="8:41">
      <c r="H494" t="s">
        <v>1073</v>
      </c>
      <c r="I494" t="str">
        <f t="shared" si="8"/>
        <v>convicted</v>
      </c>
      <c r="J494" t="str">
        <v>convicted</v>
      </c>
      <c r="K494" t="str">
        <f>IFERROR(_xlfn.XLOOKUP(TRIM(H494), M:M, N:N, "Not Found"), "Not Found")</f>
        <v>Legality based</v>
      </c>
      <c r="V494" t="s">
        <v>1029</v>
      </c>
      <c r="W494" t="s">
        <v>1022</v>
      </c>
      <c r="X494">
        <f>Z494</f>
        <v>0</v>
      </c>
      <c r="Z494">
        <f>IFERROR(_xlfn.XLOOKUP(TRIM(V493), M:M, O:O, "Not Found"), "Not Found")</f>
        <v>0</v>
      </c>
      <c r="AG494" s="15">
        <v>0</v>
      </c>
      <c r="AH494" s="15">
        <v>0.33333333300000001</v>
      </c>
      <c r="AI494" s="15">
        <v>0</v>
      </c>
      <c r="AJ494" s="15">
        <v>0</v>
      </c>
      <c r="AK494" s="15">
        <v>0</v>
      </c>
      <c r="AL494" s="15">
        <v>0</v>
      </c>
      <c r="AM494" s="15">
        <v>0</v>
      </c>
      <c r="AO494" t="s">
        <v>1256</v>
      </c>
    </row>
    <row r="495" spans="8:41">
      <c r="H495" t="s">
        <v>996</v>
      </c>
      <c r="I495" t="str">
        <f t="shared" si="8"/>
        <v>jail</v>
      </c>
      <c r="J495" t="str">
        <v>jail</v>
      </c>
      <c r="K495" t="str">
        <f>IFERROR(_xlfn.XLOOKUP(TRIM(H495), M:M, N:N, "Not Found"), "Not Found")</f>
        <v>Crime based</v>
      </c>
      <c r="V495" t="s">
        <v>1029</v>
      </c>
      <c r="W495" t="s">
        <v>1022</v>
      </c>
      <c r="X495">
        <f>Z495</f>
        <v>0</v>
      </c>
      <c r="Z495">
        <f>IFERROR(_xlfn.XLOOKUP(TRIM(V494), M:M, O:O, "Not Found"), "Not Found")</f>
        <v>0</v>
      </c>
      <c r="AG495" s="15">
        <v>0</v>
      </c>
      <c r="AH495" s="15">
        <v>0</v>
      </c>
      <c r="AI495" s="15">
        <v>1</v>
      </c>
      <c r="AJ495" s="15">
        <v>0</v>
      </c>
      <c r="AK495" s="15">
        <v>0</v>
      </c>
      <c r="AL495" s="15">
        <v>0</v>
      </c>
      <c r="AM495" s="15">
        <v>0</v>
      </c>
      <c r="AO495" t="s">
        <v>1245</v>
      </c>
    </row>
    <row r="496" spans="8:41">
      <c r="H496" t="s">
        <v>1031</v>
      </c>
      <c r="I496" t="str">
        <f t="shared" si="8"/>
        <v>bogan</v>
      </c>
      <c r="J496" t="str">
        <v>bogan</v>
      </c>
      <c r="K496" t="str">
        <f>IFERROR(_xlfn.XLOOKUP(TRIM(H496), M:M, N:N, "Not Found"), "Not Found")</f>
        <v>Class based</v>
      </c>
      <c r="V496" t="s">
        <v>1029</v>
      </c>
      <c r="W496" t="s">
        <v>1022</v>
      </c>
      <c r="X496">
        <f>Z496</f>
        <v>0</v>
      </c>
      <c r="Z496">
        <f>IFERROR(_xlfn.XLOOKUP(TRIM(V495), M:M, O:O, "Not Found"), "Not Found")</f>
        <v>0</v>
      </c>
      <c r="AG496" s="15">
        <v>0</v>
      </c>
      <c r="AH496" s="15">
        <v>0.5</v>
      </c>
      <c r="AI496" s="15">
        <v>0</v>
      </c>
      <c r="AJ496" s="15">
        <v>0</v>
      </c>
      <c r="AK496" s="15">
        <v>0</v>
      </c>
      <c r="AL496" s="15">
        <v>0</v>
      </c>
      <c r="AM496" s="15">
        <v>0</v>
      </c>
      <c r="AO496" t="s">
        <v>1245</v>
      </c>
    </row>
    <row r="497" spans="8:41">
      <c r="H497" t="s">
        <v>1247</v>
      </c>
      <c r="I497" t="str">
        <f t="shared" si="8"/>
        <v>trash</v>
      </c>
      <c r="J497" t="str">
        <v>trash</v>
      </c>
      <c r="K497" t="str">
        <f>IFERROR(_xlfn.XLOOKUP(TRIM(H497), M:M, N:N, "Not Found"), "Not Found")</f>
        <v>Not Found</v>
      </c>
      <c r="V497" t="s">
        <v>1029</v>
      </c>
      <c r="W497" t="s">
        <v>1022</v>
      </c>
      <c r="X497">
        <f>Z497</f>
        <v>0</v>
      </c>
      <c r="Z497">
        <f>IFERROR(_xlfn.XLOOKUP(TRIM(V496), M:M, O:O, "Not Found"), "Not Found")</f>
        <v>0</v>
      </c>
      <c r="AG497" s="15">
        <v>0</v>
      </c>
      <c r="AH497" s="15">
        <v>0</v>
      </c>
      <c r="AI497" s="15">
        <v>0</v>
      </c>
      <c r="AJ497" s="15">
        <v>0</v>
      </c>
      <c r="AK497" s="15">
        <v>0</v>
      </c>
      <c r="AL497" s="15">
        <v>0</v>
      </c>
      <c r="AM497" s="15">
        <v>0</v>
      </c>
      <c r="AO497" t="s">
        <v>1245</v>
      </c>
    </row>
    <row r="498" spans="8:41">
      <c r="H498" t="s">
        <v>983</v>
      </c>
      <c r="I498" t="str">
        <f t="shared" si="8"/>
        <v>australia</v>
      </c>
      <c r="J498" t="str">
        <v>australia</v>
      </c>
      <c r="K498" t="str">
        <f>IFERROR(_xlfn.XLOOKUP(TRIM(H498), M:M, N:N, "Not Found"), "Not Found")</f>
        <v>Case Related</v>
      </c>
      <c r="V498" t="s">
        <v>1029</v>
      </c>
      <c r="W498" t="s">
        <v>1022</v>
      </c>
      <c r="X498">
        <f>Z498</f>
        <v>0</v>
      </c>
      <c r="Z498">
        <f>IFERROR(_xlfn.XLOOKUP(TRIM(V497), M:M, O:O, "Not Found"), "Not Found")</f>
        <v>0</v>
      </c>
      <c r="AG498" s="15">
        <v>0</v>
      </c>
      <c r="AH498" s="15">
        <v>0.33333333300000001</v>
      </c>
      <c r="AI498" s="15">
        <v>0</v>
      </c>
      <c r="AJ498" s="15">
        <v>0</v>
      </c>
      <c r="AK498" s="15">
        <v>0</v>
      </c>
      <c r="AL498" s="15">
        <v>0</v>
      </c>
      <c r="AM498" s="15">
        <v>0</v>
      </c>
    </row>
    <row r="499" spans="8:41">
      <c r="H499" t="s">
        <v>1038</v>
      </c>
      <c r="I499" t="str">
        <f t="shared" si="8"/>
        <v>bitch</v>
      </c>
      <c r="J499" t="str">
        <v>bitch</v>
      </c>
      <c r="K499" t="str">
        <f>IFERROR(_xlfn.XLOOKUP(TRIM(H499), M:M, N:N, "Not Found"), "Not Found")</f>
        <v>Class based</v>
      </c>
      <c r="V499" t="s">
        <v>1029</v>
      </c>
      <c r="W499" t="s">
        <v>1022</v>
      </c>
      <c r="X499">
        <f>Z499</f>
        <v>0</v>
      </c>
      <c r="Z499">
        <f>IFERROR(_xlfn.XLOOKUP(TRIM(V498), M:M, O:O, "Not Found"), "Not Found")</f>
        <v>0</v>
      </c>
    </row>
    <row r="500" spans="8:41">
      <c r="H500" t="s">
        <v>1060</v>
      </c>
      <c r="I500" t="str">
        <f t="shared" si="8"/>
        <v>innocent</v>
      </c>
      <c r="J500" t="str">
        <v>innocent</v>
      </c>
      <c r="K500" t="str">
        <f>IFERROR(_xlfn.XLOOKUP(TRIM(H500), M:M, N:N, "Not Found"), "Not Found")</f>
        <v>Legality based</v>
      </c>
      <c r="V500" t="s">
        <v>1029</v>
      </c>
      <c r="W500" t="s">
        <v>1022</v>
      </c>
      <c r="X500">
        <f>Z500</f>
        <v>0</v>
      </c>
      <c r="Z500">
        <f>IFERROR(_xlfn.XLOOKUP(TRIM(V499), M:M, O:O, "Not Found"), "Not Found")</f>
        <v>0</v>
      </c>
    </row>
    <row r="501" spans="8:41">
      <c r="H501" t="s">
        <v>983</v>
      </c>
      <c r="I501" t="str">
        <f t="shared" si="8"/>
        <v>australia</v>
      </c>
      <c r="J501" t="str">
        <v>australia</v>
      </c>
      <c r="K501" t="str">
        <f>IFERROR(_xlfn.XLOOKUP(TRIM(H501), M:M, N:N, "Not Found"), "Not Found")</f>
        <v>Case Related</v>
      </c>
      <c r="V501" t="s">
        <v>1029</v>
      </c>
      <c r="W501" t="s">
        <v>1022</v>
      </c>
      <c r="X501">
        <f>Z501</f>
        <v>0</v>
      </c>
      <c r="Z501">
        <f>IFERROR(_xlfn.XLOOKUP(TRIM(V500), M:M, O:O, "Not Found"), "Not Found")</f>
        <v>0</v>
      </c>
    </row>
    <row r="502" spans="8:41">
      <c r="H502" t="s">
        <v>984</v>
      </c>
      <c r="I502" t="str">
        <f t="shared" si="8"/>
        <v>drugs</v>
      </c>
      <c r="J502" t="str">
        <v>drugs</v>
      </c>
      <c r="K502" t="str">
        <f>IFERROR(_xlfn.XLOOKUP(TRIM(H502), M:M, N:N, "Not Found"), "Not Found")</f>
        <v>Crime based</v>
      </c>
      <c r="V502" t="s">
        <v>1029</v>
      </c>
      <c r="W502" t="s">
        <v>1022</v>
      </c>
      <c r="X502">
        <f>Z502</f>
        <v>0</v>
      </c>
      <c r="Z502">
        <f>IFERROR(_xlfn.XLOOKUP(TRIM(V501), M:M, O:O, "Not Found"), "Not Found")</f>
        <v>0</v>
      </c>
    </row>
    <row r="503" spans="8:41">
      <c r="H503" t="s">
        <v>998</v>
      </c>
      <c r="I503" t="str">
        <f t="shared" si="8"/>
        <v>narcotics</v>
      </c>
      <c r="J503" t="str">
        <v>narcotics</v>
      </c>
      <c r="K503" t="str">
        <f>IFERROR(_xlfn.XLOOKUP(TRIM(H503), M:M, N:N, "Not Found"), "Not Found")</f>
        <v>Crime based</v>
      </c>
      <c r="V503" t="s">
        <v>1029</v>
      </c>
      <c r="W503" t="s">
        <v>1022</v>
      </c>
      <c r="X503">
        <f>Z503</f>
        <v>0</v>
      </c>
      <c r="Z503">
        <f>IFERROR(_xlfn.XLOOKUP(TRIM(V502), M:M, O:O, "Not Found"), "Not Found")</f>
        <v>0</v>
      </c>
    </row>
    <row r="504" spans="8:41">
      <c r="H504" t="s">
        <v>1057</v>
      </c>
      <c r="I504" t="str">
        <f t="shared" si="8"/>
        <v>guilty</v>
      </c>
      <c r="J504" t="str">
        <v>guilty</v>
      </c>
      <c r="K504" t="str">
        <f>IFERROR(_xlfn.XLOOKUP(TRIM(H504), M:M, N:N, "Not Found"), "Not Found")</f>
        <v>Legality based</v>
      </c>
      <c r="V504" t="s">
        <v>1028</v>
      </c>
      <c r="W504" t="s">
        <v>1022</v>
      </c>
      <c r="X504">
        <f>Z504</f>
        <v>0</v>
      </c>
      <c r="Z504">
        <f>IFERROR(_xlfn.XLOOKUP(TRIM(V503), M:M, O:O, "Not Found"), "Not Found")</f>
        <v>0</v>
      </c>
    </row>
    <row r="505" spans="8:41">
      <c r="H505" t="s">
        <v>1062</v>
      </c>
      <c r="I505" t="str">
        <f t="shared" si="8"/>
        <v>served</v>
      </c>
      <c r="J505" t="str">
        <v>served</v>
      </c>
      <c r="K505" t="str">
        <f>IFERROR(_xlfn.XLOOKUP(TRIM(H505), M:M, N:N, "Not Found"), "Not Found")</f>
        <v>Legality based</v>
      </c>
      <c r="V505" t="s">
        <v>1028</v>
      </c>
      <c r="W505" t="s">
        <v>1022</v>
      </c>
      <c r="X505">
        <f>Z505</f>
        <v>0</v>
      </c>
      <c r="Z505">
        <f>IFERROR(_xlfn.XLOOKUP(TRIM(V504), M:M, O:O, "Not Found"), "Not Found")</f>
        <v>0</v>
      </c>
    </row>
    <row r="506" spans="8:41">
      <c r="H506" t="s">
        <v>1236</v>
      </c>
      <c r="I506" t="str">
        <f t="shared" si="8"/>
        <v>sentence</v>
      </c>
      <c r="J506" t="str">
        <v>sentence</v>
      </c>
      <c r="K506" t="str">
        <f>IFERROR(_xlfn.XLOOKUP(TRIM(H506), M:M, N:N, "Not Found"), "Not Found")</f>
        <v>Not Found</v>
      </c>
      <c r="V506" t="s">
        <v>1028</v>
      </c>
      <c r="W506" t="s">
        <v>1022</v>
      </c>
      <c r="X506">
        <f>Z506</f>
        <v>0</v>
      </c>
      <c r="Z506">
        <f>IFERROR(_xlfn.XLOOKUP(TRIM(V505), M:M, O:O, "Not Found"), "Not Found")</f>
        <v>0</v>
      </c>
    </row>
    <row r="507" spans="8:41">
      <c r="H507" t="s">
        <v>1076</v>
      </c>
      <c r="I507" t="str">
        <f t="shared" si="8"/>
        <v>import</v>
      </c>
      <c r="J507" t="str">
        <v>import</v>
      </c>
      <c r="K507" t="str">
        <f>IFERROR(_xlfn.XLOOKUP(TRIM(H507), M:M, N:N, "Not Found"), "Not Found")</f>
        <v>Legality based</v>
      </c>
      <c r="V507" t="s">
        <v>1028</v>
      </c>
      <c r="W507" t="s">
        <v>1022</v>
      </c>
      <c r="X507">
        <f>Z507</f>
        <v>0</v>
      </c>
      <c r="Z507">
        <f>IFERROR(_xlfn.XLOOKUP(TRIM(V506), M:M, O:O, "Not Found"), "Not Found")</f>
        <v>0</v>
      </c>
    </row>
    <row r="508" spans="8:41">
      <c r="H508" t="s">
        <v>972</v>
      </c>
      <c r="I508" t="str">
        <f t="shared" si="8"/>
        <v>cannabis</v>
      </c>
      <c r="J508" t="str">
        <v>cannabis</v>
      </c>
      <c r="K508" t="str">
        <f>IFERROR(_xlfn.XLOOKUP(TRIM(H508), M:M, N:N, "Not Found"), "Not Found")</f>
        <v>Case Related</v>
      </c>
      <c r="V508" t="s">
        <v>1028</v>
      </c>
      <c r="W508" t="s">
        <v>1022</v>
      </c>
      <c r="X508">
        <f>Z508</f>
        <v>0</v>
      </c>
      <c r="Z508">
        <f>IFERROR(_xlfn.XLOOKUP(TRIM(V507), M:M, O:O, "Not Found"), "Not Found")</f>
        <v>0</v>
      </c>
    </row>
    <row r="509" spans="8:41">
      <c r="H509" t="s">
        <v>972</v>
      </c>
      <c r="I509" t="str">
        <f t="shared" si="8"/>
        <v>cannabis</v>
      </c>
      <c r="J509" t="str">
        <v>cannabis</v>
      </c>
      <c r="K509" t="str">
        <f>IFERROR(_xlfn.XLOOKUP(TRIM(H509), M:M, N:N, "Not Found"), "Not Found")</f>
        <v>Case Related</v>
      </c>
      <c r="V509" t="s">
        <v>1028</v>
      </c>
      <c r="W509" t="s">
        <v>1022</v>
      </c>
      <c r="X509">
        <f>Z509</f>
        <v>0</v>
      </c>
      <c r="Z509">
        <f>IFERROR(_xlfn.XLOOKUP(TRIM(V508), M:M, O:O, "Not Found"), "Not Found")</f>
        <v>0</v>
      </c>
    </row>
    <row r="510" spans="8:41">
      <c r="H510" t="s">
        <v>984</v>
      </c>
      <c r="I510" t="str">
        <f t="shared" si="8"/>
        <v>drugs</v>
      </c>
      <c r="J510" t="str">
        <v>drugs</v>
      </c>
      <c r="K510" t="str">
        <f>IFERROR(_xlfn.XLOOKUP(TRIM(H510), M:M, N:N, "Not Found"), "Not Found")</f>
        <v>Crime based</v>
      </c>
      <c r="V510" t="s">
        <v>1028</v>
      </c>
      <c r="W510" t="s">
        <v>1022</v>
      </c>
      <c r="X510">
        <f>Z510</f>
        <v>0</v>
      </c>
      <c r="Z510">
        <f>IFERROR(_xlfn.XLOOKUP(TRIM(V509), M:M, O:O, "Not Found"), "Not Found")</f>
        <v>0</v>
      </c>
    </row>
    <row r="511" spans="8:41">
      <c r="H511" t="s">
        <v>998</v>
      </c>
      <c r="I511" t="str">
        <f t="shared" si="8"/>
        <v>narcotics</v>
      </c>
      <c r="J511" t="str">
        <v>narcotics</v>
      </c>
      <c r="K511" t="str">
        <f>IFERROR(_xlfn.XLOOKUP(TRIM(H511), M:M, N:N, "Not Found"), "Not Found")</f>
        <v>Crime based</v>
      </c>
      <c r="V511" t="s">
        <v>1028</v>
      </c>
      <c r="W511" t="s">
        <v>1022</v>
      </c>
      <c r="X511">
        <f>Z511</f>
        <v>0</v>
      </c>
      <c r="Z511">
        <f>IFERROR(_xlfn.XLOOKUP(TRIM(V510), M:M, O:O, "Not Found"), "Not Found")</f>
        <v>0</v>
      </c>
    </row>
    <row r="512" spans="8:41">
      <c r="H512" t="s">
        <v>965</v>
      </c>
      <c r="I512" t="str">
        <f t="shared" si="8"/>
        <v>schapelle corby</v>
      </c>
      <c r="J512" t="str">
        <v>schapelle corby</v>
      </c>
      <c r="K512" t="str">
        <f>IFERROR(_xlfn.XLOOKUP(TRIM(H512), M:M, N:N, "Not Found"), "Not Found")</f>
        <v>Case Related</v>
      </c>
      <c r="V512" t="s">
        <v>1028</v>
      </c>
      <c r="W512" t="s">
        <v>1022</v>
      </c>
      <c r="X512">
        <f>Z512</f>
        <v>0</v>
      </c>
      <c r="Z512">
        <f>IFERROR(_xlfn.XLOOKUP(TRIM(V511), M:M, O:O, "Not Found"), "Not Found")</f>
        <v>0</v>
      </c>
    </row>
    <row r="513" spans="8:26">
      <c r="H513" t="s">
        <v>970</v>
      </c>
      <c r="I513" t="str">
        <f t="shared" si="8"/>
        <v>australian</v>
      </c>
      <c r="J513" t="str">
        <v>australian</v>
      </c>
      <c r="K513" t="str">
        <f>IFERROR(_xlfn.XLOOKUP(TRIM(H513), M:M, N:N, "Not Found"), "Not Found")</f>
        <v>Case Related</v>
      </c>
      <c r="V513" t="s">
        <v>1028</v>
      </c>
      <c r="W513" t="s">
        <v>1022</v>
      </c>
      <c r="X513">
        <f>Z513</f>
        <v>0</v>
      </c>
      <c r="Z513">
        <f>IFERROR(_xlfn.XLOOKUP(TRIM(V512), M:M, O:O, "Not Found"), "Not Found")</f>
        <v>0</v>
      </c>
    </row>
    <row r="514" spans="8:26">
      <c r="H514" t="s">
        <v>983</v>
      </c>
      <c r="I514" t="str">
        <f t="shared" si="8"/>
        <v>australia</v>
      </c>
      <c r="J514" t="str">
        <v>australia</v>
      </c>
      <c r="K514" t="str">
        <f>IFERROR(_xlfn.XLOOKUP(TRIM(H514), M:M, N:N, "Not Found"), "Not Found")</f>
        <v>Case Related</v>
      </c>
      <c r="V514" t="s">
        <v>1028</v>
      </c>
      <c r="W514" t="s">
        <v>1022</v>
      </c>
      <c r="X514">
        <f>Z514</f>
        <v>0</v>
      </c>
      <c r="Z514">
        <f>IFERROR(_xlfn.XLOOKUP(TRIM(V513), M:M, O:O, "Not Found"), "Not Found")</f>
        <v>0</v>
      </c>
    </row>
    <row r="515" spans="8:26">
      <c r="H515" t="s">
        <v>984</v>
      </c>
      <c r="I515" t="str">
        <f t="shared" si="8"/>
        <v>drugs</v>
      </c>
      <c r="J515" t="str">
        <v>drugs</v>
      </c>
      <c r="K515" t="str">
        <f>IFERROR(_xlfn.XLOOKUP(TRIM(H515), M:M, N:N, "Not Found"), "Not Found")</f>
        <v>Crime based</v>
      </c>
      <c r="V515" t="s">
        <v>1028</v>
      </c>
      <c r="W515" t="s">
        <v>1022</v>
      </c>
      <c r="X515">
        <f>Z515</f>
        <v>0</v>
      </c>
      <c r="Z515">
        <f>IFERROR(_xlfn.XLOOKUP(TRIM(V514), M:M, O:O, "Not Found"), "Not Found")</f>
        <v>0</v>
      </c>
    </row>
    <row r="516" spans="8:26">
      <c r="H516" t="s">
        <v>1028</v>
      </c>
      <c r="I516" t="str">
        <f t="shared" ref="I516:I579" si="9">TRIM(LOWER(H516))</f>
        <v>corby</v>
      </c>
      <c r="J516" t="str">
        <v>corby</v>
      </c>
      <c r="K516" t="str">
        <f>IFERROR(_xlfn.XLOOKUP(TRIM(H516), M:M, N:N, "Not Found"), "Not Found")</f>
        <v>Familial based</v>
      </c>
      <c r="V516" t="s">
        <v>1028</v>
      </c>
      <c r="W516" t="s">
        <v>1022</v>
      </c>
      <c r="X516">
        <f>Z516</f>
        <v>0</v>
      </c>
      <c r="Z516">
        <f>IFERROR(_xlfn.XLOOKUP(TRIM(V515), M:M, O:O, "Not Found"), "Not Found")</f>
        <v>0</v>
      </c>
    </row>
    <row r="517" spans="8:26">
      <c r="H517" t="s">
        <v>1057</v>
      </c>
      <c r="I517" t="str">
        <f t="shared" si="9"/>
        <v>guilty</v>
      </c>
      <c r="J517" t="str">
        <v>guilty</v>
      </c>
      <c r="K517" t="str">
        <f>IFERROR(_xlfn.XLOOKUP(TRIM(H517), M:M, N:N, "Not Found"), "Not Found")</f>
        <v>Legality based</v>
      </c>
      <c r="V517" t="s">
        <v>1028</v>
      </c>
      <c r="W517" t="s">
        <v>1022</v>
      </c>
      <c r="X517">
        <f>Z517</f>
        <v>0</v>
      </c>
      <c r="Z517">
        <f>IFERROR(_xlfn.XLOOKUP(TRIM(V516), M:M, O:O, "Not Found"), "Not Found")</f>
        <v>0</v>
      </c>
    </row>
    <row r="518" spans="8:26">
      <c r="H518" t="s">
        <v>1060</v>
      </c>
      <c r="I518" t="str">
        <f t="shared" si="9"/>
        <v>innocent</v>
      </c>
      <c r="J518" t="str">
        <v>innocent</v>
      </c>
      <c r="K518" t="str">
        <f>IFERROR(_xlfn.XLOOKUP(TRIM(H518), M:M, N:N, "Not Found"), "Not Found")</f>
        <v>Legality based</v>
      </c>
      <c r="V518" t="s">
        <v>1028</v>
      </c>
      <c r="W518" t="s">
        <v>1022</v>
      </c>
      <c r="X518">
        <f>Z518</f>
        <v>0</v>
      </c>
      <c r="Z518">
        <f>IFERROR(_xlfn.XLOOKUP(TRIM(V517), M:M, O:O, "Not Found"), "Not Found")</f>
        <v>0</v>
      </c>
    </row>
    <row r="519" spans="8:26">
      <c r="H519" t="s">
        <v>1020</v>
      </c>
      <c r="I519" t="str">
        <f t="shared" si="9"/>
        <v>af</v>
      </c>
      <c r="J519" t="str">
        <v>af</v>
      </c>
      <c r="K519" t="str">
        <f>IFERROR(_xlfn.XLOOKUP(TRIM(H519), M:M, N:N, "Not Found"), "Not Found")</f>
        <v>Intelligence based</v>
      </c>
      <c r="V519" t="s">
        <v>1028</v>
      </c>
      <c r="W519" t="s">
        <v>1022</v>
      </c>
      <c r="X519">
        <f>Z519</f>
        <v>0</v>
      </c>
      <c r="Z519">
        <f>IFERROR(_xlfn.XLOOKUP(TRIM(V518), M:M, O:O, "Not Found"), "Not Found")</f>
        <v>0</v>
      </c>
    </row>
    <row r="520" spans="8:26">
      <c r="H520" t="s">
        <v>1057</v>
      </c>
      <c r="I520" t="str">
        <f t="shared" si="9"/>
        <v>guilty</v>
      </c>
      <c r="J520" t="str">
        <v>guilty</v>
      </c>
      <c r="K520" t="str">
        <f>IFERROR(_xlfn.XLOOKUP(TRIM(H520), M:M, N:N, "Not Found"), "Not Found")</f>
        <v>Legality based</v>
      </c>
      <c r="V520" t="s">
        <v>1028</v>
      </c>
      <c r="W520" t="s">
        <v>1022</v>
      </c>
      <c r="X520">
        <f>Z520</f>
        <v>0</v>
      </c>
      <c r="Z520">
        <f>IFERROR(_xlfn.XLOOKUP(TRIM(V519), M:M, O:O, "Not Found"), "Not Found")</f>
        <v>0</v>
      </c>
    </row>
    <row r="521" spans="8:26">
      <c r="H521" t="s">
        <v>1059</v>
      </c>
      <c r="I521" t="str">
        <f t="shared" si="9"/>
        <v>guilty af</v>
      </c>
      <c r="J521" t="str">
        <v>guilty af</v>
      </c>
      <c r="K521" t="str">
        <f>IFERROR(_xlfn.XLOOKUP(TRIM(H521), M:M, N:N, "Not Found"), "Not Found")</f>
        <v>Legality based</v>
      </c>
      <c r="V521" t="s">
        <v>1028</v>
      </c>
      <c r="W521" t="s">
        <v>1022</v>
      </c>
      <c r="X521">
        <f>Z521</f>
        <v>0</v>
      </c>
      <c r="Z521">
        <f>IFERROR(_xlfn.XLOOKUP(TRIM(V520), M:M, O:O, "Not Found"), "Not Found")</f>
        <v>0</v>
      </c>
    </row>
    <row r="522" spans="8:26">
      <c r="H522" t="s">
        <v>1008</v>
      </c>
      <c r="I522" t="str">
        <f t="shared" si="9"/>
        <v>dumb</v>
      </c>
      <c r="J522" t="str">
        <v>dumb</v>
      </c>
      <c r="K522" t="str">
        <f>IFERROR(_xlfn.XLOOKUP(TRIM(H522), M:M, N:N, "Not Found"), "Not Found")</f>
        <v>Intelligence based</v>
      </c>
      <c r="V522" t="s">
        <v>1028</v>
      </c>
      <c r="W522" t="s">
        <v>1022</v>
      </c>
      <c r="X522">
        <f>Z522</f>
        <v>0</v>
      </c>
      <c r="Z522">
        <f>IFERROR(_xlfn.XLOOKUP(TRIM(V521), M:M, O:O, "Not Found"), "Not Found")</f>
        <v>0</v>
      </c>
    </row>
    <row r="523" spans="8:26">
      <c r="H523" t="s">
        <v>1038</v>
      </c>
      <c r="I523" t="str">
        <f t="shared" si="9"/>
        <v>bitch</v>
      </c>
      <c r="J523" t="str">
        <v>bitch</v>
      </c>
      <c r="K523" t="str">
        <f>IFERROR(_xlfn.XLOOKUP(TRIM(H523), M:M, N:N, "Not Found"), "Not Found")</f>
        <v>Class based</v>
      </c>
      <c r="V523" t="s">
        <v>1028</v>
      </c>
      <c r="W523" t="s">
        <v>1022</v>
      </c>
      <c r="X523">
        <f>Z523</f>
        <v>0</v>
      </c>
      <c r="Z523">
        <f>IFERROR(_xlfn.XLOOKUP(TRIM(V522), M:M, O:O, "Not Found"), "Not Found")</f>
        <v>0</v>
      </c>
    </row>
    <row r="524" spans="8:26">
      <c r="H524" t="s">
        <v>1062</v>
      </c>
      <c r="I524" t="str">
        <f t="shared" si="9"/>
        <v>served</v>
      </c>
      <c r="J524" t="str">
        <v>served</v>
      </c>
      <c r="K524" t="str">
        <f>IFERROR(_xlfn.XLOOKUP(TRIM(H524), M:M, N:N, "Not Found"), "Not Found")</f>
        <v>Legality based</v>
      </c>
      <c r="V524" t="s">
        <v>1028</v>
      </c>
      <c r="W524" t="s">
        <v>1022</v>
      </c>
      <c r="X524">
        <f>Z524</f>
        <v>0</v>
      </c>
      <c r="Z524">
        <f>IFERROR(_xlfn.XLOOKUP(TRIM(V523), M:M, O:O, "Not Found"), "Not Found")</f>
        <v>0</v>
      </c>
    </row>
    <row r="525" spans="8:26">
      <c r="H525" t="s">
        <v>974</v>
      </c>
      <c r="I525" t="str">
        <f t="shared" si="9"/>
        <v>smuggling</v>
      </c>
      <c r="J525" t="str">
        <v>smuggling</v>
      </c>
      <c r="K525" t="str">
        <f>IFERROR(_xlfn.XLOOKUP(TRIM(H525), M:M, N:N, "Not Found"), "Not Found")</f>
        <v>Case Related</v>
      </c>
      <c r="V525" t="s">
        <v>1028</v>
      </c>
      <c r="W525" t="s">
        <v>1022</v>
      </c>
      <c r="X525">
        <f>Z525</f>
        <v>0</v>
      </c>
      <c r="Z525">
        <f>IFERROR(_xlfn.XLOOKUP(TRIM(V524), M:M, O:O, "Not Found"), "Not Found")</f>
        <v>0</v>
      </c>
    </row>
    <row r="526" spans="8:26">
      <c r="H526" t="s">
        <v>983</v>
      </c>
      <c r="I526" t="str">
        <f t="shared" si="9"/>
        <v>australia</v>
      </c>
      <c r="J526" t="str">
        <v>australia</v>
      </c>
      <c r="K526" t="str">
        <f>IFERROR(_xlfn.XLOOKUP(TRIM(H526), M:M, N:N, "Not Found"), "Not Found")</f>
        <v>Case Related</v>
      </c>
      <c r="V526" t="s">
        <v>1028</v>
      </c>
      <c r="W526" t="s">
        <v>1022</v>
      </c>
      <c r="X526">
        <f>Z526</f>
        <v>0</v>
      </c>
      <c r="Z526">
        <f>IFERROR(_xlfn.XLOOKUP(TRIM(V525), M:M, O:O, "Not Found"), "Not Found")</f>
        <v>0</v>
      </c>
    </row>
    <row r="527" spans="8:26">
      <c r="H527" t="s">
        <v>995</v>
      </c>
      <c r="I527" t="str">
        <f t="shared" si="9"/>
        <v>weed</v>
      </c>
      <c r="J527" t="str">
        <v>weed</v>
      </c>
      <c r="K527" t="str">
        <f>IFERROR(_xlfn.XLOOKUP(TRIM(H527), M:M, N:N, "Not Found"), "Not Found")</f>
        <v>Crime based</v>
      </c>
      <c r="V527" t="s">
        <v>1028</v>
      </c>
      <c r="W527" t="s">
        <v>1022</v>
      </c>
      <c r="X527">
        <f>Z527</f>
        <v>0</v>
      </c>
      <c r="Z527">
        <f>IFERROR(_xlfn.XLOOKUP(TRIM(V526), M:M, O:O, "Not Found"), "Not Found")</f>
        <v>0</v>
      </c>
    </row>
    <row r="528" spans="8:26">
      <c r="H528" t="s">
        <v>970</v>
      </c>
      <c r="I528" t="str">
        <f t="shared" si="9"/>
        <v>australian</v>
      </c>
      <c r="J528" t="str">
        <v>australian</v>
      </c>
      <c r="K528" t="str">
        <f>IFERROR(_xlfn.XLOOKUP(TRIM(H528), M:M, N:N, "Not Found"), "Not Found")</f>
        <v>Case Related</v>
      </c>
      <c r="V528" t="s">
        <v>1028</v>
      </c>
      <c r="W528" t="s">
        <v>1022</v>
      </c>
      <c r="X528">
        <f>Z528</f>
        <v>0</v>
      </c>
      <c r="Z528">
        <f>IFERROR(_xlfn.XLOOKUP(TRIM(V527), M:M, O:O, "Not Found"), "Not Found")</f>
        <v>0</v>
      </c>
    </row>
    <row r="529" spans="8:26">
      <c r="H529" t="s">
        <v>983</v>
      </c>
      <c r="I529" t="str">
        <f t="shared" si="9"/>
        <v>australia</v>
      </c>
      <c r="J529" t="str">
        <v>australia</v>
      </c>
      <c r="K529" t="str">
        <f>IFERROR(_xlfn.XLOOKUP(TRIM(H529), M:M, N:N, "Not Found"), "Not Found")</f>
        <v>Case Related</v>
      </c>
      <c r="V529" t="s">
        <v>1028</v>
      </c>
      <c r="W529" t="s">
        <v>1022</v>
      </c>
      <c r="X529">
        <f>Z529</f>
        <v>0</v>
      </c>
      <c r="Z529">
        <f>IFERROR(_xlfn.XLOOKUP(TRIM(V528), M:M, O:O, "Not Found"), "Not Found")</f>
        <v>0</v>
      </c>
    </row>
    <row r="530" spans="8:26">
      <c r="H530" t="s">
        <v>989</v>
      </c>
      <c r="I530" t="str">
        <f t="shared" si="9"/>
        <v>criminal</v>
      </c>
      <c r="J530" t="str">
        <v>criminal</v>
      </c>
      <c r="K530" t="str">
        <f>IFERROR(_xlfn.XLOOKUP(TRIM(H530), M:M, N:N, "Not Found"), "Not Found")</f>
        <v>Crime based</v>
      </c>
      <c r="V530" t="s">
        <v>1028</v>
      </c>
      <c r="W530" t="s">
        <v>1022</v>
      </c>
      <c r="X530">
        <f>Z530</f>
        <v>0</v>
      </c>
      <c r="Z530">
        <f>IFERROR(_xlfn.XLOOKUP(TRIM(V529), M:M, O:O, "Not Found"), "Not Found")</f>
        <v>0</v>
      </c>
    </row>
    <row r="531" spans="8:26">
      <c r="H531" t="s">
        <v>984</v>
      </c>
      <c r="I531" t="str">
        <f t="shared" si="9"/>
        <v>drugs</v>
      </c>
      <c r="J531" t="str">
        <v>drugs</v>
      </c>
      <c r="K531" t="str">
        <f>IFERROR(_xlfn.XLOOKUP(TRIM(H531), M:M, N:N, "Not Found"), "Not Found")</f>
        <v>Crime based</v>
      </c>
      <c r="V531" t="s">
        <v>1028</v>
      </c>
      <c r="W531" t="s">
        <v>1022</v>
      </c>
      <c r="X531">
        <f>Z531</f>
        <v>0</v>
      </c>
      <c r="Z531">
        <f>IFERROR(_xlfn.XLOOKUP(TRIM(V530), M:M, O:O, "Not Found"), "Not Found")</f>
        <v>0</v>
      </c>
    </row>
    <row r="532" spans="8:26">
      <c r="H532" t="s">
        <v>1030</v>
      </c>
      <c r="I532" t="str">
        <f t="shared" si="9"/>
        <v>father</v>
      </c>
      <c r="J532" t="str">
        <v>father</v>
      </c>
      <c r="K532" t="str">
        <f>IFERROR(_xlfn.XLOOKUP(TRIM(H532), M:M, N:N, "Not Found"), "Not Found")</f>
        <v>Familial based</v>
      </c>
      <c r="V532" t="s">
        <v>1028</v>
      </c>
      <c r="W532" t="s">
        <v>1022</v>
      </c>
      <c r="X532">
        <f>Z532</f>
        <v>0</v>
      </c>
      <c r="Z532">
        <f>IFERROR(_xlfn.XLOOKUP(TRIM(V531), M:M, O:O, "Not Found"), "Not Found")</f>
        <v>0</v>
      </c>
    </row>
    <row r="533" spans="8:26">
      <c r="H533" t="s">
        <v>984</v>
      </c>
      <c r="I533" t="str">
        <f t="shared" si="9"/>
        <v>drugs</v>
      </c>
      <c r="J533" t="str">
        <v>drugs</v>
      </c>
      <c r="K533" t="str">
        <f>IFERROR(_xlfn.XLOOKUP(TRIM(H533), M:M, N:N, "Not Found"), "Not Found")</f>
        <v>Crime based</v>
      </c>
      <c r="V533" t="s">
        <v>1028</v>
      </c>
      <c r="W533" t="s">
        <v>1022</v>
      </c>
      <c r="X533">
        <f>Z533</f>
        <v>0</v>
      </c>
      <c r="Z533">
        <f>IFERROR(_xlfn.XLOOKUP(TRIM(V532), M:M, O:O, "Not Found"), "Not Found")</f>
        <v>0</v>
      </c>
    </row>
    <row r="534" spans="8:26">
      <c r="H534" t="s">
        <v>1009</v>
      </c>
      <c r="I534" t="str">
        <f t="shared" si="9"/>
        <v>stupid</v>
      </c>
      <c r="J534" t="str">
        <v>stupid</v>
      </c>
      <c r="K534" t="str">
        <f>IFERROR(_xlfn.XLOOKUP(TRIM(H534), M:M, N:N, "Not Found"), "Not Found")</f>
        <v>Intelligence based</v>
      </c>
      <c r="V534" t="s">
        <v>1028</v>
      </c>
      <c r="W534" t="s">
        <v>1022</v>
      </c>
      <c r="X534">
        <f>Z534</f>
        <v>0</v>
      </c>
      <c r="Z534">
        <f>IFERROR(_xlfn.XLOOKUP(TRIM(V533), M:M, O:O, "Not Found"), "Not Found")</f>
        <v>0</v>
      </c>
    </row>
    <row r="535" spans="8:26">
      <c r="H535" t="s">
        <v>1030</v>
      </c>
      <c r="I535" t="str">
        <f t="shared" si="9"/>
        <v>father</v>
      </c>
      <c r="J535" t="str">
        <v>father</v>
      </c>
      <c r="K535" t="str">
        <f>IFERROR(_xlfn.XLOOKUP(TRIM(H535), M:M, N:N, "Not Found"), "Not Found")</f>
        <v>Familial based</v>
      </c>
      <c r="V535" t="s">
        <v>1028</v>
      </c>
      <c r="W535" t="s">
        <v>1022</v>
      </c>
      <c r="X535">
        <f>Z535</f>
        <v>0</v>
      </c>
      <c r="Z535">
        <f>IFERROR(_xlfn.XLOOKUP(TRIM(V534), M:M, O:O, "Not Found"), "Not Found")</f>
        <v>0</v>
      </c>
    </row>
    <row r="536" spans="8:26">
      <c r="H536" t="s">
        <v>1057</v>
      </c>
      <c r="I536" t="str">
        <f t="shared" si="9"/>
        <v>guilty</v>
      </c>
      <c r="J536" t="str">
        <v>guilty</v>
      </c>
      <c r="K536" t="str">
        <f>IFERROR(_xlfn.XLOOKUP(TRIM(H536), M:M, N:N, "Not Found"), "Not Found")</f>
        <v>Legality based</v>
      </c>
      <c r="V536" t="s">
        <v>1028</v>
      </c>
      <c r="W536" t="s">
        <v>1022</v>
      </c>
      <c r="X536">
        <f>Z536</f>
        <v>0</v>
      </c>
      <c r="Z536">
        <f>IFERROR(_xlfn.XLOOKUP(TRIM(V535), M:M, O:O, "Not Found"), "Not Found")</f>
        <v>0</v>
      </c>
    </row>
    <row r="537" spans="8:26">
      <c r="H537" t="s">
        <v>1076</v>
      </c>
      <c r="I537" t="str">
        <f t="shared" si="9"/>
        <v>import</v>
      </c>
      <c r="J537" t="str">
        <v>import</v>
      </c>
      <c r="K537" t="str">
        <f>IFERROR(_xlfn.XLOOKUP(TRIM(H537), M:M, N:N, "Not Found"), "Not Found")</f>
        <v>Legality based</v>
      </c>
      <c r="V537" t="s">
        <v>1028</v>
      </c>
      <c r="W537" t="s">
        <v>1022</v>
      </c>
      <c r="X537">
        <f>Z537</f>
        <v>0</v>
      </c>
      <c r="Z537">
        <f>IFERROR(_xlfn.XLOOKUP(TRIM(V536), M:M, O:O, "Not Found"), "Not Found")</f>
        <v>0</v>
      </c>
    </row>
    <row r="538" spans="8:26">
      <c r="H538" t="s">
        <v>1077</v>
      </c>
      <c r="I538" t="str">
        <f t="shared" si="9"/>
        <v>export</v>
      </c>
      <c r="J538" t="str">
        <v>export</v>
      </c>
      <c r="K538" t="str">
        <f>IFERROR(_xlfn.XLOOKUP(TRIM(H538), M:M, N:N, "Not Found"), "Not Found")</f>
        <v>Legality based</v>
      </c>
      <c r="V538" t="s">
        <v>1028</v>
      </c>
      <c r="W538" t="s">
        <v>1022</v>
      </c>
      <c r="X538">
        <f>Z538</f>
        <v>0</v>
      </c>
      <c r="Z538">
        <f>IFERROR(_xlfn.XLOOKUP(TRIM(V537), M:M, O:O, "Not Found"), "Not Found")</f>
        <v>0</v>
      </c>
    </row>
    <row r="539" spans="8:26">
      <c r="H539" t="s">
        <v>1006</v>
      </c>
      <c r="I539" t="str">
        <f t="shared" si="9"/>
        <v>idiot</v>
      </c>
      <c r="J539" t="str">
        <v>idiot</v>
      </c>
      <c r="K539" t="str">
        <f>IFERROR(_xlfn.XLOOKUP(TRIM(H539), M:M, N:N, "Not Found"), "Not Found")</f>
        <v>Intelligence based</v>
      </c>
      <c r="V539" t="s">
        <v>1028</v>
      </c>
      <c r="W539" t="s">
        <v>1022</v>
      </c>
      <c r="X539">
        <f>Z539</f>
        <v>0</v>
      </c>
      <c r="Z539">
        <f>IFERROR(_xlfn.XLOOKUP(TRIM(V538), M:M, O:O, "Not Found"), "Not Found")</f>
        <v>0</v>
      </c>
    </row>
    <row r="540" spans="8:26">
      <c r="H540" t="s">
        <v>1057</v>
      </c>
      <c r="I540" t="str">
        <f t="shared" si="9"/>
        <v>guilty</v>
      </c>
      <c r="J540" t="str">
        <v>guilty</v>
      </c>
      <c r="K540" t="str">
        <f>IFERROR(_xlfn.XLOOKUP(TRIM(H540), M:M, N:N, "Not Found"), "Not Found")</f>
        <v>Legality based</v>
      </c>
      <c r="V540" t="s">
        <v>1028</v>
      </c>
      <c r="W540" t="s">
        <v>1022</v>
      </c>
      <c r="X540">
        <f>Z540</f>
        <v>0</v>
      </c>
      <c r="Z540">
        <f>IFERROR(_xlfn.XLOOKUP(TRIM(V539), M:M, O:O, "Not Found"), "Not Found")</f>
        <v>0</v>
      </c>
    </row>
    <row r="541" spans="8:26">
      <c r="H541" t="s">
        <v>1031</v>
      </c>
      <c r="I541" t="str">
        <f t="shared" si="9"/>
        <v>bogan</v>
      </c>
      <c r="J541" t="str">
        <v>bogan</v>
      </c>
      <c r="K541" t="str">
        <f>IFERROR(_xlfn.XLOOKUP(TRIM(H541), M:M, N:N, "Not Found"), "Not Found")</f>
        <v>Class based</v>
      </c>
      <c r="V541" t="s">
        <v>1028</v>
      </c>
      <c r="W541" t="s">
        <v>1022</v>
      </c>
      <c r="X541">
        <f>Z541</f>
        <v>0</v>
      </c>
      <c r="Z541">
        <f>IFERROR(_xlfn.XLOOKUP(TRIM(V540), M:M, O:O, "Not Found"), "Not Found")</f>
        <v>0</v>
      </c>
    </row>
    <row r="542" spans="8:26">
      <c r="H542" t="s">
        <v>1031</v>
      </c>
      <c r="I542" t="str">
        <f t="shared" si="9"/>
        <v>bogan</v>
      </c>
      <c r="J542" t="str">
        <v>bogan</v>
      </c>
      <c r="K542" t="str">
        <f>IFERROR(_xlfn.XLOOKUP(TRIM(H542), M:M, N:N, "Not Found"), "Not Found")</f>
        <v>Class based</v>
      </c>
      <c r="V542" t="s">
        <v>1028</v>
      </c>
      <c r="W542" t="s">
        <v>1022</v>
      </c>
      <c r="X542">
        <f>Z542</f>
        <v>0</v>
      </c>
      <c r="Z542">
        <f>IFERROR(_xlfn.XLOOKUP(TRIM(V541), M:M, O:O, "Not Found"), "Not Found")</f>
        <v>0</v>
      </c>
    </row>
    <row r="543" spans="8:26">
      <c r="H543" t="s">
        <v>1006</v>
      </c>
      <c r="I543" t="str">
        <f t="shared" si="9"/>
        <v>idiot</v>
      </c>
      <c r="J543" t="str">
        <v>idiot</v>
      </c>
      <c r="K543" t="str">
        <f>IFERROR(_xlfn.XLOOKUP(TRIM(H543), M:M, N:N, "Not Found"), "Not Found")</f>
        <v>Intelligence based</v>
      </c>
      <c r="V543" t="s">
        <v>1028</v>
      </c>
      <c r="W543" t="s">
        <v>1022</v>
      </c>
      <c r="X543">
        <f>Z543</f>
        <v>0</v>
      </c>
      <c r="Z543">
        <f>IFERROR(_xlfn.XLOOKUP(TRIM(V542), M:M, O:O, "Not Found"), "Not Found")</f>
        <v>0</v>
      </c>
    </row>
    <row r="544" spans="8:26">
      <c r="H544" t="s">
        <v>1057</v>
      </c>
      <c r="I544" t="str">
        <f t="shared" si="9"/>
        <v>guilty</v>
      </c>
      <c r="J544" t="str">
        <v>guilty</v>
      </c>
      <c r="K544" t="str">
        <f>IFERROR(_xlfn.XLOOKUP(TRIM(H544), M:M, N:N, "Not Found"), "Not Found")</f>
        <v>Legality based</v>
      </c>
      <c r="V544" t="s">
        <v>1028</v>
      </c>
      <c r="W544" t="s">
        <v>1022</v>
      </c>
      <c r="X544">
        <f>Z544</f>
        <v>0</v>
      </c>
      <c r="Z544">
        <f>IFERROR(_xlfn.XLOOKUP(TRIM(V543), M:M, O:O, "Not Found"), "Not Found")</f>
        <v>0</v>
      </c>
    </row>
    <row r="545" spans="8:26">
      <c r="H545" t="s">
        <v>983</v>
      </c>
      <c r="I545" t="str">
        <f t="shared" si="9"/>
        <v>australia</v>
      </c>
      <c r="J545" t="str">
        <v>australia</v>
      </c>
      <c r="K545" t="str">
        <f>IFERROR(_xlfn.XLOOKUP(TRIM(H545), M:M, N:N, "Not Found"), "Not Found")</f>
        <v>Case Related</v>
      </c>
      <c r="V545" t="s">
        <v>1028</v>
      </c>
      <c r="W545" t="s">
        <v>1022</v>
      </c>
      <c r="X545">
        <f>Z545</f>
        <v>0</v>
      </c>
      <c r="Z545">
        <f>IFERROR(_xlfn.XLOOKUP(TRIM(V544), M:M, O:O, "Not Found"), "Not Found")</f>
        <v>0</v>
      </c>
    </row>
    <row r="546" spans="8:26">
      <c r="H546" t="s">
        <v>1028</v>
      </c>
      <c r="I546" t="str">
        <f t="shared" si="9"/>
        <v>corby</v>
      </c>
      <c r="J546" t="str">
        <v>corby</v>
      </c>
      <c r="K546" t="str">
        <f>IFERROR(_xlfn.XLOOKUP(TRIM(H546), M:M, N:N, "Not Found"), "Not Found")</f>
        <v>Familial based</v>
      </c>
      <c r="V546" t="s">
        <v>1028</v>
      </c>
      <c r="W546" t="s">
        <v>1022</v>
      </c>
      <c r="X546">
        <f>Z546</f>
        <v>0</v>
      </c>
      <c r="Z546">
        <f>IFERROR(_xlfn.XLOOKUP(TRIM(V545), M:M, O:O, "Not Found"), "Not Found")</f>
        <v>0</v>
      </c>
    </row>
    <row r="547" spans="8:26">
      <c r="H547" t="s">
        <v>1057</v>
      </c>
      <c r="I547" t="str">
        <f t="shared" si="9"/>
        <v>guilty</v>
      </c>
      <c r="J547" t="str">
        <v>guilty</v>
      </c>
      <c r="K547" t="str">
        <f>IFERROR(_xlfn.XLOOKUP(TRIM(H547), M:M, N:N, "Not Found"), "Not Found")</f>
        <v>Legality based</v>
      </c>
      <c r="V547" t="s">
        <v>1028</v>
      </c>
      <c r="W547" t="s">
        <v>1022</v>
      </c>
      <c r="X547">
        <f>Z547</f>
        <v>0</v>
      </c>
      <c r="Z547">
        <f>IFERROR(_xlfn.XLOOKUP(TRIM(V546), M:M, O:O, "Not Found"), "Not Found")</f>
        <v>0</v>
      </c>
    </row>
    <row r="548" spans="8:26">
      <c r="H548" t="s">
        <v>970</v>
      </c>
      <c r="I548" t="str">
        <f t="shared" si="9"/>
        <v>australian</v>
      </c>
      <c r="J548" t="str">
        <v>australian</v>
      </c>
      <c r="K548" t="str">
        <f>IFERROR(_xlfn.XLOOKUP(TRIM(H548), M:M, N:N, "Not Found"), "Not Found")</f>
        <v>Case Related</v>
      </c>
      <c r="V548" t="s">
        <v>1028</v>
      </c>
      <c r="W548" t="s">
        <v>1022</v>
      </c>
      <c r="X548">
        <f>Z548</f>
        <v>0</v>
      </c>
      <c r="Z548">
        <f>IFERROR(_xlfn.XLOOKUP(TRIM(V547), M:M, O:O, "Not Found"), "Not Found")</f>
        <v>0</v>
      </c>
    </row>
    <row r="549" spans="8:26">
      <c r="H549" t="s">
        <v>983</v>
      </c>
      <c r="I549" t="str">
        <f t="shared" si="9"/>
        <v>australia</v>
      </c>
      <c r="J549" t="str">
        <v>australia</v>
      </c>
      <c r="K549" t="str">
        <f>IFERROR(_xlfn.XLOOKUP(TRIM(H549), M:M, N:N, "Not Found"), "Not Found")</f>
        <v>Case Related</v>
      </c>
      <c r="V549" t="s">
        <v>1028</v>
      </c>
      <c r="W549" t="s">
        <v>1022</v>
      </c>
      <c r="X549">
        <f>Z549</f>
        <v>0</v>
      </c>
      <c r="Z549">
        <f>IFERROR(_xlfn.XLOOKUP(TRIM(V548), M:M, O:O, "Not Found"), "Not Found")</f>
        <v>0</v>
      </c>
    </row>
    <row r="550" spans="8:26">
      <c r="H550" t="s">
        <v>989</v>
      </c>
      <c r="I550" t="str">
        <f t="shared" si="9"/>
        <v>criminal</v>
      </c>
      <c r="J550" t="str">
        <v>criminal</v>
      </c>
      <c r="K550" t="str">
        <f>IFERROR(_xlfn.XLOOKUP(TRIM(H550), M:M, N:N, "Not Found"), "Not Found")</f>
        <v>Crime based</v>
      </c>
      <c r="V550" t="s">
        <v>1028</v>
      </c>
      <c r="W550" t="s">
        <v>1022</v>
      </c>
      <c r="X550">
        <f>Z550</f>
        <v>0</v>
      </c>
      <c r="Z550">
        <f>IFERROR(_xlfn.XLOOKUP(TRIM(V549), M:M, O:O, "Not Found"), "Not Found")</f>
        <v>0</v>
      </c>
    </row>
    <row r="551" spans="8:26">
      <c r="H551" t="s">
        <v>970</v>
      </c>
      <c r="I551" t="str">
        <f t="shared" si="9"/>
        <v>australian</v>
      </c>
      <c r="J551" t="str">
        <v>australian</v>
      </c>
      <c r="K551" t="str">
        <f>IFERROR(_xlfn.XLOOKUP(TRIM(H551), M:M, N:N, "Not Found"), "Not Found")</f>
        <v>Case Related</v>
      </c>
      <c r="V551" t="s">
        <v>1028</v>
      </c>
      <c r="W551" t="s">
        <v>1022</v>
      </c>
      <c r="X551">
        <f>Z551</f>
        <v>0</v>
      </c>
      <c r="Z551">
        <f>IFERROR(_xlfn.XLOOKUP(TRIM(V550), M:M, O:O, "Not Found"), "Not Found")</f>
        <v>0</v>
      </c>
    </row>
    <row r="552" spans="8:26">
      <c r="H552" t="s">
        <v>983</v>
      </c>
      <c r="I552" t="str">
        <f t="shared" si="9"/>
        <v>australia</v>
      </c>
      <c r="J552" t="str">
        <v>australia</v>
      </c>
      <c r="K552" t="str">
        <f>IFERROR(_xlfn.XLOOKUP(TRIM(H552), M:M, N:N, "Not Found"), "Not Found")</f>
        <v>Case Related</v>
      </c>
      <c r="V552" t="s">
        <v>1028</v>
      </c>
      <c r="W552" t="s">
        <v>1022</v>
      </c>
      <c r="X552">
        <f>Z552</f>
        <v>0</v>
      </c>
      <c r="Z552">
        <f>IFERROR(_xlfn.XLOOKUP(TRIM(V551), M:M, O:O, "Not Found"), "Not Found")</f>
        <v>0</v>
      </c>
    </row>
    <row r="553" spans="8:26">
      <c r="H553" t="s">
        <v>989</v>
      </c>
      <c r="I553" t="str">
        <f t="shared" si="9"/>
        <v>criminal</v>
      </c>
      <c r="J553" t="str">
        <v>criminal</v>
      </c>
      <c r="K553" t="str">
        <f>IFERROR(_xlfn.XLOOKUP(TRIM(H553), M:M, N:N, "Not Found"), "Not Found")</f>
        <v>Crime based</v>
      </c>
      <c r="V553" t="s">
        <v>1028</v>
      </c>
      <c r="W553" t="s">
        <v>1022</v>
      </c>
      <c r="X553">
        <f>Z553</f>
        <v>0</v>
      </c>
      <c r="Z553">
        <f>IFERROR(_xlfn.XLOOKUP(TRIM(V552), M:M, O:O, "Not Found"), "Not Found")</f>
        <v>0</v>
      </c>
    </row>
    <row r="554" spans="8:26">
      <c r="H554" t="s">
        <v>983</v>
      </c>
      <c r="I554" t="str">
        <f t="shared" si="9"/>
        <v>australia</v>
      </c>
      <c r="J554" t="str">
        <v>australia</v>
      </c>
      <c r="K554" t="str">
        <f>IFERROR(_xlfn.XLOOKUP(TRIM(H554), M:M, N:N, "Not Found"), "Not Found")</f>
        <v>Case Related</v>
      </c>
      <c r="V554" t="s">
        <v>1028</v>
      </c>
      <c r="W554" t="s">
        <v>1022</v>
      </c>
      <c r="X554">
        <f>Z554</f>
        <v>0</v>
      </c>
      <c r="Z554">
        <f>IFERROR(_xlfn.XLOOKUP(TRIM(V553), M:M, O:O, "Not Found"), "Not Found")</f>
        <v>0</v>
      </c>
    </row>
    <row r="555" spans="8:26">
      <c r="H555" t="s">
        <v>989</v>
      </c>
      <c r="I555" t="str">
        <f t="shared" si="9"/>
        <v>criminal</v>
      </c>
      <c r="J555" t="str">
        <v>criminal</v>
      </c>
      <c r="K555" t="str">
        <f>IFERROR(_xlfn.XLOOKUP(TRIM(H555), M:M, N:N, "Not Found"), "Not Found")</f>
        <v>Crime based</v>
      </c>
      <c r="V555" t="s">
        <v>1028</v>
      </c>
      <c r="W555" t="s">
        <v>1022</v>
      </c>
      <c r="X555">
        <f>Z555</f>
        <v>0</v>
      </c>
      <c r="Z555">
        <f>IFERROR(_xlfn.XLOOKUP(TRIM(V554), M:M, O:O, "Not Found"), "Not Found")</f>
        <v>0</v>
      </c>
    </row>
    <row r="556" spans="8:26">
      <c r="H556" t="s">
        <v>983</v>
      </c>
      <c r="I556" t="str">
        <f t="shared" si="9"/>
        <v>australia</v>
      </c>
      <c r="J556" t="str">
        <v>australia</v>
      </c>
      <c r="K556" t="str">
        <f>IFERROR(_xlfn.XLOOKUP(TRIM(H556), M:M, N:N, "Not Found"), "Not Found")</f>
        <v>Case Related</v>
      </c>
      <c r="V556" t="s">
        <v>1028</v>
      </c>
      <c r="W556" t="s">
        <v>1022</v>
      </c>
      <c r="X556">
        <f>Z556</f>
        <v>0</v>
      </c>
      <c r="Z556">
        <f>IFERROR(_xlfn.XLOOKUP(TRIM(V555), M:M, O:O, "Not Found"), "Not Found")</f>
        <v>0</v>
      </c>
    </row>
    <row r="557" spans="8:26">
      <c r="H557" t="s">
        <v>989</v>
      </c>
      <c r="I557" t="str">
        <f t="shared" si="9"/>
        <v>criminal</v>
      </c>
      <c r="J557" t="str">
        <v>criminal</v>
      </c>
      <c r="K557" t="str">
        <f>IFERROR(_xlfn.XLOOKUP(TRIM(H557), M:M, N:N, "Not Found"), "Not Found")</f>
        <v>Crime based</v>
      </c>
      <c r="V557" t="s">
        <v>1028</v>
      </c>
      <c r="W557" t="s">
        <v>1022</v>
      </c>
      <c r="X557">
        <f>Z557</f>
        <v>0</v>
      </c>
      <c r="Z557">
        <f>IFERROR(_xlfn.XLOOKUP(TRIM(V556), M:M, O:O, "Not Found"), "Not Found")</f>
        <v>0</v>
      </c>
    </row>
    <row r="558" spans="8:26">
      <c r="H558" t="s">
        <v>1020</v>
      </c>
      <c r="I558" t="str">
        <f t="shared" si="9"/>
        <v>af</v>
      </c>
      <c r="J558" t="str">
        <v>af</v>
      </c>
      <c r="K558" t="str">
        <f>IFERROR(_xlfn.XLOOKUP(TRIM(H558), M:M, N:N, "Not Found"), "Not Found")</f>
        <v>Intelligence based</v>
      </c>
      <c r="V558" t="s">
        <v>1028</v>
      </c>
      <c r="W558" t="s">
        <v>1022</v>
      </c>
      <c r="X558">
        <f>Z558</f>
        <v>0</v>
      </c>
      <c r="Z558">
        <f>IFERROR(_xlfn.XLOOKUP(TRIM(V557), M:M, O:O, "Not Found"), "Not Found")</f>
        <v>0</v>
      </c>
    </row>
    <row r="559" spans="8:26">
      <c r="H559" t="s">
        <v>983</v>
      </c>
      <c r="I559" t="str">
        <f t="shared" si="9"/>
        <v>australia</v>
      </c>
      <c r="J559" t="str">
        <v>australia</v>
      </c>
      <c r="K559" t="str">
        <f>IFERROR(_xlfn.XLOOKUP(TRIM(H559), M:M, N:N, "Not Found"), "Not Found")</f>
        <v>Case Related</v>
      </c>
      <c r="V559" t="s">
        <v>1028</v>
      </c>
      <c r="W559" t="s">
        <v>1022</v>
      </c>
      <c r="X559">
        <f>Z559</f>
        <v>0</v>
      </c>
      <c r="Z559">
        <f>IFERROR(_xlfn.XLOOKUP(TRIM(V558), M:M, O:O, "Not Found"), "Not Found")</f>
        <v>0</v>
      </c>
    </row>
    <row r="560" spans="8:26">
      <c r="H560" t="s">
        <v>1031</v>
      </c>
      <c r="I560" t="str">
        <f t="shared" si="9"/>
        <v>bogan</v>
      </c>
      <c r="J560" t="str">
        <v>bogan</v>
      </c>
      <c r="K560" t="str">
        <f>IFERROR(_xlfn.XLOOKUP(TRIM(H560), M:M, N:N, "Not Found"), "Not Found")</f>
        <v>Class based</v>
      </c>
      <c r="V560" t="s">
        <v>1028</v>
      </c>
      <c r="W560" t="s">
        <v>1022</v>
      </c>
      <c r="X560">
        <f>Z560</f>
        <v>0</v>
      </c>
      <c r="Z560">
        <f>IFERROR(_xlfn.XLOOKUP(TRIM(V559), M:M, O:O, "Not Found"), "Not Found")</f>
        <v>0</v>
      </c>
    </row>
    <row r="561" spans="8:26">
      <c r="H561" t="s">
        <v>970</v>
      </c>
      <c r="I561" t="str">
        <f t="shared" si="9"/>
        <v>australian</v>
      </c>
      <c r="J561" t="str">
        <v>australian</v>
      </c>
      <c r="K561" t="str">
        <f>IFERROR(_xlfn.XLOOKUP(TRIM(H561), M:M, N:N, "Not Found"), "Not Found")</f>
        <v>Case Related</v>
      </c>
      <c r="V561" t="s">
        <v>1028</v>
      </c>
      <c r="W561" t="s">
        <v>1022</v>
      </c>
      <c r="X561">
        <f>Z561</f>
        <v>0</v>
      </c>
      <c r="Z561">
        <f>IFERROR(_xlfn.XLOOKUP(TRIM(V560), M:M, O:O, "Not Found"), "Not Found")</f>
        <v>0</v>
      </c>
    </row>
    <row r="562" spans="8:26">
      <c r="H562" t="s">
        <v>983</v>
      </c>
      <c r="I562" t="str">
        <f t="shared" si="9"/>
        <v>australia</v>
      </c>
      <c r="J562" t="str">
        <v>australia</v>
      </c>
      <c r="K562" t="str">
        <f>IFERROR(_xlfn.XLOOKUP(TRIM(H562), M:M, N:N, "Not Found"), "Not Found")</f>
        <v>Case Related</v>
      </c>
      <c r="V562" t="s">
        <v>1028</v>
      </c>
      <c r="W562" t="s">
        <v>1022</v>
      </c>
      <c r="X562">
        <f>Z562</f>
        <v>0</v>
      </c>
      <c r="Z562">
        <f>IFERROR(_xlfn.XLOOKUP(TRIM(V561), M:M, O:O, "Not Found"), "Not Found")</f>
        <v>0</v>
      </c>
    </row>
    <row r="563" spans="8:26">
      <c r="H563" t="s">
        <v>989</v>
      </c>
      <c r="I563" t="str">
        <f t="shared" si="9"/>
        <v>criminal</v>
      </c>
      <c r="J563" t="str">
        <v>criminal</v>
      </c>
      <c r="K563" t="str">
        <f>IFERROR(_xlfn.XLOOKUP(TRIM(H563), M:M, N:N, "Not Found"), "Not Found")</f>
        <v>Crime based</v>
      </c>
      <c r="V563" t="s">
        <v>1028</v>
      </c>
      <c r="W563" t="s">
        <v>1022</v>
      </c>
      <c r="X563">
        <f>Z563</f>
        <v>0</v>
      </c>
      <c r="Z563">
        <f>IFERROR(_xlfn.XLOOKUP(TRIM(V562), M:M, O:O, "Not Found"), "Not Found")</f>
        <v>0</v>
      </c>
    </row>
    <row r="564" spans="8:26">
      <c r="H564" t="s">
        <v>989</v>
      </c>
      <c r="I564" t="str">
        <f t="shared" si="9"/>
        <v>criminal</v>
      </c>
      <c r="J564" t="str">
        <v>criminal</v>
      </c>
      <c r="K564" t="str">
        <f>IFERROR(_xlfn.XLOOKUP(TRIM(H564), M:M, N:N, "Not Found"), "Not Found")</f>
        <v>Crime based</v>
      </c>
      <c r="V564" t="s">
        <v>1028</v>
      </c>
      <c r="W564" t="s">
        <v>1022</v>
      </c>
      <c r="X564">
        <f>Z564</f>
        <v>0</v>
      </c>
      <c r="Z564">
        <f>IFERROR(_xlfn.XLOOKUP(TRIM(V563), M:M, O:O, "Not Found"), "Not Found")</f>
        <v>0</v>
      </c>
    </row>
    <row r="565" spans="8:26">
      <c r="H565" t="s">
        <v>1239</v>
      </c>
      <c r="I565" t="str">
        <f t="shared" si="9"/>
        <v>indonesia</v>
      </c>
      <c r="J565" t="str">
        <v>indonesia</v>
      </c>
      <c r="K565" t="str">
        <f>IFERROR(_xlfn.XLOOKUP(TRIM(H565), M:M, N:N, "Not Found"), "Not Found")</f>
        <v>Not Found</v>
      </c>
      <c r="V565" t="s">
        <v>1028</v>
      </c>
      <c r="W565" t="s">
        <v>1022</v>
      </c>
      <c r="X565">
        <f>Z565</f>
        <v>0</v>
      </c>
      <c r="Z565">
        <f>IFERROR(_xlfn.XLOOKUP(TRIM(V564), M:M, O:O, "Not Found"), "Not Found")</f>
        <v>0</v>
      </c>
    </row>
    <row r="566" spans="8:26">
      <c r="H566" t="s">
        <v>983</v>
      </c>
      <c r="I566" t="str">
        <f t="shared" si="9"/>
        <v>australia</v>
      </c>
      <c r="J566" t="str">
        <v>australia</v>
      </c>
      <c r="K566" t="str">
        <f>IFERROR(_xlfn.XLOOKUP(TRIM(H566), M:M, N:N, "Not Found"), "Not Found")</f>
        <v>Case Related</v>
      </c>
      <c r="V566" t="s">
        <v>1028</v>
      </c>
      <c r="W566" t="s">
        <v>1022</v>
      </c>
      <c r="X566">
        <f>Z566</f>
        <v>0</v>
      </c>
      <c r="Z566">
        <f>IFERROR(_xlfn.XLOOKUP(TRIM(V565), M:M, O:O, "Not Found"), "Not Found")</f>
        <v>0</v>
      </c>
    </row>
    <row r="567" spans="8:26">
      <c r="H567" t="s">
        <v>1248</v>
      </c>
      <c r="I567" t="str">
        <f t="shared" si="9"/>
        <v>marijuana</v>
      </c>
      <c r="J567" t="str">
        <v>marijuana</v>
      </c>
      <c r="K567" t="str">
        <f>IFERROR(_xlfn.XLOOKUP(TRIM(H567), M:M, N:N, "Not Found"), "Not Found")</f>
        <v>Not Found</v>
      </c>
      <c r="V567" t="s">
        <v>1028</v>
      </c>
      <c r="W567" t="s">
        <v>1022</v>
      </c>
      <c r="X567">
        <f>Z567</f>
        <v>0</v>
      </c>
      <c r="Z567">
        <f>IFERROR(_xlfn.XLOOKUP(TRIM(V566), M:M, O:O, "Not Found"), "Not Found")</f>
        <v>0</v>
      </c>
    </row>
    <row r="568" spans="8:26">
      <c r="H568" t="s">
        <v>1029</v>
      </c>
      <c r="I568" t="str">
        <f t="shared" si="9"/>
        <v>brother</v>
      </c>
      <c r="J568" t="str">
        <v>brother</v>
      </c>
      <c r="K568" t="str">
        <f>IFERROR(_xlfn.XLOOKUP(TRIM(H568), M:M, N:N, "Not Found"), "Not Found")</f>
        <v>Familial based</v>
      </c>
      <c r="V568" t="s">
        <v>1028</v>
      </c>
      <c r="W568" t="s">
        <v>1022</v>
      </c>
      <c r="X568">
        <f>Z568</f>
        <v>0</v>
      </c>
      <c r="Z568">
        <f>IFERROR(_xlfn.XLOOKUP(TRIM(V567), M:M, O:O, "Not Found"), "Not Found")</f>
        <v>0</v>
      </c>
    </row>
    <row r="569" spans="8:26">
      <c r="H569" t="s">
        <v>1045</v>
      </c>
      <c r="I569" t="str">
        <f t="shared" si="9"/>
        <v>disgusting</v>
      </c>
      <c r="J569" t="str">
        <v>disgusting</v>
      </c>
      <c r="K569" t="str">
        <f>IFERROR(_xlfn.XLOOKUP(TRIM(H569), M:M, N:N, "Not Found"), "Not Found")</f>
        <v>Moral condemnation</v>
      </c>
      <c r="V569" t="s">
        <v>1028</v>
      </c>
      <c r="W569" t="s">
        <v>1022</v>
      </c>
      <c r="X569">
        <f>Z569</f>
        <v>0</v>
      </c>
      <c r="Z569">
        <f>IFERROR(_xlfn.XLOOKUP(TRIM(V568), M:M, O:O, "Not Found"), "Not Found")</f>
        <v>0</v>
      </c>
    </row>
    <row r="570" spans="8:26">
      <c r="H570" t="s">
        <v>1057</v>
      </c>
      <c r="I570" t="str">
        <f t="shared" si="9"/>
        <v>guilty</v>
      </c>
      <c r="J570" t="str">
        <v>guilty</v>
      </c>
      <c r="K570" t="str">
        <f>IFERROR(_xlfn.XLOOKUP(TRIM(H570), M:M, N:N, "Not Found"), "Not Found")</f>
        <v>Legality based</v>
      </c>
      <c r="V570" t="s">
        <v>1028</v>
      </c>
      <c r="W570" t="s">
        <v>1022</v>
      </c>
      <c r="X570">
        <f>Z570</f>
        <v>0</v>
      </c>
      <c r="Z570">
        <f>IFERROR(_xlfn.XLOOKUP(TRIM(V569), M:M, O:O, "Not Found"), "Not Found")</f>
        <v>0</v>
      </c>
    </row>
    <row r="571" spans="8:26">
      <c r="H571" t="s">
        <v>1024</v>
      </c>
      <c r="I571" t="str">
        <f t="shared" si="9"/>
        <v>sister</v>
      </c>
      <c r="J571" t="str">
        <v>sister</v>
      </c>
      <c r="K571" t="str">
        <f>IFERROR(_xlfn.XLOOKUP(TRIM(H571), M:M, N:N, "Not Found"), "Not Found")</f>
        <v>Familial based</v>
      </c>
      <c r="V571" t="s">
        <v>1028</v>
      </c>
      <c r="W571" t="s">
        <v>1022</v>
      </c>
      <c r="X571">
        <f>Z571</f>
        <v>0</v>
      </c>
      <c r="Z571">
        <f>IFERROR(_xlfn.XLOOKUP(TRIM(V570), M:M, O:O, "Not Found"), "Not Found")</f>
        <v>0</v>
      </c>
    </row>
    <row r="572" spans="8:26">
      <c r="H572" t="s">
        <v>1027</v>
      </c>
      <c r="I572" t="str">
        <f t="shared" si="9"/>
        <v>mercedes</v>
      </c>
      <c r="J572" t="str">
        <v>mercedes</v>
      </c>
      <c r="K572" t="str">
        <f>IFERROR(_xlfn.XLOOKUP(TRIM(H572), M:M, N:N, "Not Found"), "Not Found")</f>
        <v>Familial based</v>
      </c>
      <c r="V572" t="s">
        <v>1028</v>
      </c>
      <c r="W572" t="s">
        <v>1022</v>
      </c>
      <c r="X572">
        <f>Z572</f>
        <v>0</v>
      </c>
      <c r="Z572">
        <f>IFERROR(_xlfn.XLOOKUP(TRIM(V571), M:M, O:O, "Not Found"), "Not Found")</f>
        <v>0</v>
      </c>
    </row>
    <row r="573" spans="8:26">
      <c r="H573" t="s">
        <v>1024</v>
      </c>
      <c r="I573" t="str">
        <f t="shared" si="9"/>
        <v>sister</v>
      </c>
      <c r="J573" t="str">
        <v>sister</v>
      </c>
      <c r="K573" t="str">
        <f>IFERROR(_xlfn.XLOOKUP(TRIM(H573), M:M, N:N, "Not Found"), "Not Found")</f>
        <v>Familial based</v>
      </c>
      <c r="V573" t="s">
        <v>1028</v>
      </c>
      <c r="W573" t="s">
        <v>1022</v>
      </c>
      <c r="X573">
        <f>Z573</f>
        <v>0</v>
      </c>
      <c r="Z573">
        <f>IFERROR(_xlfn.XLOOKUP(TRIM(V572), M:M, O:O, "Not Found"), "Not Found")</f>
        <v>0</v>
      </c>
    </row>
    <row r="574" spans="8:26">
      <c r="H574" t="s">
        <v>1027</v>
      </c>
      <c r="I574" t="str">
        <f t="shared" si="9"/>
        <v>mercedes</v>
      </c>
      <c r="J574" t="str">
        <v>mercedes</v>
      </c>
      <c r="K574" t="str">
        <f>IFERROR(_xlfn.XLOOKUP(TRIM(H574), M:M, N:N, "Not Found"), "Not Found")</f>
        <v>Familial based</v>
      </c>
      <c r="V574" t="s">
        <v>1028</v>
      </c>
      <c r="W574" t="s">
        <v>1022</v>
      </c>
      <c r="X574">
        <f>Z574</f>
        <v>0</v>
      </c>
      <c r="Z574">
        <f>IFERROR(_xlfn.XLOOKUP(TRIM(V573), M:M, O:O, "Not Found"), "Not Found")</f>
        <v>0</v>
      </c>
    </row>
    <row r="575" spans="8:26">
      <c r="H575" t="s">
        <v>1031</v>
      </c>
      <c r="I575" t="str">
        <f t="shared" si="9"/>
        <v>bogan</v>
      </c>
      <c r="J575" t="str">
        <v>bogan</v>
      </c>
      <c r="K575" t="str">
        <f>IFERROR(_xlfn.XLOOKUP(TRIM(H575), M:M, N:N, "Not Found"), "Not Found")</f>
        <v>Class based</v>
      </c>
      <c r="V575" t="s">
        <v>1028</v>
      </c>
      <c r="W575" t="s">
        <v>1022</v>
      </c>
      <c r="X575">
        <f>Z575</f>
        <v>0</v>
      </c>
      <c r="Z575">
        <f>IFERROR(_xlfn.XLOOKUP(TRIM(V574), M:M, O:O, "Not Found"), "Not Found")</f>
        <v>0</v>
      </c>
    </row>
    <row r="576" spans="8:26">
      <c r="H576" t="s">
        <v>1020</v>
      </c>
      <c r="I576" t="str">
        <f t="shared" si="9"/>
        <v>af</v>
      </c>
      <c r="J576" t="str">
        <v>af</v>
      </c>
      <c r="K576" t="str">
        <f>IFERROR(_xlfn.XLOOKUP(TRIM(H576), M:M, N:N, "Not Found"), "Not Found")</f>
        <v>Intelligence based</v>
      </c>
      <c r="V576" t="s">
        <v>1028</v>
      </c>
      <c r="W576" t="s">
        <v>1022</v>
      </c>
      <c r="X576">
        <f>Z576</f>
        <v>0</v>
      </c>
      <c r="Z576">
        <f>IFERROR(_xlfn.XLOOKUP(TRIM(V575), M:M, O:O, "Not Found"), "Not Found")</f>
        <v>0</v>
      </c>
    </row>
    <row r="577" spans="8:26">
      <c r="H577" t="s">
        <v>1021</v>
      </c>
      <c r="I577" t="str">
        <f t="shared" si="9"/>
        <v>mercedes corby</v>
      </c>
      <c r="J577" t="str">
        <v>Mercedes Corby</v>
      </c>
      <c r="K577" t="str">
        <f>IFERROR(_xlfn.XLOOKUP(TRIM(H577), M:M, N:N, "Not Found"), "Not Found")</f>
        <v>Familial based</v>
      </c>
      <c r="V577" t="s">
        <v>1028</v>
      </c>
      <c r="W577" t="s">
        <v>1022</v>
      </c>
      <c r="X577">
        <f>Z577</f>
        <v>0</v>
      </c>
      <c r="Z577">
        <f>IFERROR(_xlfn.XLOOKUP(TRIM(V576), M:M, O:O, "Not Found"), "Not Found")</f>
        <v>0</v>
      </c>
    </row>
    <row r="578" spans="8:26">
      <c r="H578" t="s">
        <v>1027</v>
      </c>
      <c r="I578" t="str">
        <f t="shared" si="9"/>
        <v>mercedes</v>
      </c>
      <c r="J578" t="str">
        <v>mercedes</v>
      </c>
      <c r="K578" t="str">
        <f>IFERROR(_xlfn.XLOOKUP(TRIM(H578), M:M, N:N, "Not Found"), "Not Found")</f>
        <v>Familial based</v>
      </c>
      <c r="V578" t="s">
        <v>1028</v>
      </c>
      <c r="W578" t="s">
        <v>1022</v>
      </c>
      <c r="X578">
        <f>Z578</f>
        <v>0</v>
      </c>
      <c r="Z578">
        <f>IFERROR(_xlfn.XLOOKUP(TRIM(V577), M:M, O:O, "Not Found"), "Not Found")</f>
        <v>0</v>
      </c>
    </row>
    <row r="579" spans="8:26">
      <c r="H579" t="s">
        <v>1028</v>
      </c>
      <c r="I579" t="str">
        <f t="shared" si="9"/>
        <v>corby</v>
      </c>
      <c r="J579" t="str">
        <v>corby</v>
      </c>
      <c r="K579" t="str">
        <f>IFERROR(_xlfn.XLOOKUP(TRIM(H579), M:M, N:N, "Not Found"), "Not Found")</f>
        <v>Familial based</v>
      </c>
      <c r="V579" t="s">
        <v>1028</v>
      </c>
      <c r="W579" t="s">
        <v>1022</v>
      </c>
      <c r="X579">
        <f>Z579</f>
        <v>0</v>
      </c>
      <c r="Z579">
        <f>IFERROR(_xlfn.XLOOKUP(TRIM(V578), M:M, O:O, "Not Found"), "Not Found")</f>
        <v>0</v>
      </c>
    </row>
    <row r="580" spans="8:26">
      <c r="H580" t="s">
        <v>1020</v>
      </c>
      <c r="I580" t="str">
        <f t="shared" ref="I580:I643" si="10">TRIM(LOWER(H580))</f>
        <v>af</v>
      </c>
      <c r="J580" t="str">
        <v>af</v>
      </c>
      <c r="K580" t="str">
        <f>IFERROR(_xlfn.XLOOKUP(TRIM(H580), M:M, N:N, "Not Found"), "Not Found")</f>
        <v>Intelligence based</v>
      </c>
      <c r="V580" t="s">
        <v>1028</v>
      </c>
      <c r="W580" t="s">
        <v>1022</v>
      </c>
      <c r="X580">
        <f>Z580</f>
        <v>0</v>
      </c>
      <c r="Z580">
        <f>IFERROR(_xlfn.XLOOKUP(TRIM(V579), M:M, O:O, "Not Found"), "Not Found")</f>
        <v>0</v>
      </c>
    </row>
    <row r="581" spans="8:26">
      <c r="H581" t="s">
        <v>1027</v>
      </c>
      <c r="I581" t="str">
        <f t="shared" si="10"/>
        <v>mercedes</v>
      </c>
      <c r="J581" t="str">
        <v>mercedes</v>
      </c>
      <c r="K581" t="str">
        <f>IFERROR(_xlfn.XLOOKUP(TRIM(H581), M:M, N:N, "Not Found"), "Not Found")</f>
        <v>Familial based</v>
      </c>
      <c r="V581" t="s">
        <v>1028</v>
      </c>
      <c r="W581" t="s">
        <v>1022</v>
      </c>
      <c r="X581">
        <f>Z581</f>
        <v>0</v>
      </c>
      <c r="Z581">
        <f>IFERROR(_xlfn.XLOOKUP(TRIM(V580), M:M, O:O, "Not Found"), "Not Found")</f>
        <v>0</v>
      </c>
    </row>
    <row r="582" spans="8:26">
      <c r="H582" t="s">
        <v>1031</v>
      </c>
      <c r="I582" t="str">
        <f t="shared" si="10"/>
        <v>bogan</v>
      </c>
      <c r="J582" t="str">
        <v>bogan</v>
      </c>
      <c r="K582" t="str">
        <f>IFERROR(_xlfn.XLOOKUP(TRIM(H582), M:M, N:N, "Not Found"), "Not Found")</f>
        <v>Class based</v>
      </c>
      <c r="V582" t="s">
        <v>1028</v>
      </c>
      <c r="W582" t="s">
        <v>1022</v>
      </c>
      <c r="X582">
        <f>Z582</f>
        <v>0</v>
      </c>
      <c r="Z582">
        <f>IFERROR(_xlfn.XLOOKUP(TRIM(V581), M:M, O:O, "Not Found"), "Not Found")</f>
        <v>0</v>
      </c>
    </row>
    <row r="583" spans="8:26">
      <c r="H583" t="s">
        <v>1020</v>
      </c>
      <c r="I583" t="str">
        <f t="shared" si="10"/>
        <v>af</v>
      </c>
      <c r="J583" t="str">
        <v>af</v>
      </c>
      <c r="K583" t="str">
        <f>IFERROR(_xlfn.XLOOKUP(TRIM(H583), M:M, N:N, "Not Found"), "Not Found")</f>
        <v>Intelligence based</v>
      </c>
      <c r="V583" t="s">
        <v>1028</v>
      </c>
      <c r="W583" t="s">
        <v>1022</v>
      </c>
      <c r="X583">
        <f>Z583</f>
        <v>0</v>
      </c>
      <c r="Z583">
        <f>IFERROR(_xlfn.XLOOKUP(TRIM(V582), M:M, O:O, "Not Found"), "Not Found")</f>
        <v>0</v>
      </c>
    </row>
    <row r="584" spans="8:26">
      <c r="H584" t="s">
        <v>1027</v>
      </c>
      <c r="I584" t="str">
        <f t="shared" si="10"/>
        <v>mercedes</v>
      </c>
      <c r="J584" t="str">
        <v>mercedes</v>
      </c>
      <c r="K584" t="str">
        <f>IFERROR(_xlfn.XLOOKUP(TRIM(H584), M:M, N:N, "Not Found"), "Not Found")</f>
        <v>Familial based</v>
      </c>
      <c r="V584" t="s">
        <v>1028</v>
      </c>
      <c r="W584" t="s">
        <v>1022</v>
      </c>
      <c r="X584">
        <f>Z584</f>
        <v>0</v>
      </c>
      <c r="Z584">
        <f>IFERROR(_xlfn.XLOOKUP(TRIM(V583), M:M, O:O, "Not Found"), "Not Found")</f>
        <v>0</v>
      </c>
    </row>
    <row r="585" spans="8:26">
      <c r="H585" t="s">
        <v>1053</v>
      </c>
      <c r="I585" t="str">
        <f t="shared" si="10"/>
        <v>sucks</v>
      </c>
      <c r="J585" t="str">
        <v>sucks</v>
      </c>
      <c r="K585" t="str">
        <f>IFERROR(_xlfn.XLOOKUP(TRIM(H585), M:M, N:N, "Not Found"), "Not Found")</f>
        <v>Moral condemnation</v>
      </c>
      <c r="V585" t="s">
        <v>1028</v>
      </c>
      <c r="W585" t="s">
        <v>1022</v>
      </c>
      <c r="X585">
        <f>Z585</f>
        <v>0</v>
      </c>
      <c r="Z585">
        <f>IFERROR(_xlfn.XLOOKUP(TRIM(V584), M:M, O:O, "Not Found"), "Not Found")</f>
        <v>0</v>
      </c>
    </row>
    <row r="586" spans="8:26">
      <c r="H586" t="s">
        <v>1020</v>
      </c>
      <c r="I586" t="str">
        <f t="shared" si="10"/>
        <v>af</v>
      </c>
      <c r="J586" t="str">
        <v>af</v>
      </c>
      <c r="K586" t="str">
        <f>IFERROR(_xlfn.XLOOKUP(TRIM(H586), M:M, N:N, "Not Found"), "Not Found")</f>
        <v>Intelligence based</v>
      </c>
      <c r="V586" t="s">
        <v>1028</v>
      </c>
      <c r="W586" t="s">
        <v>1022</v>
      </c>
      <c r="X586">
        <f>Z586</f>
        <v>0</v>
      </c>
      <c r="Z586">
        <f>IFERROR(_xlfn.XLOOKUP(TRIM(V585), M:M, O:O, "Not Found"), "Not Found")</f>
        <v>0</v>
      </c>
    </row>
    <row r="587" spans="8:26">
      <c r="H587" t="s">
        <v>1027</v>
      </c>
      <c r="I587" t="str">
        <f t="shared" si="10"/>
        <v>mercedes</v>
      </c>
      <c r="J587" t="str">
        <v>mercedes</v>
      </c>
      <c r="K587" t="str">
        <f>IFERROR(_xlfn.XLOOKUP(TRIM(H587), M:M, N:N, "Not Found"), "Not Found")</f>
        <v>Familial based</v>
      </c>
      <c r="V587" t="s">
        <v>1028</v>
      </c>
      <c r="W587" t="s">
        <v>1022</v>
      </c>
      <c r="X587">
        <f>Z587</f>
        <v>0</v>
      </c>
      <c r="Z587">
        <f>IFERROR(_xlfn.XLOOKUP(TRIM(V586), M:M, O:O, "Not Found"), "Not Found")</f>
        <v>0</v>
      </c>
    </row>
    <row r="588" spans="8:26">
      <c r="H588" t="s">
        <v>1020</v>
      </c>
      <c r="I588" t="str">
        <f t="shared" si="10"/>
        <v>af</v>
      </c>
      <c r="J588" t="str">
        <v>af</v>
      </c>
      <c r="K588" t="str">
        <f>IFERROR(_xlfn.XLOOKUP(TRIM(H588), M:M, N:N, "Not Found"), "Not Found")</f>
        <v>Intelligence based</v>
      </c>
      <c r="V588" t="s">
        <v>1028</v>
      </c>
      <c r="W588" t="s">
        <v>1022</v>
      </c>
      <c r="X588">
        <f>Z588</f>
        <v>0</v>
      </c>
      <c r="Z588">
        <f>IFERROR(_xlfn.XLOOKUP(TRIM(V587), M:M, O:O, "Not Found"), "Not Found")</f>
        <v>0</v>
      </c>
    </row>
    <row r="589" spans="8:26">
      <c r="H589" t="s">
        <v>1027</v>
      </c>
      <c r="I589" t="str">
        <f t="shared" si="10"/>
        <v>mercedes</v>
      </c>
      <c r="J589" t="str">
        <v>mercedes</v>
      </c>
      <c r="K589" t="str">
        <f>IFERROR(_xlfn.XLOOKUP(TRIM(H589), M:M, N:N, "Not Found"), "Not Found")</f>
        <v>Familial based</v>
      </c>
      <c r="V589" t="s">
        <v>1028</v>
      </c>
      <c r="W589" t="s">
        <v>1022</v>
      </c>
      <c r="X589">
        <f>Z589</f>
        <v>0</v>
      </c>
      <c r="Z589">
        <f>IFERROR(_xlfn.XLOOKUP(TRIM(V588), M:M, O:O, "Not Found"), "Not Found")</f>
        <v>0</v>
      </c>
    </row>
    <row r="590" spans="8:26">
      <c r="H590" t="s">
        <v>1027</v>
      </c>
      <c r="I590" t="str">
        <f t="shared" si="10"/>
        <v>mercedes</v>
      </c>
      <c r="J590" t="str">
        <v>mercedes</v>
      </c>
      <c r="K590" t="str">
        <f>IFERROR(_xlfn.XLOOKUP(TRIM(H590), M:M, N:N, "Not Found"), "Not Found")</f>
        <v>Familial based</v>
      </c>
      <c r="V590" t="s">
        <v>1028</v>
      </c>
      <c r="W590" t="s">
        <v>1022</v>
      </c>
      <c r="X590">
        <f>Z590</f>
        <v>0</v>
      </c>
      <c r="Z590">
        <f>IFERROR(_xlfn.XLOOKUP(TRIM(V589), M:M, O:O, "Not Found"), "Not Found")</f>
        <v>0</v>
      </c>
    </row>
    <row r="591" spans="8:26">
      <c r="H591" t="s">
        <v>1027</v>
      </c>
      <c r="I591" t="str">
        <f t="shared" si="10"/>
        <v>mercedes</v>
      </c>
      <c r="J591" t="str">
        <v>mercedes</v>
      </c>
      <c r="K591" t="str">
        <f>IFERROR(_xlfn.XLOOKUP(TRIM(H591), M:M, N:N, "Not Found"), "Not Found")</f>
        <v>Familial based</v>
      </c>
      <c r="V591" t="s">
        <v>1028</v>
      </c>
      <c r="W591" t="s">
        <v>1022</v>
      </c>
      <c r="X591">
        <f>Z591</f>
        <v>0</v>
      </c>
      <c r="Z591">
        <f>IFERROR(_xlfn.XLOOKUP(TRIM(V590), M:M, O:O, "Not Found"), "Not Found")</f>
        <v>0</v>
      </c>
    </row>
    <row r="592" spans="8:26">
      <c r="H592" t="s">
        <v>1031</v>
      </c>
      <c r="I592" t="str">
        <f t="shared" si="10"/>
        <v>bogan</v>
      </c>
      <c r="J592" t="str">
        <v>bogan</v>
      </c>
      <c r="K592" t="str">
        <f>IFERROR(_xlfn.XLOOKUP(TRIM(H592), M:M, N:N, "Not Found"), "Not Found")</f>
        <v>Class based</v>
      </c>
      <c r="V592" t="s">
        <v>1028</v>
      </c>
      <c r="W592" t="s">
        <v>1022</v>
      </c>
      <c r="X592">
        <f>Z592</f>
        <v>0</v>
      </c>
      <c r="Z592">
        <f>IFERROR(_xlfn.XLOOKUP(TRIM(V591), M:M, O:O, "Not Found"), "Not Found")</f>
        <v>0</v>
      </c>
    </row>
    <row r="593" spans="8:26">
      <c r="H593" t="s">
        <v>1057</v>
      </c>
      <c r="I593" t="str">
        <f t="shared" si="10"/>
        <v>guilty</v>
      </c>
      <c r="J593" t="str">
        <v>guilty</v>
      </c>
      <c r="K593" t="str">
        <f>IFERROR(_xlfn.XLOOKUP(TRIM(H593), M:M, N:N, "Not Found"), "Not Found")</f>
        <v>Legality based</v>
      </c>
      <c r="V593" t="s">
        <v>1028</v>
      </c>
      <c r="W593" t="s">
        <v>1022</v>
      </c>
      <c r="X593">
        <f>Z593</f>
        <v>0</v>
      </c>
      <c r="Z593">
        <f>IFERROR(_xlfn.XLOOKUP(TRIM(V592), M:M, O:O, "Not Found"), "Not Found")</f>
        <v>0</v>
      </c>
    </row>
    <row r="594" spans="8:26">
      <c r="H594" t="s">
        <v>1075</v>
      </c>
      <c r="I594" t="str">
        <f t="shared" si="10"/>
        <v>charged</v>
      </c>
      <c r="J594" t="str">
        <v>charged</v>
      </c>
      <c r="K594" t="str">
        <f>IFERROR(_xlfn.XLOOKUP(TRIM(H594), M:M, N:N, "Not Found"), "Not Found")</f>
        <v>Legality based</v>
      </c>
      <c r="V594" t="s">
        <v>1028</v>
      </c>
      <c r="W594" t="s">
        <v>1022</v>
      </c>
      <c r="X594">
        <f>Z594</f>
        <v>0</v>
      </c>
      <c r="Z594">
        <f>IFERROR(_xlfn.XLOOKUP(TRIM(V593), M:M, O:O, "Not Found"), "Not Found")</f>
        <v>0</v>
      </c>
    </row>
    <row r="595" spans="8:26">
      <c r="H595" t="s">
        <v>1029</v>
      </c>
      <c r="I595" t="str">
        <f t="shared" si="10"/>
        <v>brother</v>
      </c>
      <c r="J595" t="str">
        <v>brother</v>
      </c>
      <c r="K595" t="str">
        <f>IFERROR(_xlfn.XLOOKUP(TRIM(H595), M:M, N:N, "Not Found"), "Not Found")</f>
        <v>Familial based</v>
      </c>
      <c r="V595" t="s">
        <v>1028</v>
      </c>
      <c r="W595" t="s">
        <v>1022</v>
      </c>
      <c r="X595">
        <f>Z595</f>
        <v>0</v>
      </c>
      <c r="Z595">
        <f>IFERROR(_xlfn.XLOOKUP(TRIM(V594), M:M, O:O, "Not Found"), "Not Found")</f>
        <v>0</v>
      </c>
    </row>
    <row r="596" spans="8:26">
      <c r="H596" t="s">
        <v>1057</v>
      </c>
      <c r="I596" t="str">
        <f t="shared" si="10"/>
        <v>guilty</v>
      </c>
      <c r="J596" t="str">
        <v>guilty</v>
      </c>
      <c r="K596" t="str">
        <f>IFERROR(_xlfn.XLOOKUP(TRIM(H596), M:M, N:N, "Not Found"), "Not Found")</f>
        <v>Legality based</v>
      </c>
      <c r="V596" t="s">
        <v>1028</v>
      </c>
      <c r="W596" t="s">
        <v>1022</v>
      </c>
      <c r="X596">
        <f>Z596</f>
        <v>0</v>
      </c>
      <c r="Z596">
        <f>IFERROR(_xlfn.XLOOKUP(TRIM(V595), M:M, O:O, "Not Found"), "Not Found")</f>
        <v>0</v>
      </c>
    </row>
    <row r="597" spans="8:26">
      <c r="H597" t="s">
        <v>1024</v>
      </c>
      <c r="I597" t="str">
        <f t="shared" si="10"/>
        <v>sister</v>
      </c>
      <c r="J597" t="str">
        <v>sister</v>
      </c>
      <c r="K597" t="str">
        <f>IFERROR(_xlfn.XLOOKUP(TRIM(H597), M:M, N:N, "Not Found"), "Not Found")</f>
        <v>Familial based</v>
      </c>
      <c r="V597" t="s">
        <v>1028</v>
      </c>
      <c r="W597" t="s">
        <v>1022</v>
      </c>
      <c r="X597">
        <f>Z597</f>
        <v>0</v>
      </c>
      <c r="Z597">
        <f>IFERROR(_xlfn.XLOOKUP(TRIM(V596), M:M, O:O, "Not Found"), "Not Found")</f>
        <v>0</v>
      </c>
    </row>
    <row r="598" spans="8:26">
      <c r="H598" t="s">
        <v>1031</v>
      </c>
      <c r="I598" t="str">
        <f t="shared" si="10"/>
        <v>bogan</v>
      </c>
      <c r="J598" t="str">
        <v>bogan</v>
      </c>
      <c r="K598" t="str">
        <f>IFERROR(_xlfn.XLOOKUP(TRIM(H598), M:M, N:N, "Not Found"), "Not Found")</f>
        <v>Class based</v>
      </c>
      <c r="V598" t="s">
        <v>1028</v>
      </c>
      <c r="W598" t="s">
        <v>1022</v>
      </c>
      <c r="X598">
        <f>Z598</f>
        <v>0</v>
      </c>
      <c r="Z598">
        <f>IFERROR(_xlfn.XLOOKUP(TRIM(V597), M:M, O:O, "Not Found"), "Not Found")</f>
        <v>0</v>
      </c>
    </row>
    <row r="599" spans="8:26">
      <c r="H599" t="s">
        <v>1008</v>
      </c>
      <c r="I599" t="str">
        <f t="shared" si="10"/>
        <v>dumb</v>
      </c>
      <c r="J599" t="str">
        <v>dumb</v>
      </c>
      <c r="K599" t="str">
        <f>IFERROR(_xlfn.XLOOKUP(TRIM(H599), M:M, N:N, "Not Found"), "Not Found")</f>
        <v>Intelligence based</v>
      </c>
      <c r="V599" t="s">
        <v>1028</v>
      </c>
      <c r="W599" t="s">
        <v>1022</v>
      </c>
      <c r="X599">
        <f>Z599</f>
        <v>0</v>
      </c>
      <c r="Z599">
        <f>IFERROR(_xlfn.XLOOKUP(TRIM(V598), M:M, O:O, "Not Found"), "Not Found")</f>
        <v>0</v>
      </c>
    </row>
    <row r="600" spans="8:26">
      <c r="H600" t="s">
        <v>1060</v>
      </c>
      <c r="I600" t="str">
        <f t="shared" si="10"/>
        <v>innocent</v>
      </c>
      <c r="J600" t="str">
        <v>innocent</v>
      </c>
      <c r="K600" t="str">
        <f>IFERROR(_xlfn.XLOOKUP(TRIM(H600), M:M, N:N, "Not Found"), "Not Found")</f>
        <v>Legality based</v>
      </c>
      <c r="V600" t="s">
        <v>1028</v>
      </c>
      <c r="W600" t="s">
        <v>1022</v>
      </c>
      <c r="X600">
        <f>Z600</f>
        <v>0</v>
      </c>
      <c r="Z600">
        <f>IFERROR(_xlfn.XLOOKUP(TRIM(V599), M:M, O:O, "Not Found"), "Not Found")</f>
        <v>0</v>
      </c>
    </row>
    <row r="601" spans="8:26">
      <c r="H601" t="s">
        <v>970</v>
      </c>
      <c r="I601" t="str">
        <f t="shared" si="10"/>
        <v>australian</v>
      </c>
      <c r="J601" t="str">
        <v>australian</v>
      </c>
      <c r="K601" t="str">
        <f>IFERROR(_xlfn.XLOOKUP(TRIM(H601), M:M, N:N, "Not Found"), "Not Found")</f>
        <v>Case Related</v>
      </c>
      <c r="V601" t="s">
        <v>1028</v>
      </c>
      <c r="W601" t="s">
        <v>1022</v>
      </c>
      <c r="X601">
        <f>Z601</f>
        <v>0</v>
      </c>
      <c r="Z601">
        <f>IFERROR(_xlfn.XLOOKUP(TRIM(V600), M:M, O:O, "Not Found"), "Not Found")</f>
        <v>0</v>
      </c>
    </row>
    <row r="602" spans="8:26">
      <c r="H602" t="s">
        <v>983</v>
      </c>
      <c r="I602" t="str">
        <f t="shared" si="10"/>
        <v>australia</v>
      </c>
      <c r="J602" t="str">
        <v>australia</v>
      </c>
      <c r="K602" t="str">
        <f>IFERROR(_xlfn.XLOOKUP(TRIM(H602), M:M, N:N, "Not Found"), "Not Found")</f>
        <v>Case Related</v>
      </c>
      <c r="V602" t="s">
        <v>1028</v>
      </c>
      <c r="W602" t="s">
        <v>1022</v>
      </c>
      <c r="X602">
        <f>Z602</f>
        <v>0</v>
      </c>
      <c r="Z602">
        <f>IFERROR(_xlfn.XLOOKUP(TRIM(V601), M:M, O:O, "Not Found"), "Not Found")</f>
        <v>0</v>
      </c>
    </row>
    <row r="603" spans="8:26">
      <c r="H603" t="s">
        <v>989</v>
      </c>
      <c r="I603" t="str">
        <f t="shared" si="10"/>
        <v>criminal</v>
      </c>
      <c r="J603" t="str">
        <v>criminal</v>
      </c>
      <c r="K603" t="str">
        <f>IFERROR(_xlfn.XLOOKUP(TRIM(H603), M:M, N:N, "Not Found"), "Not Found")</f>
        <v>Crime based</v>
      </c>
      <c r="V603" t="s">
        <v>1028</v>
      </c>
      <c r="W603" t="s">
        <v>1022</v>
      </c>
      <c r="X603">
        <f>Z603</f>
        <v>0</v>
      </c>
      <c r="Z603">
        <f>IFERROR(_xlfn.XLOOKUP(TRIM(V602), M:M, O:O, "Not Found"), "Not Found")</f>
        <v>0</v>
      </c>
    </row>
    <row r="604" spans="8:26">
      <c r="H604" t="s">
        <v>1029</v>
      </c>
      <c r="I604" t="str">
        <f t="shared" si="10"/>
        <v>brother</v>
      </c>
      <c r="J604" t="str">
        <v>brother</v>
      </c>
      <c r="K604" t="str">
        <f>IFERROR(_xlfn.XLOOKUP(TRIM(H604), M:M, N:N, "Not Found"), "Not Found")</f>
        <v>Familial based</v>
      </c>
      <c r="V604" t="s">
        <v>1028</v>
      </c>
      <c r="W604" t="s">
        <v>1022</v>
      </c>
      <c r="X604">
        <f>Z604</f>
        <v>0</v>
      </c>
      <c r="Z604">
        <f>IFERROR(_xlfn.XLOOKUP(TRIM(V603), M:M, O:O, "Not Found"), "Not Found")</f>
        <v>0</v>
      </c>
    </row>
    <row r="605" spans="8:26">
      <c r="H605" t="s">
        <v>1044</v>
      </c>
      <c r="I605" t="str">
        <f t="shared" si="10"/>
        <v>corrupt</v>
      </c>
      <c r="J605" t="str">
        <v>Corrupt</v>
      </c>
      <c r="K605" t="str">
        <f>IFERROR(_xlfn.XLOOKUP(TRIM(H605), M:M, N:N, "Not Found"), "Not Found")</f>
        <v>Authority based</v>
      </c>
      <c r="V605" t="s">
        <v>1028</v>
      </c>
      <c r="W605" t="s">
        <v>1022</v>
      </c>
      <c r="X605">
        <f>Z605</f>
        <v>0</v>
      </c>
      <c r="Z605">
        <f>IFERROR(_xlfn.XLOOKUP(TRIM(V604), M:M, O:O, "Not Found"), "Not Found")</f>
        <v>0</v>
      </c>
    </row>
    <row r="606" spans="8:26">
      <c r="H606" t="s">
        <v>1057</v>
      </c>
      <c r="I606" t="str">
        <f t="shared" si="10"/>
        <v>guilty</v>
      </c>
      <c r="J606" t="str">
        <v>guilty</v>
      </c>
      <c r="K606" t="str">
        <f>IFERROR(_xlfn.XLOOKUP(TRIM(H606), M:M, N:N, "Not Found"), "Not Found")</f>
        <v>Legality based</v>
      </c>
      <c r="V606" t="s">
        <v>1028</v>
      </c>
      <c r="W606" t="s">
        <v>1022</v>
      </c>
      <c r="X606">
        <f>Z606</f>
        <v>0</v>
      </c>
      <c r="Z606">
        <f>IFERROR(_xlfn.XLOOKUP(TRIM(V605), M:M, O:O, "Not Found"), "Not Found")</f>
        <v>0</v>
      </c>
    </row>
    <row r="607" spans="8:26">
      <c r="H607" t="s">
        <v>1062</v>
      </c>
      <c r="I607" t="str">
        <f t="shared" si="10"/>
        <v>served</v>
      </c>
      <c r="J607" t="str">
        <v>served</v>
      </c>
      <c r="K607" t="str">
        <f>IFERROR(_xlfn.XLOOKUP(TRIM(H607), M:M, N:N, "Not Found"), "Not Found")</f>
        <v>Legality based</v>
      </c>
      <c r="V607" t="s">
        <v>1028</v>
      </c>
      <c r="W607" t="s">
        <v>1022</v>
      </c>
      <c r="X607">
        <f>Z607</f>
        <v>0</v>
      </c>
      <c r="Z607">
        <f>IFERROR(_xlfn.XLOOKUP(TRIM(V606), M:M, O:O, "Not Found"), "Not Found")</f>
        <v>0</v>
      </c>
    </row>
    <row r="608" spans="8:26">
      <c r="H608" t="s">
        <v>1236</v>
      </c>
      <c r="I608" t="str">
        <f t="shared" si="10"/>
        <v>sentence</v>
      </c>
      <c r="J608" t="str">
        <v>sentence</v>
      </c>
      <c r="K608" t="str">
        <f>IFERROR(_xlfn.XLOOKUP(TRIM(H608), M:M, N:N, "Not Found"), "Not Found")</f>
        <v>Not Found</v>
      </c>
      <c r="V608" t="s">
        <v>1028</v>
      </c>
      <c r="W608" t="s">
        <v>1022</v>
      </c>
      <c r="X608">
        <f>Z608</f>
        <v>0</v>
      </c>
      <c r="Z608">
        <f>IFERROR(_xlfn.XLOOKUP(TRIM(V607), M:M, O:O, "Not Found"), "Not Found")</f>
        <v>0</v>
      </c>
    </row>
    <row r="609" spans="8:26">
      <c r="H609" t="s">
        <v>970</v>
      </c>
      <c r="I609" t="str">
        <f t="shared" si="10"/>
        <v>australian</v>
      </c>
      <c r="J609" t="str">
        <v>australian</v>
      </c>
      <c r="K609" t="str">
        <f>IFERROR(_xlfn.XLOOKUP(TRIM(H609), M:M, N:N, "Not Found"), "Not Found")</f>
        <v>Case Related</v>
      </c>
      <c r="V609" t="s">
        <v>1028</v>
      </c>
      <c r="W609" t="s">
        <v>1022</v>
      </c>
      <c r="X609">
        <f>Z609</f>
        <v>0</v>
      </c>
      <c r="Z609">
        <f>IFERROR(_xlfn.XLOOKUP(TRIM(V608), M:M, O:O, "Not Found"), "Not Found")</f>
        <v>0</v>
      </c>
    </row>
    <row r="610" spans="8:26">
      <c r="H610" t="s">
        <v>1239</v>
      </c>
      <c r="I610" t="str">
        <f t="shared" si="10"/>
        <v>indonesia</v>
      </c>
      <c r="J610" t="str">
        <v>indonesia</v>
      </c>
      <c r="K610" t="str">
        <f>IFERROR(_xlfn.XLOOKUP(TRIM(H610), M:M, N:N, "Not Found"), "Not Found")</f>
        <v>Not Found</v>
      </c>
      <c r="V610" t="s">
        <v>1028</v>
      </c>
      <c r="W610" t="s">
        <v>1022</v>
      </c>
      <c r="X610">
        <f>Z610</f>
        <v>0</v>
      </c>
      <c r="Z610">
        <f>IFERROR(_xlfn.XLOOKUP(TRIM(V609), M:M, O:O, "Not Found"), "Not Found")</f>
        <v>0</v>
      </c>
    </row>
    <row r="611" spans="8:26">
      <c r="H611" t="s">
        <v>983</v>
      </c>
      <c r="I611" t="str">
        <f t="shared" si="10"/>
        <v>australia</v>
      </c>
      <c r="J611" t="str">
        <v>australia</v>
      </c>
      <c r="K611" t="str">
        <f>IFERROR(_xlfn.XLOOKUP(TRIM(H611), M:M, N:N, "Not Found"), "Not Found")</f>
        <v>Case Related</v>
      </c>
      <c r="V611" t="s">
        <v>1028</v>
      </c>
      <c r="W611" t="s">
        <v>1022</v>
      </c>
      <c r="X611">
        <f>Z611</f>
        <v>0</v>
      </c>
      <c r="Z611">
        <f>IFERROR(_xlfn.XLOOKUP(TRIM(V610), M:M, O:O, "Not Found"), "Not Found")</f>
        <v>0</v>
      </c>
    </row>
    <row r="612" spans="8:26">
      <c r="H612" t="s">
        <v>989</v>
      </c>
      <c r="I612" t="str">
        <f t="shared" si="10"/>
        <v>criminal</v>
      </c>
      <c r="J612" t="str">
        <v>criminal</v>
      </c>
      <c r="K612" t="str">
        <f>IFERROR(_xlfn.XLOOKUP(TRIM(H612), M:M, N:N, "Not Found"), "Not Found")</f>
        <v>Crime based</v>
      </c>
      <c r="V612" t="s">
        <v>1028</v>
      </c>
      <c r="W612" t="s">
        <v>1022</v>
      </c>
      <c r="X612">
        <f>Z612</f>
        <v>0</v>
      </c>
      <c r="Z612">
        <f>IFERROR(_xlfn.XLOOKUP(TRIM(V611), M:M, O:O, "Not Found"), "Not Found")</f>
        <v>0</v>
      </c>
    </row>
    <row r="613" spans="8:26">
      <c r="H613" t="s">
        <v>993</v>
      </c>
      <c r="I613" t="str">
        <f t="shared" si="10"/>
        <v>possession</v>
      </c>
      <c r="J613" t="str">
        <v>possession</v>
      </c>
      <c r="K613" t="str">
        <f>IFERROR(_xlfn.XLOOKUP(TRIM(H613), M:M, N:N, "Not Found"), "Not Found")</f>
        <v>Crime based</v>
      </c>
      <c r="V613" t="s">
        <v>1028</v>
      </c>
      <c r="W613" t="s">
        <v>1022</v>
      </c>
      <c r="X613">
        <f>Z613</f>
        <v>0</v>
      </c>
      <c r="Z613">
        <f>IFERROR(_xlfn.XLOOKUP(TRIM(V612), M:M, O:O, "Not Found"), "Not Found")</f>
        <v>0</v>
      </c>
    </row>
    <row r="614" spans="8:26">
      <c r="H614" t="s">
        <v>1248</v>
      </c>
      <c r="I614" t="str">
        <f t="shared" si="10"/>
        <v>marijuana</v>
      </c>
      <c r="J614" t="str">
        <v>marijuana</v>
      </c>
      <c r="K614" t="str">
        <f>IFERROR(_xlfn.XLOOKUP(TRIM(H614), M:M, N:N, "Not Found"), "Not Found")</f>
        <v>Not Found</v>
      </c>
      <c r="V614" t="s">
        <v>1028</v>
      </c>
      <c r="W614" t="s">
        <v>1022</v>
      </c>
      <c r="X614">
        <f>Z614</f>
        <v>0</v>
      </c>
      <c r="Z614">
        <f>IFERROR(_xlfn.XLOOKUP(TRIM(V613), M:M, O:O, "Not Found"), "Not Found")</f>
        <v>0</v>
      </c>
    </row>
    <row r="615" spans="8:26">
      <c r="H615" t="s">
        <v>998</v>
      </c>
      <c r="I615" t="str">
        <f t="shared" si="10"/>
        <v>narcotics</v>
      </c>
      <c r="J615" t="str">
        <v>narcotics</v>
      </c>
      <c r="K615" t="str">
        <f>IFERROR(_xlfn.XLOOKUP(TRIM(H615), M:M, N:N, "Not Found"), "Not Found")</f>
        <v>Crime based</v>
      </c>
      <c r="V615" t="s">
        <v>1028</v>
      </c>
      <c r="W615" t="s">
        <v>1022</v>
      </c>
      <c r="X615">
        <f>Z615</f>
        <v>0</v>
      </c>
      <c r="Z615">
        <f>IFERROR(_xlfn.XLOOKUP(TRIM(V614), M:M, O:O, "Not Found"), "Not Found")</f>
        <v>0</v>
      </c>
    </row>
    <row r="616" spans="8:26">
      <c r="H616" t="s">
        <v>1236</v>
      </c>
      <c r="I616" t="str">
        <f t="shared" si="10"/>
        <v>sentence</v>
      </c>
      <c r="J616" t="str">
        <v>sentence</v>
      </c>
      <c r="K616" t="str">
        <f>IFERROR(_xlfn.XLOOKUP(TRIM(H616), M:M, N:N, "Not Found"), "Not Found")</f>
        <v>Not Found</v>
      </c>
      <c r="V616" t="s">
        <v>1028</v>
      </c>
      <c r="W616" t="s">
        <v>1022</v>
      </c>
      <c r="X616">
        <f>Z616</f>
        <v>0</v>
      </c>
      <c r="Z616">
        <f>IFERROR(_xlfn.XLOOKUP(TRIM(V615), M:M, O:O, "Not Found"), "Not Found")</f>
        <v>0</v>
      </c>
    </row>
    <row r="617" spans="8:26">
      <c r="H617" t="s">
        <v>1070</v>
      </c>
      <c r="I617" t="str">
        <f t="shared" si="10"/>
        <v>indonesian law</v>
      </c>
      <c r="J617" t="str">
        <v>Indonesian law</v>
      </c>
      <c r="K617" t="str">
        <f>IFERROR(_xlfn.XLOOKUP(TRIM(H617), M:M, N:N, "Not Found"), "Not Found")</f>
        <v>Legality based</v>
      </c>
      <c r="V617" t="s">
        <v>1028</v>
      </c>
      <c r="W617" t="s">
        <v>1022</v>
      </c>
      <c r="X617">
        <f>Z617</f>
        <v>0</v>
      </c>
      <c r="Z617">
        <f>IFERROR(_xlfn.XLOOKUP(TRIM(V616), M:M, O:O, "Not Found"), "Not Found")</f>
        <v>0</v>
      </c>
    </row>
    <row r="618" spans="8:26">
      <c r="H618" t="s">
        <v>1244</v>
      </c>
      <c r="I618" t="str">
        <f t="shared" si="10"/>
        <v>law</v>
      </c>
      <c r="J618" t="str">
        <v>law</v>
      </c>
      <c r="K618" t="str">
        <f>IFERROR(_xlfn.XLOOKUP(TRIM(H618), M:M, N:N, "Not Found"), "Not Found")</f>
        <v>Not Found</v>
      </c>
      <c r="V618" t="s">
        <v>1028</v>
      </c>
      <c r="W618" t="s">
        <v>1022</v>
      </c>
      <c r="X618">
        <f>Z618</f>
        <v>0</v>
      </c>
      <c r="Z618">
        <f>IFERROR(_xlfn.XLOOKUP(TRIM(V617), M:M, O:O, "Not Found"), "Not Found")</f>
        <v>0</v>
      </c>
    </row>
    <row r="619" spans="8:26">
      <c r="H619" t="s">
        <v>1076</v>
      </c>
      <c r="I619" t="str">
        <f t="shared" si="10"/>
        <v>import</v>
      </c>
      <c r="J619" t="str">
        <v>import</v>
      </c>
      <c r="K619" t="str">
        <f>IFERROR(_xlfn.XLOOKUP(TRIM(H619), M:M, N:N, "Not Found"), "Not Found")</f>
        <v>Legality based</v>
      </c>
      <c r="V619" t="s">
        <v>1028</v>
      </c>
      <c r="W619" t="s">
        <v>1022</v>
      </c>
      <c r="X619">
        <f>Z619</f>
        <v>0</v>
      </c>
      <c r="Z619">
        <f>IFERROR(_xlfn.XLOOKUP(TRIM(V618), M:M, O:O, "Not Found"), "Not Found")</f>
        <v>0</v>
      </c>
    </row>
    <row r="620" spans="8:26">
      <c r="H620" t="s">
        <v>1077</v>
      </c>
      <c r="I620" t="str">
        <f t="shared" si="10"/>
        <v>export</v>
      </c>
      <c r="J620" t="str">
        <v>export</v>
      </c>
      <c r="K620" t="str">
        <f>IFERROR(_xlfn.XLOOKUP(TRIM(H620), M:M, N:N, "Not Found"), "Not Found")</f>
        <v>Legality based</v>
      </c>
      <c r="V620" t="s">
        <v>1028</v>
      </c>
      <c r="W620" t="s">
        <v>1022</v>
      </c>
      <c r="X620">
        <f>Z620</f>
        <v>0</v>
      </c>
      <c r="Z620">
        <f>IFERROR(_xlfn.XLOOKUP(TRIM(V619), M:M, O:O, "Not Found"), "Not Found")</f>
        <v>0</v>
      </c>
    </row>
    <row r="621" spans="8:26">
      <c r="H621" t="s">
        <v>1028</v>
      </c>
      <c r="I621" t="str">
        <f t="shared" si="10"/>
        <v>corby</v>
      </c>
      <c r="J621" t="str">
        <v>corby</v>
      </c>
      <c r="K621" t="str">
        <f>IFERROR(_xlfn.XLOOKUP(TRIM(H621), M:M, N:N, "Not Found"), "Not Found")</f>
        <v>Familial based</v>
      </c>
      <c r="V621" t="s">
        <v>1028</v>
      </c>
      <c r="W621" t="s">
        <v>1022</v>
      </c>
      <c r="X621">
        <f>Z621</f>
        <v>0</v>
      </c>
      <c r="Z621">
        <f>IFERROR(_xlfn.XLOOKUP(TRIM(V620), M:M, O:O, "Not Found"), "Not Found")</f>
        <v>0</v>
      </c>
    </row>
    <row r="622" spans="8:26">
      <c r="H622" t="s">
        <v>1027</v>
      </c>
      <c r="I622" t="str">
        <f t="shared" si="10"/>
        <v>mercedes</v>
      </c>
      <c r="J622" t="str">
        <v>mercedes</v>
      </c>
      <c r="K622" t="str">
        <f>IFERROR(_xlfn.XLOOKUP(TRIM(H622), M:M, N:N, "Not Found"), "Not Found")</f>
        <v>Familial based</v>
      </c>
      <c r="V622" t="s">
        <v>1028</v>
      </c>
      <c r="W622" t="s">
        <v>1022</v>
      </c>
      <c r="X622">
        <f>Z622</f>
        <v>0</v>
      </c>
      <c r="Z622">
        <f>IFERROR(_xlfn.XLOOKUP(TRIM(V621), M:M, O:O, "Not Found"), "Not Found")</f>
        <v>0</v>
      </c>
    </row>
    <row r="623" spans="8:26">
      <c r="H623" t="s">
        <v>1031</v>
      </c>
      <c r="I623" t="str">
        <f t="shared" si="10"/>
        <v>bogan</v>
      </c>
      <c r="J623" t="str">
        <v>bogan</v>
      </c>
      <c r="K623" t="str">
        <f>IFERROR(_xlfn.XLOOKUP(TRIM(H623), M:M, N:N, "Not Found"), "Not Found")</f>
        <v>Class based</v>
      </c>
      <c r="V623" t="s">
        <v>1028</v>
      </c>
      <c r="W623" t="s">
        <v>1022</v>
      </c>
      <c r="X623">
        <f>Z623</f>
        <v>0</v>
      </c>
      <c r="Z623">
        <f>IFERROR(_xlfn.XLOOKUP(TRIM(V622), M:M, O:O, "Not Found"), "Not Found")</f>
        <v>0</v>
      </c>
    </row>
    <row r="624" spans="8:26">
      <c r="H624" t="s">
        <v>1031</v>
      </c>
      <c r="I624" t="str">
        <f t="shared" si="10"/>
        <v>bogan</v>
      </c>
      <c r="J624" t="str">
        <v>bogan</v>
      </c>
      <c r="K624" t="str">
        <f>IFERROR(_xlfn.XLOOKUP(TRIM(H624), M:M, N:N, "Not Found"), "Not Found")</f>
        <v>Class based</v>
      </c>
      <c r="V624" t="s">
        <v>1028</v>
      </c>
      <c r="W624" t="s">
        <v>1022</v>
      </c>
      <c r="X624">
        <f>Z624</f>
        <v>0</v>
      </c>
      <c r="Z624">
        <f>IFERROR(_xlfn.XLOOKUP(TRIM(V623), M:M, O:O, "Not Found"), "Not Found")</f>
        <v>0</v>
      </c>
    </row>
    <row r="625" spans="8:26">
      <c r="H625" t="s">
        <v>1024</v>
      </c>
      <c r="I625" t="str">
        <f t="shared" si="10"/>
        <v>sister</v>
      </c>
      <c r="J625" t="str">
        <v>sister</v>
      </c>
      <c r="K625" t="str">
        <f>IFERROR(_xlfn.XLOOKUP(TRIM(H625), M:M, N:N, "Not Found"), "Not Found")</f>
        <v>Familial based</v>
      </c>
      <c r="V625" t="s">
        <v>1028</v>
      </c>
      <c r="W625" t="s">
        <v>1022</v>
      </c>
      <c r="X625">
        <f>Z625</f>
        <v>0</v>
      </c>
      <c r="Z625">
        <f>IFERROR(_xlfn.XLOOKUP(TRIM(V624), M:M, O:O, "Not Found"), "Not Found")</f>
        <v>0</v>
      </c>
    </row>
    <row r="626" spans="8:26">
      <c r="H626" t="s">
        <v>1029</v>
      </c>
      <c r="I626" t="str">
        <f t="shared" si="10"/>
        <v>brother</v>
      </c>
      <c r="J626" t="str">
        <v>brother</v>
      </c>
      <c r="K626" t="str">
        <f>IFERROR(_xlfn.XLOOKUP(TRIM(H626), M:M, N:N, "Not Found"), "Not Found")</f>
        <v>Familial based</v>
      </c>
      <c r="V626" t="s">
        <v>1028</v>
      </c>
      <c r="W626" t="s">
        <v>1022</v>
      </c>
      <c r="X626">
        <f>Z626</f>
        <v>0</v>
      </c>
      <c r="Z626">
        <f>IFERROR(_xlfn.XLOOKUP(TRIM(V625), M:M, O:O, "Not Found"), "Not Found")</f>
        <v>0</v>
      </c>
    </row>
    <row r="627" spans="8:26">
      <c r="H627" t="s">
        <v>970</v>
      </c>
      <c r="I627" t="str">
        <f t="shared" si="10"/>
        <v>australian</v>
      </c>
      <c r="J627" t="str">
        <v>australian</v>
      </c>
      <c r="K627" t="str">
        <f>IFERROR(_xlfn.XLOOKUP(TRIM(H627), M:M, N:N, "Not Found"), "Not Found")</f>
        <v>Case Related</v>
      </c>
      <c r="V627" t="s">
        <v>1028</v>
      </c>
      <c r="W627" t="s">
        <v>1022</v>
      </c>
      <c r="X627">
        <f>Z627</f>
        <v>0</v>
      </c>
      <c r="Z627">
        <f>IFERROR(_xlfn.XLOOKUP(TRIM(V626), M:M, O:O, "Not Found"), "Not Found")</f>
        <v>0</v>
      </c>
    </row>
    <row r="628" spans="8:26">
      <c r="H628" t="s">
        <v>983</v>
      </c>
      <c r="I628" t="str">
        <f t="shared" si="10"/>
        <v>australia</v>
      </c>
      <c r="J628" t="str">
        <v>australia</v>
      </c>
      <c r="K628" t="str">
        <f>IFERROR(_xlfn.XLOOKUP(TRIM(H628), M:M, N:N, "Not Found"), "Not Found")</f>
        <v>Case Related</v>
      </c>
      <c r="V628" t="s">
        <v>1028</v>
      </c>
      <c r="W628" t="s">
        <v>1022</v>
      </c>
      <c r="X628">
        <f>Z628</f>
        <v>0</v>
      </c>
      <c r="Z628">
        <f>IFERROR(_xlfn.XLOOKUP(TRIM(V627), M:M, O:O, "Not Found"), "Not Found")</f>
        <v>0</v>
      </c>
    </row>
    <row r="629" spans="8:26">
      <c r="H629" t="s">
        <v>1020</v>
      </c>
      <c r="I629" t="str">
        <f t="shared" si="10"/>
        <v>af</v>
      </c>
      <c r="J629" t="str">
        <v>af</v>
      </c>
      <c r="K629" t="str">
        <f>IFERROR(_xlfn.XLOOKUP(TRIM(H629), M:M, N:N, "Not Found"), "Not Found")</f>
        <v>Intelligence based</v>
      </c>
      <c r="V629" t="s">
        <v>1028</v>
      </c>
      <c r="W629" t="s">
        <v>1022</v>
      </c>
      <c r="X629">
        <f>Z629</f>
        <v>0</v>
      </c>
      <c r="Z629">
        <f>IFERROR(_xlfn.XLOOKUP(TRIM(V628), M:M, O:O, "Not Found"), "Not Found")</f>
        <v>0</v>
      </c>
    </row>
    <row r="630" spans="8:26">
      <c r="H630" t="s">
        <v>965</v>
      </c>
      <c r="I630" t="str">
        <f t="shared" si="10"/>
        <v>schapelle corby</v>
      </c>
      <c r="J630" t="str">
        <v>schapelle corby</v>
      </c>
      <c r="K630" t="str">
        <f>IFERROR(_xlfn.XLOOKUP(TRIM(H630), M:M, N:N, "Not Found"), "Not Found")</f>
        <v>Case Related</v>
      </c>
      <c r="V630" t="s">
        <v>1028</v>
      </c>
      <c r="W630" t="s">
        <v>1022</v>
      </c>
      <c r="X630">
        <f>Z630</f>
        <v>0</v>
      </c>
      <c r="Z630">
        <f>IFERROR(_xlfn.XLOOKUP(TRIM(V629), M:M, O:O, "Not Found"), "Not Found")</f>
        <v>0</v>
      </c>
    </row>
    <row r="631" spans="8:26">
      <c r="H631" t="s">
        <v>1024</v>
      </c>
      <c r="I631" t="str">
        <f t="shared" si="10"/>
        <v>sister</v>
      </c>
      <c r="J631" t="str">
        <v>sister</v>
      </c>
      <c r="K631" t="str">
        <f>IFERROR(_xlfn.XLOOKUP(TRIM(H631), M:M, N:N, "Not Found"), "Not Found")</f>
        <v>Familial based</v>
      </c>
      <c r="V631" t="s">
        <v>1028</v>
      </c>
      <c r="W631" t="s">
        <v>1022</v>
      </c>
      <c r="X631">
        <f>Z631</f>
        <v>0</v>
      </c>
      <c r="Z631">
        <f>IFERROR(_xlfn.XLOOKUP(TRIM(V630), M:M, O:O, "Not Found"), "Not Found")</f>
        <v>0</v>
      </c>
    </row>
    <row r="632" spans="8:26">
      <c r="H632" t="s">
        <v>1028</v>
      </c>
      <c r="I632" t="str">
        <f t="shared" si="10"/>
        <v>corby</v>
      </c>
      <c r="J632" t="str">
        <v>corby</v>
      </c>
      <c r="K632" t="str">
        <f>IFERROR(_xlfn.XLOOKUP(TRIM(H632), M:M, N:N, "Not Found"), "Not Found")</f>
        <v>Familial based</v>
      </c>
      <c r="V632" t="s">
        <v>1028</v>
      </c>
      <c r="W632" t="s">
        <v>1022</v>
      </c>
      <c r="X632">
        <f>Z632</f>
        <v>0</v>
      </c>
      <c r="Z632">
        <f>IFERROR(_xlfn.XLOOKUP(TRIM(V631), M:M, O:O, "Not Found"), "Not Found")</f>
        <v>0</v>
      </c>
    </row>
    <row r="633" spans="8:26">
      <c r="H633" t="s">
        <v>1029</v>
      </c>
      <c r="I633" t="str">
        <f t="shared" si="10"/>
        <v>brother</v>
      </c>
      <c r="J633" t="str">
        <v>brother</v>
      </c>
      <c r="K633" t="str">
        <f>IFERROR(_xlfn.XLOOKUP(TRIM(H633), M:M, N:N, "Not Found"), "Not Found")</f>
        <v>Familial based</v>
      </c>
      <c r="V633" t="s">
        <v>1028</v>
      </c>
      <c r="W633" t="s">
        <v>1022</v>
      </c>
      <c r="X633">
        <f>Z633</f>
        <v>0</v>
      </c>
      <c r="Z633">
        <f>IFERROR(_xlfn.XLOOKUP(TRIM(V632), M:M, O:O, "Not Found"), "Not Found")</f>
        <v>0</v>
      </c>
    </row>
    <row r="634" spans="8:26">
      <c r="H634" t="s">
        <v>1026</v>
      </c>
      <c r="I634" t="str">
        <f t="shared" si="10"/>
        <v>whole family</v>
      </c>
      <c r="J634" t="str">
        <v>whole family</v>
      </c>
      <c r="K634" t="str">
        <f>IFERROR(_xlfn.XLOOKUP(TRIM(H634), M:M, N:N, "Not Found"), "Not Found")</f>
        <v>Familial based</v>
      </c>
      <c r="V634" t="s">
        <v>1028</v>
      </c>
      <c r="W634" t="s">
        <v>1022</v>
      </c>
      <c r="X634">
        <f>Z634</f>
        <v>0</v>
      </c>
      <c r="Z634">
        <f>IFERROR(_xlfn.XLOOKUP(TRIM(V633), M:M, O:O, "Not Found"), "Not Found")</f>
        <v>0</v>
      </c>
    </row>
    <row r="635" spans="8:26">
      <c r="H635" t="s">
        <v>1035</v>
      </c>
      <c r="I635" t="str">
        <f t="shared" si="10"/>
        <v>trashy</v>
      </c>
      <c r="J635" t="str">
        <v>trashy</v>
      </c>
      <c r="K635" t="str">
        <f>IFERROR(_xlfn.XLOOKUP(TRIM(H635), M:M, N:N, "Not Found"), "Not Found")</f>
        <v>Class based</v>
      </c>
      <c r="V635" t="s">
        <v>1028</v>
      </c>
      <c r="W635" t="s">
        <v>1022</v>
      </c>
      <c r="X635">
        <f>Z635</f>
        <v>0</v>
      </c>
      <c r="Z635">
        <f>IFERROR(_xlfn.XLOOKUP(TRIM(V634), M:M, O:O, "Not Found"), "Not Found")</f>
        <v>0</v>
      </c>
    </row>
    <row r="636" spans="8:26">
      <c r="H636" t="s">
        <v>1057</v>
      </c>
      <c r="I636" t="str">
        <f t="shared" si="10"/>
        <v>guilty</v>
      </c>
      <c r="J636" t="str">
        <v>guilty</v>
      </c>
      <c r="K636" t="str">
        <f>IFERROR(_xlfn.XLOOKUP(TRIM(H636), M:M, N:N, "Not Found"), "Not Found")</f>
        <v>Legality based</v>
      </c>
      <c r="V636" t="s">
        <v>1028</v>
      </c>
      <c r="W636" t="s">
        <v>1022</v>
      </c>
      <c r="X636">
        <f>Z636</f>
        <v>0</v>
      </c>
      <c r="Z636">
        <f>IFERROR(_xlfn.XLOOKUP(TRIM(V635), M:M, O:O, "Not Found"), "Not Found")</f>
        <v>0</v>
      </c>
    </row>
    <row r="637" spans="8:26">
      <c r="H637" t="s">
        <v>983</v>
      </c>
      <c r="I637" t="str">
        <f t="shared" si="10"/>
        <v>australia</v>
      </c>
      <c r="J637" t="str">
        <v>australia</v>
      </c>
      <c r="K637" t="str">
        <f>IFERROR(_xlfn.XLOOKUP(TRIM(H637), M:M, N:N, "Not Found"), "Not Found")</f>
        <v>Case Related</v>
      </c>
      <c r="V637" t="s">
        <v>1028</v>
      </c>
      <c r="W637" t="s">
        <v>1022</v>
      </c>
      <c r="X637">
        <f>Z637</f>
        <v>0</v>
      </c>
      <c r="Z637">
        <f>IFERROR(_xlfn.XLOOKUP(TRIM(V636), M:M, O:O, "Not Found"), "Not Found")</f>
        <v>0</v>
      </c>
    </row>
    <row r="638" spans="8:26">
      <c r="H638" t="s">
        <v>1248</v>
      </c>
      <c r="I638" t="str">
        <f t="shared" si="10"/>
        <v>marijuana</v>
      </c>
      <c r="J638" t="str">
        <v>marijuana</v>
      </c>
      <c r="K638" t="str">
        <f>IFERROR(_xlfn.XLOOKUP(TRIM(H638), M:M, N:N, "Not Found"), "Not Found")</f>
        <v>Not Found</v>
      </c>
      <c r="V638" t="s">
        <v>1028</v>
      </c>
      <c r="W638" t="s">
        <v>1022</v>
      </c>
      <c r="X638">
        <f>Z638</f>
        <v>0</v>
      </c>
      <c r="Z638">
        <f>IFERROR(_xlfn.XLOOKUP(TRIM(V637), M:M, O:O, "Not Found"), "Not Found")</f>
        <v>0</v>
      </c>
    </row>
    <row r="639" spans="8:26">
      <c r="H639" t="s">
        <v>1029</v>
      </c>
      <c r="I639" t="str">
        <f t="shared" si="10"/>
        <v>brother</v>
      </c>
      <c r="J639" t="str">
        <v>brother</v>
      </c>
      <c r="K639" t="str">
        <f>IFERROR(_xlfn.XLOOKUP(TRIM(H639), M:M, N:N, "Not Found"), "Not Found")</f>
        <v>Familial based</v>
      </c>
      <c r="V639" t="s">
        <v>1028</v>
      </c>
      <c r="W639" t="s">
        <v>1022</v>
      </c>
      <c r="X639">
        <f>Z639</f>
        <v>0</v>
      </c>
      <c r="Z639">
        <f>IFERROR(_xlfn.XLOOKUP(TRIM(V638), M:M, O:O, "Not Found"), "Not Found")</f>
        <v>0</v>
      </c>
    </row>
    <row r="640" spans="8:26">
      <c r="H640" t="s">
        <v>1045</v>
      </c>
      <c r="I640" t="str">
        <f t="shared" si="10"/>
        <v>disgusting</v>
      </c>
      <c r="J640" t="str">
        <v>disgusting</v>
      </c>
      <c r="K640" t="str">
        <f>IFERROR(_xlfn.XLOOKUP(TRIM(H640), M:M, N:N, "Not Found"), "Not Found")</f>
        <v>Moral condemnation</v>
      </c>
      <c r="V640" t="s">
        <v>1028</v>
      </c>
      <c r="W640" t="s">
        <v>1022</v>
      </c>
      <c r="X640">
        <f>Z640</f>
        <v>0</v>
      </c>
      <c r="Z640">
        <f>IFERROR(_xlfn.XLOOKUP(TRIM(V639), M:M, O:O, "Not Found"), "Not Found")</f>
        <v>0</v>
      </c>
    </row>
    <row r="641" spans="8:26">
      <c r="H641" t="s">
        <v>1062</v>
      </c>
      <c r="I641" t="str">
        <f t="shared" si="10"/>
        <v>served</v>
      </c>
      <c r="J641" t="str">
        <v>served</v>
      </c>
      <c r="K641" t="str">
        <f>IFERROR(_xlfn.XLOOKUP(TRIM(H641), M:M, N:N, "Not Found"), "Not Found")</f>
        <v>Legality based</v>
      </c>
      <c r="V641" t="s">
        <v>1028</v>
      </c>
      <c r="W641" t="s">
        <v>1022</v>
      </c>
      <c r="X641">
        <f>Z641</f>
        <v>0</v>
      </c>
      <c r="Z641">
        <f>IFERROR(_xlfn.XLOOKUP(TRIM(V640), M:M, O:O, "Not Found"), "Not Found")</f>
        <v>0</v>
      </c>
    </row>
    <row r="642" spans="8:26">
      <c r="H642" t="s">
        <v>1236</v>
      </c>
      <c r="I642" t="str">
        <f t="shared" si="10"/>
        <v>sentence</v>
      </c>
      <c r="J642" t="str">
        <v>sentence</v>
      </c>
      <c r="K642" t="str">
        <f>IFERROR(_xlfn.XLOOKUP(TRIM(H642), M:M, N:N, "Not Found"), "Not Found")</f>
        <v>Not Found</v>
      </c>
      <c r="V642" t="s">
        <v>1028</v>
      </c>
      <c r="W642" t="s">
        <v>1022</v>
      </c>
      <c r="X642">
        <f>Z642</f>
        <v>0</v>
      </c>
      <c r="Z642">
        <f>IFERROR(_xlfn.XLOOKUP(TRIM(V641), M:M, O:O, "Not Found"), "Not Found")</f>
        <v>0</v>
      </c>
    </row>
    <row r="643" spans="8:26">
      <c r="H643" t="s">
        <v>1020</v>
      </c>
      <c r="I643" t="str">
        <f t="shared" si="10"/>
        <v>af</v>
      </c>
      <c r="J643" t="str">
        <v>af</v>
      </c>
      <c r="K643" t="str">
        <f>IFERROR(_xlfn.XLOOKUP(TRIM(H643), M:M, N:N, "Not Found"), "Not Found")</f>
        <v>Intelligence based</v>
      </c>
      <c r="V643" t="s">
        <v>1028</v>
      </c>
      <c r="W643" t="s">
        <v>1022</v>
      </c>
      <c r="X643">
        <f>Z643</f>
        <v>0</v>
      </c>
      <c r="Z643">
        <f>IFERROR(_xlfn.XLOOKUP(TRIM(V642), M:M, O:O, "Not Found"), "Not Found")</f>
        <v>0</v>
      </c>
    </row>
    <row r="644" spans="8:26">
      <c r="H644" t="s">
        <v>1045</v>
      </c>
      <c r="I644" t="str">
        <f t="shared" ref="I644:I707" si="11">TRIM(LOWER(H644))</f>
        <v>disgusting</v>
      </c>
      <c r="J644" t="str">
        <v>disgusting</v>
      </c>
      <c r="K644" t="str">
        <f>IFERROR(_xlfn.XLOOKUP(TRIM(H644), M:M, N:N, "Not Found"), "Not Found")</f>
        <v>Moral condemnation</v>
      </c>
      <c r="V644" t="s">
        <v>1028</v>
      </c>
      <c r="W644" t="s">
        <v>1022</v>
      </c>
      <c r="X644">
        <f>Z644</f>
        <v>0</v>
      </c>
      <c r="Z644">
        <f>IFERROR(_xlfn.XLOOKUP(TRIM(V643), M:M, O:O, "Not Found"), "Not Found")</f>
        <v>0</v>
      </c>
    </row>
    <row r="645" spans="8:26">
      <c r="H645" t="s">
        <v>1062</v>
      </c>
      <c r="I645" t="str">
        <f t="shared" si="11"/>
        <v>served</v>
      </c>
      <c r="J645" t="str">
        <v>served</v>
      </c>
      <c r="K645" t="str">
        <f>IFERROR(_xlfn.XLOOKUP(TRIM(H645), M:M, N:N, "Not Found"), "Not Found")</f>
        <v>Legality based</v>
      </c>
      <c r="V645" t="s">
        <v>1028</v>
      </c>
      <c r="W645" t="s">
        <v>1022</v>
      </c>
      <c r="X645">
        <f>Z645</f>
        <v>0</v>
      </c>
      <c r="Z645">
        <f>IFERROR(_xlfn.XLOOKUP(TRIM(V644), M:M, O:O, "Not Found"), "Not Found")</f>
        <v>0</v>
      </c>
    </row>
    <row r="646" spans="8:26">
      <c r="H646" t="s">
        <v>1075</v>
      </c>
      <c r="I646" t="str">
        <f t="shared" si="11"/>
        <v>charged</v>
      </c>
      <c r="J646" t="str">
        <v>charged</v>
      </c>
      <c r="K646" t="str">
        <f>IFERROR(_xlfn.XLOOKUP(TRIM(H646), M:M, N:N, "Not Found"), "Not Found")</f>
        <v>Legality based</v>
      </c>
      <c r="V646" t="s">
        <v>1028</v>
      </c>
      <c r="W646" t="s">
        <v>1022</v>
      </c>
      <c r="X646">
        <f>Z646</f>
        <v>0</v>
      </c>
      <c r="Z646">
        <f>IFERROR(_xlfn.XLOOKUP(TRIM(V645), M:M, O:O, "Not Found"), "Not Found")</f>
        <v>0</v>
      </c>
    </row>
    <row r="647" spans="8:26">
      <c r="H647" t="s">
        <v>1021</v>
      </c>
      <c r="I647" t="str">
        <f t="shared" si="11"/>
        <v>mercedes corby</v>
      </c>
      <c r="J647" t="str">
        <v>Mercedes Corby</v>
      </c>
      <c r="K647" t="str">
        <f>IFERROR(_xlfn.XLOOKUP(TRIM(H647), M:M, N:N, "Not Found"), "Not Found")</f>
        <v>Familial based</v>
      </c>
      <c r="V647" t="s">
        <v>1028</v>
      </c>
      <c r="W647" t="s">
        <v>1022</v>
      </c>
      <c r="X647">
        <f>Z647</f>
        <v>0</v>
      </c>
      <c r="Z647">
        <f>IFERROR(_xlfn.XLOOKUP(TRIM(V646), M:M, O:O, "Not Found"), "Not Found")</f>
        <v>0</v>
      </c>
    </row>
    <row r="648" spans="8:26">
      <c r="H648" t="s">
        <v>1027</v>
      </c>
      <c r="I648" t="str">
        <f t="shared" si="11"/>
        <v>mercedes</v>
      </c>
      <c r="J648" t="str">
        <v>mercedes</v>
      </c>
      <c r="K648" t="str">
        <f>IFERROR(_xlfn.XLOOKUP(TRIM(H648), M:M, N:N, "Not Found"), "Not Found")</f>
        <v>Familial based</v>
      </c>
      <c r="V648" t="s">
        <v>1028</v>
      </c>
      <c r="W648" t="s">
        <v>1022</v>
      </c>
      <c r="X648">
        <f>Z648</f>
        <v>0</v>
      </c>
      <c r="Z648">
        <f>IFERROR(_xlfn.XLOOKUP(TRIM(V647), M:M, O:O, "Not Found"), "Not Found")</f>
        <v>0</v>
      </c>
    </row>
    <row r="649" spans="8:26">
      <c r="H649" t="s">
        <v>1028</v>
      </c>
      <c r="I649" t="str">
        <f t="shared" si="11"/>
        <v>corby</v>
      </c>
      <c r="J649" t="str">
        <v>corby</v>
      </c>
      <c r="K649" t="str">
        <f>IFERROR(_xlfn.XLOOKUP(TRIM(H649), M:M, N:N, "Not Found"), "Not Found")</f>
        <v>Familial based</v>
      </c>
      <c r="V649" t="s">
        <v>1028</v>
      </c>
      <c r="W649" t="s">
        <v>1022</v>
      </c>
      <c r="X649">
        <f>Z649</f>
        <v>0</v>
      </c>
      <c r="Z649">
        <f>IFERROR(_xlfn.XLOOKUP(TRIM(V648), M:M, O:O, "Not Found"), "Not Found")</f>
        <v>0</v>
      </c>
    </row>
    <row r="650" spans="8:26">
      <c r="H650" t="s">
        <v>1057</v>
      </c>
      <c r="I650" t="str">
        <f t="shared" si="11"/>
        <v>guilty</v>
      </c>
      <c r="J650" t="str">
        <v>guilty</v>
      </c>
      <c r="K650" t="str">
        <f>IFERROR(_xlfn.XLOOKUP(TRIM(H650), M:M, N:N, "Not Found"), "Not Found")</f>
        <v>Legality based</v>
      </c>
      <c r="V650" t="s">
        <v>1028</v>
      </c>
      <c r="W650" t="s">
        <v>1022</v>
      </c>
      <c r="X650">
        <f>Z650</f>
        <v>0</v>
      </c>
      <c r="Z650">
        <f>IFERROR(_xlfn.XLOOKUP(TRIM(V649), M:M, O:O, "Not Found"), "Not Found")</f>
        <v>0</v>
      </c>
    </row>
    <row r="651" spans="8:26">
      <c r="H651" t="s">
        <v>1020</v>
      </c>
      <c r="I651" t="str">
        <f t="shared" si="11"/>
        <v>af</v>
      </c>
      <c r="J651" t="str">
        <v>af</v>
      </c>
      <c r="K651" t="str">
        <f>IFERROR(_xlfn.XLOOKUP(TRIM(H651), M:M, N:N, "Not Found"), "Not Found")</f>
        <v>Intelligence based</v>
      </c>
      <c r="V651" t="s">
        <v>1028</v>
      </c>
      <c r="W651" t="s">
        <v>1022</v>
      </c>
      <c r="X651">
        <f>Z651</f>
        <v>0</v>
      </c>
      <c r="Z651">
        <f>IFERROR(_xlfn.XLOOKUP(TRIM(V650), M:M, O:O, "Not Found"), "Not Found")</f>
        <v>0</v>
      </c>
    </row>
    <row r="652" spans="8:26">
      <c r="H652" t="s">
        <v>990</v>
      </c>
      <c r="I652" t="str">
        <f t="shared" si="11"/>
        <v>trafficker</v>
      </c>
      <c r="J652" t="str">
        <v>trafficker</v>
      </c>
      <c r="K652" t="str">
        <f>IFERROR(_xlfn.XLOOKUP(TRIM(H652), M:M, N:N, "Not Found"), "Not Found")</f>
        <v>Crime based</v>
      </c>
      <c r="V652" t="s">
        <v>1028</v>
      </c>
      <c r="W652" t="s">
        <v>1022</v>
      </c>
      <c r="X652">
        <f>Z652</f>
        <v>0</v>
      </c>
      <c r="Z652">
        <f>IFERROR(_xlfn.XLOOKUP(TRIM(V651), M:M, O:O, "Not Found"), "Not Found")</f>
        <v>0</v>
      </c>
    </row>
    <row r="653" spans="8:26">
      <c r="H653" t="s">
        <v>1020</v>
      </c>
      <c r="I653" t="str">
        <f t="shared" si="11"/>
        <v>af</v>
      </c>
      <c r="J653" t="str">
        <v>af</v>
      </c>
      <c r="K653" t="str">
        <f>IFERROR(_xlfn.XLOOKUP(TRIM(H653), M:M, N:N, "Not Found"), "Not Found")</f>
        <v>Intelligence based</v>
      </c>
      <c r="V653" t="s">
        <v>1028</v>
      </c>
      <c r="W653" t="s">
        <v>1022</v>
      </c>
      <c r="X653">
        <f>Z653</f>
        <v>0</v>
      </c>
      <c r="Z653">
        <f>IFERROR(_xlfn.XLOOKUP(TRIM(V652), M:M, O:O, "Not Found"), "Not Found")</f>
        <v>0</v>
      </c>
    </row>
    <row r="654" spans="8:26">
      <c r="H654" t="s">
        <v>1024</v>
      </c>
      <c r="I654" t="str">
        <f t="shared" si="11"/>
        <v>sister</v>
      </c>
      <c r="J654" t="str">
        <v>sister</v>
      </c>
      <c r="K654" t="str">
        <f>IFERROR(_xlfn.XLOOKUP(TRIM(H654), M:M, N:N, "Not Found"), "Not Found")</f>
        <v>Familial based</v>
      </c>
      <c r="V654" t="s">
        <v>1028</v>
      </c>
      <c r="W654" t="s">
        <v>1022</v>
      </c>
      <c r="X654">
        <f>Z654</f>
        <v>0</v>
      </c>
      <c r="Z654">
        <f>IFERROR(_xlfn.XLOOKUP(TRIM(V653), M:M, O:O, "Not Found"), "Not Found")</f>
        <v>0</v>
      </c>
    </row>
    <row r="655" spans="8:26">
      <c r="H655" t="s">
        <v>1026</v>
      </c>
      <c r="I655" t="str">
        <f t="shared" si="11"/>
        <v>whole family</v>
      </c>
      <c r="J655" t="str">
        <v>whole family</v>
      </c>
      <c r="K655" t="str">
        <f>IFERROR(_xlfn.XLOOKUP(TRIM(H655), M:M, N:N, "Not Found"), "Not Found")</f>
        <v>Familial based</v>
      </c>
      <c r="V655" t="s">
        <v>1028</v>
      </c>
      <c r="W655" t="s">
        <v>1022</v>
      </c>
      <c r="X655">
        <f>Z655</f>
        <v>0</v>
      </c>
      <c r="Z655">
        <f>IFERROR(_xlfn.XLOOKUP(TRIM(V654), M:M, O:O, "Not Found"), "Not Found")</f>
        <v>0</v>
      </c>
    </row>
    <row r="656" spans="8:26">
      <c r="H656" t="s">
        <v>1057</v>
      </c>
      <c r="I656" t="str">
        <f t="shared" si="11"/>
        <v>guilty</v>
      </c>
      <c r="J656" t="str">
        <v>guilty</v>
      </c>
      <c r="K656" t="str">
        <f>IFERROR(_xlfn.XLOOKUP(TRIM(H656), M:M, N:N, "Not Found"), "Not Found")</f>
        <v>Legality based</v>
      </c>
      <c r="V656" t="s">
        <v>1028</v>
      </c>
      <c r="W656" t="s">
        <v>1022</v>
      </c>
      <c r="X656">
        <f>Z656</f>
        <v>0</v>
      </c>
      <c r="Z656">
        <f>IFERROR(_xlfn.XLOOKUP(TRIM(V655), M:M, O:O, "Not Found"), "Not Found")</f>
        <v>0</v>
      </c>
    </row>
    <row r="657" spans="8:26">
      <c r="H657" t="s">
        <v>995</v>
      </c>
      <c r="I657" t="str">
        <f t="shared" si="11"/>
        <v>weed</v>
      </c>
      <c r="J657" t="str">
        <v>weed</v>
      </c>
      <c r="K657" t="str">
        <f>IFERROR(_xlfn.XLOOKUP(TRIM(H657), M:M, N:N, "Not Found"), "Not Found")</f>
        <v>Crime based</v>
      </c>
      <c r="V657" t="s">
        <v>1028</v>
      </c>
      <c r="W657" t="s">
        <v>1022</v>
      </c>
      <c r="X657">
        <f>Z657</f>
        <v>0</v>
      </c>
      <c r="Z657">
        <f>IFERROR(_xlfn.XLOOKUP(TRIM(V656), M:M, O:O, "Not Found"), "Not Found")</f>
        <v>0</v>
      </c>
    </row>
    <row r="658" spans="8:26">
      <c r="H658" t="s">
        <v>1029</v>
      </c>
      <c r="I658" t="str">
        <f t="shared" si="11"/>
        <v>brother</v>
      </c>
      <c r="J658" t="str">
        <v>brother</v>
      </c>
      <c r="K658" t="str">
        <f>IFERROR(_xlfn.XLOOKUP(TRIM(H658), M:M, N:N, "Not Found"), "Not Found")</f>
        <v>Familial based</v>
      </c>
      <c r="V658" t="s">
        <v>1028</v>
      </c>
      <c r="W658" t="s">
        <v>1022</v>
      </c>
      <c r="X658">
        <f>Z658</f>
        <v>0</v>
      </c>
      <c r="Z658">
        <f>IFERROR(_xlfn.XLOOKUP(TRIM(V657), M:M, O:O, "Not Found"), "Not Found")</f>
        <v>0</v>
      </c>
    </row>
    <row r="659" spans="8:26">
      <c r="H659" t="s">
        <v>1005</v>
      </c>
      <c r="I659" t="str">
        <f t="shared" si="11"/>
        <v>drug dealers</v>
      </c>
      <c r="J659" t="str">
        <v>drug dealers</v>
      </c>
      <c r="K659" t="str">
        <f>IFERROR(_xlfn.XLOOKUP(TRIM(H659), M:M, N:N, "Not Found"), "Not Found")</f>
        <v>Crime based</v>
      </c>
      <c r="V659" t="s">
        <v>1028</v>
      </c>
      <c r="W659" t="s">
        <v>1022</v>
      </c>
      <c r="X659">
        <f>Z659</f>
        <v>0</v>
      </c>
      <c r="Z659">
        <f>IFERROR(_xlfn.XLOOKUP(TRIM(V658), M:M, O:O, "Not Found"), "Not Found")</f>
        <v>0</v>
      </c>
    </row>
    <row r="660" spans="8:26">
      <c r="H660" t="s">
        <v>1026</v>
      </c>
      <c r="I660" t="str">
        <f t="shared" si="11"/>
        <v>whole family</v>
      </c>
      <c r="J660" t="str">
        <v>whole family</v>
      </c>
      <c r="K660" t="str">
        <f>IFERROR(_xlfn.XLOOKUP(TRIM(H660), M:M, N:N, "Not Found"), "Not Found")</f>
        <v>Familial based</v>
      </c>
      <c r="V660" t="s">
        <v>1028</v>
      </c>
      <c r="W660" t="s">
        <v>1022</v>
      </c>
      <c r="X660">
        <f>Z660</f>
        <v>0</v>
      </c>
      <c r="Z660">
        <f>IFERROR(_xlfn.XLOOKUP(TRIM(V659), M:M, O:O, "Not Found"), "Not Found")</f>
        <v>0</v>
      </c>
    </row>
    <row r="661" spans="8:26">
      <c r="H661" t="s">
        <v>1248</v>
      </c>
      <c r="I661" t="str">
        <f t="shared" si="11"/>
        <v>marijuana</v>
      </c>
      <c r="J661" t="str">
        <v>marijuana</v>
      </c>
      <c r="K661" t="str">
        <f>IFERROR(_xlfn.XLOOKUP(TRIM(H661), M:M, N:N, "Not Found"), "Not Found")</f>
        <v>Not Found</v>
      </c>
      <c r="V661" t="s">
        <v>1028</v>
      </c>
      <c r="W661" t="s">
        <v>1022</v>
      </c>
      <c r="X661">
        <f>Z661</f>
        <v>0</v>
      </c>
      <c r="Z661">
        <f>IFERROR(_xlfn.XLOOKUP(TRIM(V660), M:M, O:O, "Not Found"), "Not Found")</f>
        <v>0</v>
      </c>
    </row>
    <row r="662" spans="8:26">
      <c r="H662" t="s">
        <v>1029</v>
      </c>
      <c r="I662" t="str">
        <f t="shared" si="11"/>
        <v>brother</v>
      </c>
      <c r="J662" t="str">
        <v>brother</v>
      </c>
      <c r="K662" t="str">
        <f>IFERROR(_xlfn.XLOOKUP(TRIM(H662), M:M, N:N, "Not Found"), "Not Found")</f>
        <v>Familial based</v>
      </c>
      <c r="V662" t="s">
        <v>1028</v>
      </c>
      <c r="W662" t="s">
        <v>1022</v>
      </c>
      <c r="X662">
        <f>Z662</f>
        <v>0</v>
      </c>
      <c r="Z662">
        <f>IFERROR(_xlfn.XLOOKUP(TRIM(V661), M:M, O:O, "Not Found"), "Not Found")</f>
        <v>0</v>
      </c>
    </row>
    <row r="663" spans="8:26">
      <c r="H663" t="s">
        <v>1030</v>
      </c>
      <c r="I663" t="str">
        <f t="shared" si="11"/>
        <v>father</v>
      </c>
      <c r="J663" t="str">
        <v>father</v>
      </c>
      <c r="K663" t="str">
        <f>IFERROR(_xlfn.XLOOKUP(TRIM(H663), M:M, N:N, "Not Found"), "Not Found")</f>
        <v>Familial based</v>
      </c>
      <c r="V663" t="s">
        <v>1028</v>
      </c>
      <c r="W663" t="s">
        <v>1022</v>
      </c>
      <c r="X663">
        <f>Z663</f>
        <v>0</v>
      </c>
      <c r="Z663">
        <f>IFERROR(_xlfn.XLOOKUP(TRIM(V662), M:M, O:O, "Not Found"), "Not Found")</f>
        <v>0</v>
      </c>
    </row>
    <row r="664" spans="8:26">
      <c r="H664" t="s">
        <v>1034</v>
      </c>
      <c r="I664" t="str">
        <f t="shared" si="11"/>
        <v>feral</v>
      </c>
      <c r="J664" t="str">
        <v>feral</v>
      </c>
      <c r="K664" t="str">
        <f>IFERROR(_xlfn.XLOOKUP(TRIM(H664), M:M, N:N, "Not Found"), "Not Found")</f>
        <v>Class based</v>
      </c>
      <c r="V664" t="s">
        <v>1028</v>
      </c>
      <c r="W664" t="s">
        <v>1022</v>
      </c>
      <c r="X664">
        <f>Z664</f>
        <v>0</v>
      </c>
      <c r="Z664">
        <f>IFERROR(_xlfn.XLOOKUP(TRIM(V663), M:M, O:O, "Not Found"), "Not Found")</f>
        <v>0</v>
      </c>
    </row>
    <row r="665" spans="8:26">
      <c r="H665" t="s">
        <v>984</v>
      </c>
      <c r="I665" t="str">
        <f t="shared" si="11"/>
        <v>drugs</v>
      </c>
      <c r="J665" t="str">
        <v>drugs</v>
      </c>
      <c r="K665" t="str">
        <f>IFERROR(_xlfn.XLOOKUP(TRIM(H665), M:M, N:N, "Not Found"), "Not Found")</f>
        <v>Crime based</v>
      </c>
      <c r="V665" t="s">
        <v>1028</v>
      </c>
      <c r="W665" t="s">
        <v>1022</v>
      </c>
      <c r="X665">
        <f>Z665</f>
        <v>0</v>
      </c>
      <c r="Z665">
        <f>IFERROR(_xlfn.XLOOKUP(TRIM(V664), M:M, O:O, "Not Found"), "Not Found")</f>
        <v>0</v>
      </c>
    </row>
    <row r="666" spans="8:26">
      <c r="H666" t="s">
        <v>1024</v>
      </c>
      <c r="I666" t="str">
        <f t="shared" si="11"/>
        <v>sister</v>
      </c>
      <c r="J666" t="str">
        <v>sister</v>
      </c>
      <c r="K666" t="str">
        <f>IFERROR(_xlfn.XLOOKUP(TRIM(H666), M:M, N:N, "Not Found"), "Not Found")</f>
        <v>Familial based</v>
      </c>
      <c r="V666" t="s">
        <v>1028</v>
      </c>
      <c r="W666" t="s">
        <v>1022</v>
      </c>
      <c r="X666">
        <f>Z666</f>
        <v>0</v>
      </c>
      <c r="Z666">
        <f>IFERROR(_xlfn.XLOOKUP(TRIM(V665), M:M, O:O, "Not Found"), "Not Found")</f>
        <v>0</v>
      </c>
    </row>
    <row r="667" spans="8:26">
      <c r="H667" t="s">
        <v>1031</v>
      </c>
      <c r="I667" t="str">
        <f t="shared" si="11"/>
        <v>bogan</v>
      </c>
      <c r="J667" t="str">
        <v>bogan</v>
      </c>
      <c r="K667" t="str">
        <f>IFERROR(_xlfn.XLOOKUP(TRIM(H667), M:M, N:N, "Not Found"), "Not Found")</f>
        <v>Class based</v>
      </c>
      <c r="V667" t="s">
        <v>1028</v>
      </c>
      <c r="W667" t="s">
        <v>1022</v>
      </c>
      <c r="X667">
        <f>Z667</f>
        <v>0</v>
      </c>
      <c r="Z667">
        <f>IFERROR(_xlfn.XLOOKUP(TRIM(V666), M:M, O:O, "Not Found"), "Not Found")</f>
        <v>0</v>
      </c>
    </row>
    <row r="668" spans="8:26">
      <c r="H668" t="s">
        <v>1069</v>
      </c>
      <c r="I668" t="str">
        <f t="shared" si="11"/>
        <v>parole</v>
      </c>
      <c r="J668" t="str">
        <v>parole</v>
      </c>
      <c r="K668" t="str">
        <f>IFERROR(_xlfn.XLOOKUP(TRIM(H668), M:M, N:N, "Not Found"), "Not Found")</f>
        <v>Legality based</v>
      </c>
      <c r="V668" t="s">
        <v>1028</v>
      </c>
      <c r="W668" t="s">
        <v>1022</v>
      </c>
      <c r="X668">
        <f>Z668</f>
        <v>0</v>
      </c>
      <c r="Z668">
        <f>IFERROR(_xlfn.XLOOKUP(TRIM(V667), M:M, O:O, "Not Found"), "Not Found")</f>
        <v>0</v>
      </c>
    </row>
    <row r="669" spans="8:26">
      <c r="H669" t="s">
        <v>988</v>
      </c>
      <c r="I669" t="str">
        <f t="shared" si="11"/>
        <v>convicted drug smuggler</v>
      </c>
      <c r="J669" t="str">
        <v>convicted drug smuggler</v>
      </c>
      <c r="K669" t="str">
        <f>IFERROR(_xlfn.XLOOKUP(TRIM(H669), M:M, N:N, "Not Found"), "Not Found")</f>
        <v>Crime based</v>
      </c>
      <c r="V669" t="s">
        <v>1028</v>
      </c>
      <c r="W669" t="s">
        <v>1022</v>
      </c>
      <c r="X669">
        <f>Z669</f>
        <v>0</v>
      </c>
      <c r="Z669">
        <f>IFERROR(_xlfn.XLOOKUP(TRIM(V668), M:M, O:O, "Not Found"), "Not Found")</f>
        <v>0</v>
      </c>
    </row>
    <row r="670" spans="8:26">
      <c r="H670" t="s">
        <v>992</v>
      </c>
      <c r="I670" t="str">
        <f t="shared" si="11"/>
        <v>drug smuggler</v>
      </c>
      <c r="J670" t="str">
        <v>drug smuggler</v>
      </c>
      <c r="K670" t="str">
        <f>IFERROR(_xlfn.XLOOKUP(TRIM(H670), M:M, N:N, "Not Found"), "Not Found")</f>
        <v>Crime based</v>
      </c>
      <c r="V670" t="s">
        <v>1028</v>
      </c>
      <c r="W670" t="s">
        <v>1022</v>
      </c>
      <c r="X670">
        <f>Z670</f>
        <v>0</v>
      </c>
      <c r="Z670">
        <f>IFERROR(_xlfn.XLOOKUP(TRIM(V669), M:M, O:O, "Not Found"), "Not Found")</f>
        <v>0</v>
      </c>
    </row>
    <row r="671" spans="8:26">
      <c r="H671" t="s">
        <v>1020</v>
      </c>
      <c r="I671" t="str">
        <f t="shared" si="11"/>
        <v>af</v>
      </c>
      <c r="J671" t="str">
        <v>af</v>
      </c>
      <c r="K671" t="str">
        <f>IFERROR(_xlfn.XLOOKUP(TRIM(H671), M:M, N:N, "Not Found"), "Not Found")</f>
        <v>Intelligence based</v>
      </c>
      <c r="V671" t="s">
        <v>1028</v>
      </c>
      <c r="W671" t="s">
        <v>1022</v>
      </c>
      <c r="X671">
        <f>Z671</f>
        <v>0</v>
      </c>
      <c r="Z671">
        <f>IFERROR(_xlfn.XLOOKUP(TRIM(V670), M:M, O:O, "Not Found"), "Not Found")</f>
        <v>0</v>
      </c>
    </row>
    <row r="672" spans="8:26">
      <c r="H672" t="s">
        <v>1073</v>
      </c>
      <c r="I672" t="str">
        <f t="shared" si="11"/>
        <v>convicted</v>
      </c>
      <c r="J672" t="str">
        <v>convicted</v>
      </c>
      <c r="K672" t="str">
        <f>IFERROR(_xlfn.XLOOKUP(TRIM(H672), M:M, N:N, "Not Found"), "Not Found")</f>
        <v>Legality based</v>
      </c>
      <c r="V672" t="s">
        <v>1028</v>
      </c>
      <c r="W672" t="s">
        <v>1022</v>
      </c>
      <c r="X672">
        <f>Z672</f>
        <v>0</v>
      </c>
      <c r="Z672">
        <f>IFERROR(_xlfn.XLOOKUP(TRIM(V671), M:M, O:O, "Not Found"), "Not Found")</f>
        <v>0</v>
      </c>
    </row>
    <row r="673" spans="8:26">
      <c r="H673" t="s">
        <v>1031</v>
      </c>
      <c r="I673" t="str">
        <f t="shared" si="11"/>
        <v>bogan</v>
      </c>
      <c r="J673" t="str">
        <v>bogan</v>
      </c>
      <c r="K673" t="str">
        <f>IFERROR(_xlfn.XLOOKUP(TRIM(H673), M:M, N:N, "Not Found"), "Not Found")</f>
        <v>Class based</v>
      </c>
      <c r="V673" t="s">
        <v>1028</v>
      </c>
      <c r="W673" t="s">
        <v>1022</v>
      </c>
      <c r="X673">
        <f>Z673</f>
        <v>0</v>
      </c>
      <c r="Z673">
        <f>IFERROR(_xlfn.XLOOKUP(TRIM(V672), M:M, O:O, "Not Found"), "Not Found")</f>
        <v>0</v>
      </c>
    </row>
    <row r="674" spans="8:26">
      <c r="H674" t="s">
        <v>1028</v>
      </c>
      <c r="I674" t="str">
        <f t="shared" si="11"/>
        <v>corby</v>
      </c>
      <c r="J674" t="str">
        <v>corby</v>
      </c>
      <c r="K674" t="str">
        <f>IFERROR(_xlfn.XLOOKUP(TRIM(H674), M:M, N:N, "Not Found"), "Not Found")</f>
        <v>Familial based</v>
      </c>
      <c r="V674" t="s">
        <v>1028</v>
      </c>
      <c r="W674" t="s">
        <v>1022</v>
      </c>
      <c r="X674">
        <f>Z674</f>
        <v>0</v>
      </c>
      <c r="Z674">
        <f>IFERROR(_xlfn.XLOOKUP(TRIM(V673), M:M, O:O, "Not Found"), "Not Found")</f>
        <v>0</v>
      </c>
    </row>
    <row r="675" spans="8:26">
      <c r="H675" t="s">
        <v>1244</v>
      </c>
      <c r="I675" t="str">
        <f t="shared" si="11"/>
        <v>law</v>
      </c>
      <c r="J675" t="str">
        <v>law</v>
      </c>
      <c r="K675" t="str">
        <f>IFERROR(_xlfn.XLOOKUP(TRIM(H675), M:M, N:N, "Not Found"), "Not Found")</f>
        <v>Not Found</v>
      </c>
      <c r="V675" t="s">
        <v>1028</v>
      </c>
      <c r="W675" t="s">
        <v>1022</v>
      </c>
      <c r="X675">
        <f>Z675</f>
        <v>0</v>
      </c>
      <c r="Z675">
        <f>IFERROR(_xlfn.XLOOKUP(TRIM(V674), M:M, O:O, "Not Found"), "Not Found")</f>
        <v>0</v>
      </c>
    </row>
    <row r="676" spans="8:26">
      <c r="H676" t="s">
        <v>1031</v>
      </c>
      <c r="I676" t="str">
        <f t="shared" si="11"/>
        <v>bogan</v>
      </c>
      <c r="J676" t="str">
        <v>bogan</v>
      </c>
      <c r="K676" t="str">
        <f>IFERROR(_xlfn.XLOOKUP(TRIM(H676), M:M, N:N, "Not Found"), "Not Found")</f>
        <v>Class based</v>
      </c>
      <c r="V676" t="s">
        <v>1028</v>
      </c>
      <c r="W676" t="s">
        <v>1022</v>
      </c>
      <c r="X676">
        <f>Z676</f>
        <v>0</v>
      </c>
      <c r="Z676">
        <f>IFERROR(_xlfn.XLOOKUP(TRIM(V675), M:M, O:O, "Not Found"), "Not Found")</f>
        <v>0</v>
      </c>
    </row>
    <row r="677" spans="8:26">
      <c r="H677" t="s">
        <v>1031</v>
      </c>
      <c r="I677" t="str">
        <f t="shared" si="11"/>
        <v>bogan</v>
      </c>
      <c r="J677" t="str">
        <v>bogan</v>
      </c>
      <c r="K677" t="str">
        <f>IFERROR(_xlfn.XLOOKUP(TRIM(H677), M:M, N:N, "Not Found"), "Not Found")</f>
        <v>Class based</v>
      </c>
      <c r="V677" t="s">
        <v>1028</v>
      </c>
      <c r="W677" t="s">
        <v>1022</v>
      </c>
      <c r="X677">
        <f>Z677</f>
        <v>0</v>
      </c>
      <c r="Z677">
        <f>IFERROR(_xlfn.XLOOKUP(TRIM(V676), M:M, O:O, "Not Found"), "Not Found")</f>
        <v>0</v>
      </c>
    </row>
    <row r="678" spans="8:26">
      <c r="H678" t="s">
        <v>1033</v>
      </c>
      <c r="I678" t="str">
        <f t="shared" si="11"/>
        <v>redneck</v>
      </c>
      <c r="J678" t="str">
        <v>redneck</v>
      </c>
      <c r="K678" t="str">
        <f>IFERROR(_xlfn.XLOOKUP(TRIM(H678), M:M, N:N, "Not Found"), "Not Found")</f>
        <v>Class based</v>
      </c>
      <c r="V678" t="s">
        <v>1028</v>
      </c>
      <c r="W678" t="s">
        <v>1022</v>
      </c>
      <c r="X678">
        <f>Z678</f>
        <v>0</v>
      </c>
      <c r="Z678">
        <f>IFERROR(_xlfn.XLOOKUP(TRIM(V677), M:M, O:O, "Not Found"), "Not Found")</f>
        <v>0</v>
      </c>
    </row>
    <row r="679" spans="8:26">
      <c r="H679" t="s">
        <v>1027</v>
      </c>
      <c r="I679" t="str">
        <f t="shared" si="11"/>
        <v>mercedes</v>
      </c>
      <c r="J679" t="str">
        <v>mercedes</v>
      </c>
      <c r="K679" t="str">
        <f>IFERROR(_xlfn.XLOOKUP(TRIM(H679), M:M, N:N, "Not Found"), "Not Found")</f>
        <v>Familial based</v>
      </c>
      <c r="V679" t="s">
        <v>1028</v>
      </c>
      <c r="W679" t="s">
        <v>1022</v>
      </c>
      <c r="X679">
        <f>Z679</f>
        <v>0</v>
      </c>
      <c r="Z679">
        <f>IFERROR(_xlfn.XLOOKUP(TRIM(V678), M:M, O:O, "Not Found"), "Not Found")</f>
        <v>0</v>
      </c>
    </row>
    <row r="680" spans="8:26">
      <c r="H680" t="s">
        <v>1021</v>
      </c>
      <c r="I680" t="str">
        <f t="shared" si="11"/>
        <v>mercedes corby</v>
      </c>
      <c r="J680" t="str">
        <v>Mercedes Corby</v>
      </c>
      <c r="K680" t="str">
        <f>IFERROR(_xlfn.XLOOKUP(TRIM(H680), M:M, N:N, "Not Found"), "Not Found")</f>
        <v>Familial based</v>
      </c>
      <c r="V680" t="s">
        <v>1028</v>
      </c>
      <c r="W680" t="s">
        <v>1022</v>
      </c>
      <c r="X680">
        <f>Z680</f>
        <v>0</v>
      </c>
      <c r="Z680">
        <f>IFERROR(_xlfn.XLOOKUP(TRIM(V679), M:M, O:O, "Not Found"), "Not Found")</f>
        <v>0</v>
      </c>
    </row>
    <row r="681" spans="8:26">
      <c r="H681" t="s">
        <v>1027</v>
      </c>
      <c r="I681" t="str">
        <f t="shared" si="11"/>
        <v>mercedes</v>
      </c>
      <c r="J681" t="str">
        <v>mercedes</v>
      </c>
      <c r="K681" t="str">
        <f>IFERROR(_xlfn.XLOOKUP(TRIM(H681), M:M, N:N, "Not Found"), "Not Found")</f>
        <v>Familial based</v>
      </c>
      <c r="V681" t="s">
        <v>1028</v>
      </c>
      <c r="W681" t="s">
        <v>1022</v>
      </c>
      <c r="X681">
        <f>Z681</f>
        <v>0</v>
      </c>
      <c r="Z681">
        <f>IFERROR(_xlfn.XLOOKUP(TRIM(V680), M:M, O:O, "Not Found"), "Not Found")</f>
        <v>0</v>
      </c>
    </row>
    <row r="682" spans="8:26">
      <c r="H682" t="s">
        <v>1028</v>
      </c>
      <c r="I682" t="str">
        <f t="shared" si="11"/>
        <v>corby</v>
      </c>
      <c r="J682" t="str">
        <v>corby</v>
      </c>
      <c r="K682" t="str">
        <f>IFERROR(_xlfn.XLOOKUP(TRIM(H682), M:M, N:N, "Not Found"), "Not Found")</f>
        <v>Familial based</v>
      </c>
      <c r="V682" t="s">
        <v>1028</v>
      </c>
      <c r="W682" t="s">
        <v>1022</v>
      </c>
      <c r="X682">
        <f>Z682</f>
        <v>0</v>
      </c>
      <c r="Z682">
        <f>IFERROR(_xlfn.XLOOKUP(TRIM(V681), M:M, O:O, "Not Found"), "Not Found")</f>
        <v>0</v>
      </c>
    </row>
    <row r="683" spans="8:26">
      <c r="H683" t="s">
        <v>1020</v>
      </c>
      <c r="I683" t="str">
        <f t="shared" si="11"/>
        <v>af</v>
      </c>
      <c r="J683" t="str">
        <v>af</v>
      </c>
      <c r="K683" t="str">
        <f>IFERROR(_xlfn.XLOOKUP(TRIM(H683), M:M, N:N, "Not Found"), "Not Found")</f>
        <v>Intelligence based</v>
      </c>
      <c r="V683" t="s">
        <v>1030</v>
      </c>
      <c r="W683" t="s">
        <v>1022</v>
      </c>
      <c r="X683">
        <f>Z683</f>
        <v>0</v>
      </c>
      <c r="Z683">
        <f>IFERROR(_xlfn.XLOOKUP(TRIM(V682), M:M, O:O, "Not Found"), "Not Found")</f>
        <v>0</v>
      </c>
    </row>
    <row r="684" spans="8:26">
      <c r="H684" t="s">
        <v>1044</v>
      </c>
      <c r="I684" t="str">
        <f t="shared" si="11"/>
        <v>corrupt</v>
      </c>
      <c r="J684" t="str">
        <v>Corrupt</v>
      </c>
      <c r="K684" t="str">
        <f>IFERROR(_xlfn.XLOOKUP(TRIM(H684), M:M, N:N, "Not Found"), "Not Found")</f>
        <v>Authority based</v>
      </c>
      <c r="V684" t="s">
        <v>1030</v>
      </c>
      <c r="W684" t="s">
        <v>1022</v>
      </c>
      <c r="X684">
        <f>Z684</f>
        <v>0</v>
      </c>
      <c r="Z684">
        <f>IFERROR(_xlfn.XLOOKUP(TRIM(V683), M:M, O:O, "Not Found"), "Not Found")</f>
        <v>0</v>
      </c>
    </row>
    <row r="685" spans="8:26">
      <c r="H685" t="s">
        <v>1004</v>
      </c>
      <c r="I685" t="str">
        <f t="shared" si="11"/>
        <v>set up</v>
      </c>
      <c r="J685" t="str">
        <v>set up</v>
      </c>
      <c r="K685" t="str">
        <f>IFERROR(_xlfn.XLOOKUP(TRIM(H685), M:M, N:N, "Not Found"), "Not Found")</f>
        <v>Crime based</v>
      </c>
      <c r="V685" t="s">
        <v>1030</v>
      </c>
      <c r="W685" t="s">
        <v>1022</v>
      </c>
      <c r="X685">
        <f>Z685</f>
        <v>0</v>
      </c>
      <c r="Z685">
        <f>IFERROR(_xlfn.XLOOKUP(TRIM(V684), M:M, O:O, "Not Found"), "Not Found")</f>
        <v>0</v>
      </c>
    </row>
    <row r="686" spans="8:26">
      <c r="H686" t="s">
        <v>974</v>
      </c>
      <c r="I686" t="str">
        <f t="shared" si="11"/>
        <v>smuggling</v>
      </c>
      <c r="J686" t="str">
        <v>smuggling</v>
      </c>
      <c r="K686" t="str">
        <f>IFERROR(_xlfn.XLOOKUP(TRIM(H686), M:M, N:N, "Not Found"), "Not Found")</f>
        <v>Case Related</v>
      </c>
      <c r="V686" t="s">
        <v>1027</v>
      </c>
      <c r="W686" t="s">
        <v>1022</v>
      </c>
      <c r="X686">
        <f>Z686</f>
        <v>0</v>
      </c>
      <c r="Z686">
        <f>IFERROR(_xlfn.XLOOKUP(TRIM(V685), M:M, O:O, "Not Found"), "Not Found")</f>
        <v>0</v>
      </c>
    </row>
    <row r="687" spans="8:26">
      <c r="H687" t="s">
        <v>995</v>
      </c>
      <c r="I687" t="str">
        <f t="shared" si="11"/>
        <v>weed</v>
      </c>
      <c r="J687" t="str">
        <v>weed</v>
      </c>
      <c r="K687" t="str">
        <f>IFERROR(_xlfn.XLOOKUP(TRIM(H687), M:M, N:N, "Not Found"), "Not Found")</f>
        <v>Crime based</v>
      </c>
      <c r="V687" t="s">
        <v>1027</v>
      </c>
      <c r="W687" t="s">
        <v>1022</v>
      </c>
      <c r="X687">
        <f>Z687</f>
        <v>0</v>
      </c>
      <c r="Z687">
        <f>IFERROR(_xlfn.XLOOKUP(TRIM(V686), M:M, O:O, "Not Found"), "Not Found")</f>
        <v>0</v>
      </c>
    </row>
    <row r="688" spans="8:26">
      <c r="H688" t="s">
        <v>1011</v>
      </c>
      <c r="I688" t="str">
        <f t="shared" si="11"/>
        <v>moron</v>
      </c>
      <c r="J688" t="str">
        <v>moron</v>
      </c>
      <c r="K688" t="str">
        <f>IFERROR(_xlfn.XLOOKUP(TRIM(H688), M:M, N:N, "Not Found"), "Not Found")</f>
        <v>Intelligence based</v>
      </c>
      <c r="V688" t="s">
        <v>1027</v>
      </c>
      <c r="W688" t="s">
        <v>1022</v>
      </c>
      <c r="X688">
        <f>Z688</f>
        <v>0</v>
      </c>
      <c r="Z688">
        <f>IFERROR(_xlfn.XLOOKUP(TRIM(V687), M:M, O:O, "Not Found"), "Not Found")</f>
        <v>0</v>
      </c>
    </row>
    <row r="689" spans="8:26">
      <c r="H689" t="s">
        <v>1062</v>
      </c>
      <c r="I689" t="str">
        <f t="shared" si="11"/>
        <v>served</v>
      </c>
      <c r="J689" t="str">
        <v>served</v>
      </c>
      <c r="K689" t="str">
        <f>IFERROR(_xlfn.XLOOKUP(TRIM(H689), M:M, N:N, "Not Found"), "Not Found")</f>
        <v>Legality based</v>
      </c>
      <c r="V689" t="s">
        <v>1027</v>
      </c>
      <c r="W689" t="s">
        <v>1022</v>
      </c>
      <c r="X689">
        <f>Z689</f>
        <v>0</v>
      </c>
      <c r="Z689">
        <f>IFERROR(_xlfn.XLOOKUP(TRIM(V688), M:M, O:O, "Not Found"), "Not Found")</f>
        <v>0</v>
      </c>
    </row>
    <row r="690" spans="8:26">
      <c r="H690" t="s">
        <v>974</v>
      </c>
      <c r="I690" t="str">
        <f t="shared" si="11"/>
        <v>smuggling</v>
      </c>
      <c r="J690" t="str">
        <v>smuggling</v>
      </c>
      <c r="K690" t="str">
        <f>IFERROR(_xlfn.XLOOKUP(TRIM(H690), M:M, N:N, "Not Found"), "Not Found")</f>
        <v>Case Related</v>
      </c>
      <c r="V690" t="s">
        <v>1027</v>
      </c>
      <c r="W690" t="s">
        <v>1022</v>
      </c>
      <c r="X690">
        <f>Z690</f>
        <v>0</v>
      </c>
      <c r="Z690">
        <f>IFERROR(_xlfn.XLOOKUP(TRIM(V689), M:M, O:O, "Not Found"), "Not Found")</f>
        <v>0</v>
      </c>
    </row>
    <row r="691" spans="8:26">
      <c r="H691" t="s">
        <v>984</v>
      </c>
      <c r="I691" t="str">
        <f t="shared" si="11"/>
        <v>drugs</v>
      </c>
      <c r="J691" t="str">
        <v>drugs</v>
      </c>
      <c r="K691" t="str">
        <f>IFERROR(_xlfn.XLOOKUP(TRIM(H691), M:M, N:N, "Not Found"), "Not Found")</f>
        <v>Crime based</v>
      </c>
      <c r="V691" t="s">
        <v>1027</v>
      </c>
      <c r="W691" t="s">
        <v>1022</v>
      </c>
      <c r="X691">
        <f>Z691</f>
        <v>0</v>
      </c>
      <c r="Z691">
        <f>IFERROR(_xlfn.XLOOKUP(TRIM(V690), M:M, O:O, "Not Found"), "Not Found")</f>
        <v>0</v>
      </c>
    </row>
    <row r="692" spans="8:26">
      <c r="H692" t="s">
        <v>1009</v>
      </c>
      <c r="I692" t="str">
        <f t="shared" si="11"/>
        <v>stupid</v>
      </c>
      <c r="J692" t="str">
        <v>stupid</v>
      </c>
      <c r="K692" t="str">
        <f>IFERROR(_xlfn.XLOOKUP(TRIM(H692), M:M, N:N, "Not Found"), "Not Found")</f>
        <v>Intelligence based</v>
      </c>
      <c r="V692" t="s">
        <v>1027</v>
      </c>
      <c r="W692" t="s">
        <v>1022</v>
      </c>
      <c r="X692">
        <f>Z692</f>
        <v>0</v>
      </c>
      <c r="Z692">
        <f>IFERROR(_xlfn.XLOOKUP(TRIM(V691), M:M, O:O, "Not Found"), "Not Found")</f>
        <v>0</v>
      </c>
    </row>
    <row r="693" spans="8:26">
      <c r="H693" t="s">
        <v>1008</v>
      </c>
      <c r="I693" t="str">
        <f t="shared" si="11"/>
        <v>dumb</v>
      </c>
      <c r="J693" t="str">
        <v>dumb</v>
      </c>
      <c r="K693" t="str">
        <f>IFERROR(_xlfn.XLOOKUP(TRIM(H693), M:M, N:N, "Not Found"), "Not Found")</f>
        <v>Intelligence based</v>
      </c>
      <c r="V693" t="s">
        <v>1027</v>
      </c>
      <c r="W693" t="s">
        <v>1022</v>
      </c>
      <c r="X693">
        <f>Z693</f>
        <v>0</v>
      </c>
      <c r="Z693">
        <f>IFERROR(_xlfn.XLOOKUP(TRIM(V692), M:M, O:O, "Not Found"), "Not Found")</f>
        <v>0</v>
      </c>
    </row>
    <row r="694" spans="8:26">
      <c r="H694" t="s">
        <v>984</v>
      </c>
      <c r="I694" t="str">
        <f t="shared" si="11"/>
        <v>drugs</v>
      </c>
      <c r="J694" t="str">
        <v>drugs</v>
      </c>
      <c r="K694" t="str">
        <f>IFERROR(_xlfn.XLOOKUP(TRIM(H694), M:M, N:N, "Not Found"), "Not Found")</f>
        <v>Crime based</v>
      </c>
      <c r="V694" t="s">
        <v>1027</v>
      </c>
      <c r="W694" t="s">
        <v>1022</v>
      </c>
      <c r="X694">
        <f>Z694</f>
        <v>0</v>
      </c>
      <c r="Z694">
        <f>IFERROR(_xlfn.XLOOKUP(TRIM(V693), M:M, O:O, "Not Found"), "Not Found")</f>
        <v>0</v>
      </c>
    </row>
    <row r="695" spans="8:26">
      <c r="H695" t="s">
        <v>989</v>
      </c>
      <c r="I695" t="str">
        <f t="shared" si="11"/>
        <v>criminal</v>
      </c>
      <c r="J695" t="str">
        <v>criminal</v>
      </c>
      <c r="K695" t="str">
        <f>IFERROR(_xlfn.XLOOKUP(TRIM(H695), M:M, N:N, "Not Found"), "Not Found")</f>
        <v>Crime based</v>
      </c>
      <c r="V695" t="s">
        <v>1027</v>
      </c>
      <c r="W695" t="s">
        <v>1022</v>
      </c>
      <c r="X695">
        <f>Z695</f>
        <v>0</v>
      </c>
      <c r="Z695">
        <f>IFERROR(_xlfn.XLOOKUP(TRIM(V694), M:M, O:O, "Not Found"), "Not Found")</f>
        <v>0</v>
      </c>
    </row>
    <row r="696" spans="8:26">
      <c r="H696" t="s">
        <v>1001</v>
      </c>
      <c r="I696" t="str">
        <f t="shared" si="11"/>
        <v>proof</v>
      </c>
      <c r="J696" t="str">
        <v>proof</v>
      </c>
      <c r="K696" t="str">
        <f>IFERROR(_xlfn.XLOOKUP(TRIM(H696), M:M, N:N, "Not Found"), "Not Found")</f>
        <v>Crime based</v>
      </c>
      <c r="V696" t="s">
        <v>1027</v>
      </c>
      <c r="W696" t="s">
        <v>1022</v>
      </c>
      <c r="X696">
        <f>Z696</f>
        <v>0</v>
      </c>
      <c r="Z696">
        <f>IFERROR(_xlfn.XLOOKUP(TRIM(V695), M:M, O:O, "Not Found"), "Not Found")</f>
        <v>0</v>
      </c>
    </row>
    <row r="697" spans="8:26">
      <c r="H697" t="s">
        <v>990</v>
      </c>
      <c r="I697" t="str">
        <f t="shared" si="11"/>
        <v>trafficker</v>
      </c>
      <c r="J697" t="str">
        <v>trafficker</v>
      </c>
      <c r="K697" t="str">
        <f>IFERROR(_xlfn.XLOOKUP(TRIM(H697), M:M, N:N, "Not Found"), "Not Found")</f>
        <v>Crime based</v>
      </c>
      <c r="V697" t="s">
        <v>1027</v>
      </c>
      <c r="W697" t="s">
        <v>1022</v>
      </c>
      <c r="X697">
        <f>Z697</f>
        <v>0</v>
      </c>
      <c r="Z697">
        <f>IFERROR(_xlfn.XLOOKUP(TRIM(V696), M:M, O:O, "Not Found"), "Not Found")</f>
        <v>0</v>
      </c>
    </row>
    <row r="698" spans="8:26">
      <c r="H698" t="s">
        <v>1020</v>
      </c>
      <c r="I698" t="str">
        <f t="shared" si="11"/>
        <v>af</v>
      </c>
      <c r="J698" t="str">
        <v>af</v>
      </c>
      <c r="K698" t="str">
        <f>IFERROR(_xlfn.XLOOKUP(TRIM(H698), M:M, N:N, "Not Found"), "Not Found")</f>
        <v>Intelligence based</v>
      </c>
      <c r="V698" t="s">
        <v>1027</v>
      </c>
      <c r="W698" t="s">
        <v>1022</v>
      </c>
      <c r="X698">
        <f>Z698</f>
        <v>0</v>
      </c>
      <c r="Z698">
        <f>IFERROR(_xlfn.XLOOKUP(TRIM(V697), M:M, O:O, "Not Found"), "Not Found")</f>
        <v>0</v>
      </c>
    </row>
    <row r="699" spans="8:26">
      <c r="H699" t="s">
        <v>1043</v>
      </c>
      <c r="I699" t="str">
        <f t="shared" si="11"/>
        <v>afp</v>
      </c>
      <c r="J699" t="str">
        <v>AFP</v>
      </c>
      <c r="K699" t="str">
        <f>IFERROR(_xlfn.XLOOKUP(TRIM(H699), M:M, N:N, "Not Found"), "Not Found")</f>
        <v>Authority based</v>
      </c>
      <c r="V699" t="s">
        <v>1027</v>
      </c>
      <c r="W699" t="s">
        <v>1022</v>
      </c>
      <c r="X699">
        <f>Z699</f>
        <v>0</v>
      </c>
      <c r="Z699">
        <f>IFERROR(_xlfn.XLOOKUP(TRIM(V698), M:M, O:O, "Not Found"), "Not Found")</f>
        <v>0</v>
      </c>
    </row>
    <row r="700" spans="8:26">
      <c r="H700" t="s">
        <v>1020</v>
      </c>
      <c r="I700" t="str">
        <f t="shared" si="11"/>
        <v>af</v>
      </c>
      <c r="J700" t="str">
        <v>af</v>
      </c>
      <c r="K700" t="str">
        <f>IFERROR(_xlfn.XLOOKUP(TRIM(H700), M:M, N:N, "Not Found"), "Not Found")</f>
        <v>Intelligence based</v>
      </c>
      <c r="V700" t="s">
        <v>1027</v>
      </c>
      <c r="W700" t="s">
        <v>1022</v>
      </c>
      <c r="X700">
        <f>Z700</f>
        <v>0</v>
      </c>
      <c r="Z700">
        <f>IFERROR(_xlfn.XLOOKUP(TRIM(V699), M:M, O:O, "Not Found"), "Not Found")</f>
        <v>0</v>
      </c>
    </row>
    <row r="701" spans="8:26">
      <c r="H701" t="s">
        <v>1043</v>
      </c>
      <c r="I701" t="str">
        <f t="shared" si="11"/>
        <v>afp</v>
      </c>
      <c r="J701" t="str">
        <v>AFP</v>
      </c>
      <c r="K701" t="str">
        <f>IFERROR(_xlfn.XLOOKUP(TRIM(H701), M:M, N:N, "Not Found"), "Not Found")</f>
        <v>Authority based</v>
      </c>
      <c r="V701" t="s">
        <v>1027</v>
      </c>
      <c r="W701" t="s">
        <v>1022</v>
      </c>
      <c r="X701">
        <f>Z701</f>
        <v>0</v>
      </c>
      <c r="Z701">
        <f>IFERROR(_xlfn.XLOOKUP(TRIM(V700), M:M, O:O, "Not Found"), "Not Found")</f>
        <v>0</v>
      </c>
    </row>
    <row r="702" spans="8:26">
      <c r="H702" t="s">
        <v>1064</v>
      </c>
      <c r="I702" t="str">
        <f t="shared" si="11"/>
        <v>arrested</v>
      </c>
      <c r="J702" t="str">
        <v>arrested</v>
      </c>
      <c r="K702" t="str">
        <f>IFERROR(_xlfn.XLOOKUP(TRIM(H702), M:M, N:N, "Not Found"), "Not Found")</f>
        <v>Legality based</v>
      </c>
      <c r="V702" t="s">
        <v>1021</v>
      </c>
      <c r="W702" t="s">
        <v>1022</v>
      </c>
      <c r="X702">
        <f>Z702</f>
        <v>0</v>
      </c>
      <c r="Z702">
        <f>IFERROR(_xlfn.XLOOKUP(TRIM(V701), M:M, O:O, "Not Found"), "Not Found")</f>
        <v>0</v>
      </c>
    </row>
    <row r="703" spans="8:26">
      <c r="H703" t="s">
        <v>970</v>
      </c>
      <c r="I703" t="str">
        <f t="shared" si="11"/>
        <v>australian</v>
      </c>
      <c r="J703" t="str">
        <v>australian</v>
      </c>
      <c r="K703" t="str">
        <f>IFERROR(_xlfn.XLOOKUP(TRIM(H703), M:M, N:N, "Not Found"), "Not Found")</f>
        <v>Case Related</v>
      </c>
      <c r="V703" t="s">
        <v>1021</v>
      </c>
      <c r="W703" t="s">
        <v>1022</v>
      </c>
      <c r="X703">
        <f>Z703</f>
        <v>0</v>
      </c>
      <c r="Z703">
        <f>IFERROR(_xlfn.XLOOKUP(TRIM(V702), M:M, O:O, "Not Found"), "Not Found")</f>
        <v>0</v>
      </c>
    </row>
    <row r="704" spans="8:26">
      <c r="H704" t="s">
        <v>983</v>
      </c>
      <c r="I704" t="str">
        <f t="shared" si="11"/>
        <v>australia</v>
      </c>
      <c r="J704" t="str">
        <v>australia</v>
      </c>
      <c r="K704" t="str">
        <f>IFERROR(_xlfn.XLOOKUP(TRIM(H704), M:M, N:N, "Not Found"), "Not Found")</f>
        <v>Case Related</v>
      </c>
      <c r="V704" t="s">
        <v>1021</v>
      </c>
      <c r="W704" t="s">
        <v>1022</v>
      </c>
      <c r="X704">
        <f>Z704</f>
        <v>0</v>
      </c>
      <c r="Z704">
        <f>IFERROR(_xlfn.XLOOKUP(TRIM(V703), M:M, O:O, "Not Found"), "Not Found")</f>
        <v>0</v>
      </c>
    </row>
    <row r="705" spans="8:26">
      <c r="H705" t="s">
        <v>1020</v>
      </c>
      <c r="I705" t="str">
        <f t="shared" si="11"/>
        <v>af</v>
      </c>
      <c r="J705" t="str">
        <v>af</v>
      </c>
      <c r="K705" t="str">
        <f>IFERROR(_xlfn.XLOOKUP(TRIM(H705), M:M, N:N, "Not Found"), "Not Found")</f>
        <v>Intelligence based</v>
      </c>
      <c r="V705" t="s">
        <v>1021</v>
      </c>
      <c r="W705" t="s">
        <v>1022</v>
      </c>
      <c r="X705">
        <f>Z705</f>
        <v>0</v>
      </c>
      <c r="Z705">
        <f>IFERROR(_xlfn.XLOOKUP(TRIM(V704), M:M, O:O, "Not Found"), "Not Found")</f>
        <v>0</v>
      </c>
    </row>
    <row r="706" spans="8:26">
      <c r="H706" t="s">
        <v>1043</v>
      </c>
      <c r="I706" t="str">
        <f t="shared" si="11"/>
        <v>afp</v>
      </c>
      <c r="J706" t="str">
        <v>AFP</v>
      </c>
      <c r="K706" t="str">
        <f>IFERROR(_xlfn.XLOOKUP(TRIM(H706), M:M, N:N, "Not Found"), "Not Found")</f>
        <v>Authority based</v>
      </c>
      <c r="V706" t="s">
        <v>1024</v>
      </c>
      <c r="W706" t="s">
        <v>1022</v>
      </c>
      <c r="X706">
        <f>Z706</f>
        <v>0</v>
      </c>
      <c r="Z706">
        <f>IFERROR(_xlfn.XLOOKUP(TRIM(V705), M:M, O:O, "Not Found"), "Not Found")</f>
        <v>0</v>
      </c>
    </row>
    <row r="707" spans="8:26">
      <c r="H707" t="s">
        <v>1244</v>
      </c>
      <c r="I707" t="str">
        <f t="shared" si="11"/>
        <v>law</v>
      </c>
      <c r="J707" t="str">
        <v>law</v>
      </c>
      <c r="K707" t="str">
        <f>IFERROR(_xlfn.XLOOKUP(TRIM(H707), M:M, N:N, "Not Found"), "Not Found")</f>
        <v>Not Found</v>
      </c>
      <c r="V707" t="s">
        <v>1024</v>
      </c>
      <c r="W707" t="s">
        <v>1022</v>
      </c>
      <c r="X707">
        <f>Z707</f>
        <v>0</v>
      </c>
      <c r="Z707">
        <f>IFERROR(_xlfn.XLOOKUP(TRIM(V706), M:M, O:O, "Not Found"), "Not Found")</f>
        <v>0</v>
      </c>
    </row>
    <row r="708" spans="8:26">
      <c r="H708" t="s">
        <v>970</v>
      </c>
      <c r="I708" t="str">
        <f t="shared" ref="I708:I771" si="12">TRIM(LOWER(H708))</f>
        <v>australian</v>
      </c>
      <c r="J708" t="str">
        <v>australian</v>
      </c>
      <c r="K708" t="str">
        <f>IFERROR(_xlfn.XLOOKUP(TRIM(H708), M:M, N:N, "Not Found"), "Not Found")</f>
        <v>Case Related</v>
      </c>
      <c r="V708" t="s">
        <v>1024</v>
      </c>
      <c r="W708" t="s">
        <v>1022</v>
      </c>
      <c r="X708">
        <f>Z708</f>
        <v>0</v>
      </c>
      <c r="Z708">
        <f>IFERROR(_xlfn.XLOOKUP(TRIM(V707), M:M, O:O, "Not Found"), "Not Found")</f>
        <v>0</v>
      </c>
    </row>
    <row r="709" spans="8:26">
      <c r="H709" t="s">
        <v>983</v>
      </c>
      <c r="I709" t="str">
        <f t="shared" si="12"/>
        <v>australia</v>
      </c>
      <c r="J709" t="str">
        <v>australia</v>
      </c>
      <c r="K709" t="str">
        <f>IFERROR(_xlfn.XLOOKUP(TRIM(H709), M:M, N:N, "Not Found"), "Not Found")</f>
        <v>Case Related</v>
      </c>
      <c r="V709" t="s">
        <v>1024</v>
      </c>
      <c r="W709" t="s">
        <v>1022</v>
      </c>
      <c r="X709">
        <f>Z709</f>
        <v>0</v>
      </c>
      <c r="Z709">
        <f>IFERROR(_xlfn.XLOOKUP(TRIM(V708), M:M, O:O, "Not Found"), "Not Found")</f>
        <v>0</v>
      </c>
    </row>
    <row r="710" spans="8:26">
      <c r="H710" t="s">
        <v>989</v>
      </c>
      <c r="I710" t="str">
        <f t="shared" si="12"/>
        <v>criminal</v>
      </c>
      <c r="J710" t="str">
        <v>criminal</v>
      </c>
      <c r="K710" t="str">
        <f>IFERROR(_xlfn.XLOOKUP(TRIM(H710), M:M, N:N, "Not Found"), "Not Found")</f>
        <v>Crime based</v>
      </c>
      <c r="V710" t="s">
        <v>1024</v>
      </c>
      <c r="W710" t="s">
        <v>1022</v>
      </c>
      <c r="X710">
        <f>Z710</f>
        <v>0</v>
      </c>
      <c r="Z710">
        <f>IFERROR(_xlfn.XLOOKUP(TRIM(V709), M:M, O:O, "Not Found"), "Not Found")</f>
        <v>0</v>
      </c>
    </row>
    <row r="711" spans="8:26">
      <c r="H711" t="s">
        <v>1244</v>
      </c>
      <c r="I711" t="str">
        <f t="shared" si="12"/>
        <v>law</v>
      </c>
      <c r="J711" t="str">
        <v>law</v>
      </c>
      <c r="K711" t="str">
        <f>IFERROR(_xlfn.XLOOKUP(TRIM(H711), M:M, N:N, "Not Found"), "Not Found")</f>
        <v>Not Found</v>
      </c>
      <c r="V711" t="s">
        <v>1024</v>
      </c>
      <c r="W711" t="s">
        <v>1022</v>
      </c>
      <c r="X711">
        <f>Z711</f>
        <v>0</v>
      </c>
      <c r="Z711">
        <f>IFERROR(_xlfn.XLOOKUP(TRIM(V710), M:M, O:O, "Not Found"), "Not Found")</f>
        <v>0</v>
      </c>
    </row>
    <row r="712" spans="8:26">
      <c r="H712" t="s">
        <v>1076</v>
      </c>
      <c r="I712" t="str">
        <f t="shared" si="12"/>
        <v>import</v>
      </c>
      <c r="J712" t="str">
        <v>import</v>
      </c>
      <c r="K712" t="str">
        <f>IFERROR(_xlfn.XLOOKUP(TRIM(H712), M:M, N:N, "Not Found"), "Not Found")</f>
        <v>Legality based</v>
      </c>
      <c r="V712" t="s">
        <v>1024</v>
      </c>
      <c r="W712" t="s">
        <v>1022</v>
      </c>
      <c r="X712">
        <f>Z712</f>
        <v>0</v>
      </c>
      <c r="Z712">
        <f>IFERROR(_xlfn.XLOOKUP(TRIM(V711), M:M, O:O, "Not Found"), "Not Found")</f>
        <v>0</v>
      </c>
    </row>
    <row r="713" spans="8:26">
      <c r="H713" t="s">
        <v>1006</v>
      </c>
      <c r="I713" t="str">
        <f t="shared" si="12"/>
        <v>idiot</v>
      </c>
      <c r="J713" t="str">
        <v>idiot</v>
      </c>
      <c r="K713" t="str">
        <f>IFERROR(_xlfn.XLOOKUP(TRIM(H713), M:M, N:N, "Not Found"), "Not Found")</f>
        <v>Intelligence based</v>
      </c>
      <c r="V713" t="s">
        <v>1024</v>
      </c>
      <c r="W713" t="s">
        <v>1022</v>
      </c>
      <c r="X713">
        <f>Z713</f>
        <v>0</v>
      </c>
      <c r="Z713">
        <f>IFERROR(_xlfn.XLOOKUP(TRIM(V712), M:M, O:O, "Not Found"), "Not Found")</f>
        <v>0</v>
      </c>
    </row>
    <row r="714" spans="8:26">
      <c r="H714" t="s">
        <v>1006</v>
      </c>
      <c r="I714" t="str">
        <f t="shared" si="12"/>
        <v>idiot</v>
      </c>
      <c r="J714" t="str">
        <v>idiot</v>
      </c>
      <c r="K714" t="str">
        <f>IFERROR(_xlfn.XLOOKUP(TRIM(H714), M:M, N:N, "Not Found"), "Not Found")</f>
        <v>Intelligence based</v>
      </c>
      <c r="V714" t="s">
        <v>1024</v>
      </c>
      <c r="W714" t="s">
        <v>1022</v>
      </c>
      <c r="X714">
        <f>Z714</f>
        <v>0</v>
      </c>
      <c r="Z714">
        <f>IFERROR(_xlfn.XLOOKUP(TRIM(V713), M:M, O:O, "Not Found"), "Not Found")</f>
        <v>0</v>
      </c>
    </row>
    <row r="715" spans="8:26">
      <c r="H715" t="s">
        <v>1012</v>
      </c>
      <c r="I715" t="str">
        <f t="shared" si="12"/>
        <v>idiots</v>
      </c>
      <c r="J715" t="str">
        <v>idiots</v>
      </c>
      <c r="K715" t="str">
        <f>IFERROR(_xlfn.XLOOKUP(TRIM(H715), M:M, N:N, "Not Found"), "Not Found")</f>
        <v>Intelligence based</v>
      </c>
      <c r="V715" t="s">
        <v>1024</v>
      </c>
      <c r="W715" t="s">
        <v>1022</v>
      </c>
      <c r="X715">
        <f>Z715</f>
        <v>0</v>
      </c>
      <c r="Z715">
        <f>IFERROR(_xlfn.XLOOKUP(TRIM(V714), M:M, O:O, "Not Found"), "Not Found")</f>
        <v>0</v>
      </c>
    </row>
    <row r="716" spans="8:26">
      <c r="H716" t="s">
        <v>1020</v>
      </c>
      <c r="I716" t="str">
        <f t="shared" si="12"/>
        <v>af</v>
      </c>
      <c r="J716" t="str">
        <v>af</v>
      </c>
      <c r="K716" t="str">
        <f>IFERROR(_xlfn.XLOOKUP(TRIM(H716), M:M, N:N, "Not Found"), "Not Found")</f>
        <v>Intelligence based</v>
      </c>
      <c r="V716" t="s">
        <v>1024</v>
      </c>
      <c r="W716" t="s">
        <v>1022</v>
      </c>
      <c r="X716">
        <f>Z716</f>
        <v>0</v>
      </c>
      <c r="Z716">
        <f>IFERROR(_xlfn.XLOOKUP(TRIM(V715), M:M, O:O, "Not Found"), "Not Found")</f>
        <v>0</v>
      </c>
    </row>
    <row r="717" spans="8:26">
      <c r="H717" t="s">
        <v>1043</v>
      </c>
      <c r="I717" t="str">
        <f t="shared" si="12"/>
        <v>afp</v>
      </c>
      <c r="J717" t="str">
        <v>AFP</v>
      </c>
      <c r="K717" t="str">
        <f>IFERROR(_xlfn.XLOOKUP(TRIM(H717), M:M, N:N, "Not Found"), "Not Found")</f>
        <v>Authority based</v>
      </c>
      <c r="V717" t="s">
        <v>1025</v>
      </c>
      <c r="W717" t="s">
        <v>1022</v>
      </c>
      <c r="X717">
        <f>Z717</f>
        <v>0</v>
      </c>
      <c r="Z717">
        <f>IFERROR(_xlfn.XLOOKUP(TRIM(V716), M:M, O:O, "Not Found"), "Not Found")</f>
        <v>0</v>
      </c>
    </row>
    <row r="718" spans="8:26">
      <c r="H718" t="s">
        <v>1020</v>
      </c>
      <c r="I718" t="str">
        <f t="shared" si="12"/>
        <v>af</v>
      </c>
      <c r="J718" t="str">
        <v>af</v>
      </c>
      <c r="K718" t="str">
        <f>IFERROR(_xlfn.XLOOKUP(TRIM(H718), M:M, N:N, "Not Found"), "Not Found")</f>
        <v>Intelligence based</v>
      </c>
      <c r="V718" t="s">
        <v>1025</v>
      </c>
      <c r="W718" t="s">
        <v>1022</v>
      </c>
      <c r="X718">
        <f>Z718</f>
        <v>0</v>
      </c>
      <c r="Z718">
        <f>IFERROR(_xlfn.XLOOKUP(TRIM(V717), M:M, O:O, "Not Found"), "Not Found")</f>
        <v>0</v>
      </c>
    </row>
    <row r="719" spans="8:26">
      <c r="H719" t="s">
        <v>1043</v>
      </c>
      <c r="I719" t="str">
        <f t="shared" si="12"/>
        <v>afp</v>
      </c>
      <c r="J719" t="str">
        <v>AFP</v>
      </c>
      <c r="K719" t="str">
        <f>IFERROR(_xlfn.XLOOKUP(TRIM(H719), M:M, N:N, "Not Found"), "Not Found")</f>
        <v>Authority based</v>
      </c>
      <c r="V719" t="s">
        <v>1026</v>
      </c>
      <c r="W719" t="s">
        <v>1022</v>
      </c>
      <c r="X719">
        <f>Z719</f>
        <v>0</v>
      </c>
      <c r="Z719">
        <f>IFERROR(_xlfn.XLOOKUP(TRIM(V718), M:M, O:O, "Not Found"), "Not Found")</f>
        <v>0</v>
      </c>
    </row>
    <row r="720" spans="8:26">
      <c r="H720" t="s">
        <v>1020</v>
      </c>
      <c r="I720" t="str">
        <f t="shared" si="12"/>
        <v>af</v>
      </c>
      <c r="J720" t="str">
        <v>af</v>
      </c>
      <c r="K720" t="str">
        <f>IFERROR(_xlfn.XLOOKUP(TRIM(H720), M:M, N:N, "Not Found"), "Not Found")</f>
        <v>Intelligence based</v>
      </c>
      <c r="V720" t="s">
        <v>1026</v>
      </c>
      <c r="W720" t="s">
        <v>1022</v>
      </c>
      <c r="X720">
        <f>Z720</f>
        <v>0</v>
      </c>
      <c r="Z720">
        <f>IFERROR(_xlfn.XLOOKUP(TRIM(V719), M:M, O:O, "Not Found"), "Not Found")</f>
        <v>0</v>
      </c>
    </row>
    <row r="721" spans="8:26">
      <c r="H721" t="s">
        <v>983</v>
      </c>
      <c r="I721" t="str">
        <f t="shared" si="12"/>
        <v>australia</v>
      </c>
      <c r="J721" t="str">
        <v>australia</v>
      </c>
      <c r="K721" t="str">
        <f>IFERROR(_xlfn.XLOOKUP(TRIM(H721), M:M, N:N, "Not Found"), "Not Found")</f>
        <v>Case Related</v>
      </c>
      <c r="V721" t="s">
        <v>1026</v>
      </c>
      <c r="W721" t="s">
        <v>1022</v>
      </c>
      <c r="X721">
        <f>Z721</f>
        <v>0</v>
      </c>
      <c r="Z721">
        <f>IFERROR(_xlfn.XLOOKUP(TRIM(V720), M:M, O:O, "Not Found"), "Not Found")</f>
        <v>0</v>
      </c>
    </row>
    <row r="722" spans="8:26">
      <c r="H722" t="s">
        <v>984</v>
      </c>
      <c r="I722" t="str">
        <f t="shared" si="12"/>
        <v>drugs</v>
      </c>
      <c r="J722" t="str">
        <v>drugs</v>
      </c>
      <c r="K722" t="str">
        <f>IFERROR(_xlfn.XLOOKUP(TRIM(H722), M:M, N:N, "Not Found"), "Not Found")</f>
        <v>Crime based</v>
      </c>
      <c r="V722" t="s">
        <v>1020</v>
      </c>
      <c r="W722" t="s">
        <v>1007</v>
      </c>
      <c r="X722">
        <f>Z722</f>
        <v>0</v>
      </c>
      <c r="Z722">
        <f>IFERROR(_xlfn.XLOOKUP(TRIM(V721), M:M, O:O, "Not Found"), "Not Found")</f>
        <v>0</v>
      </c>
    </row>
    <row r="723" spans="8:26">
      <c r="H723" t="s">
        <v>1028</v>
      </c>
      <c r="I723" t="str">
        <f t="shared" si="12"/>
        <v>corby</v>
      </c>
      <c r="J723" t="str">
        <v>corby</v>
      </c>
      <c r="K723" t="str">
        <f>IFERROR(_xlfn.XLOOKUP(TRIM(H723), M:M, N:N, "Not Found"), "Not Found")</f>
        <v>Familial based</v>
      </c>
      <c r="V723" t="s">
        <v>1020</v>
      </c>
      <c r="W723" t="s">
        <v>1007</v>
      </c>
      <c r="X723">
        <f>Z723</f>
        <v>1</v>
      </c>
      <c r="Z723">
        <f>IFERROR(_xlfn.XLOOKUP(TRIM(V722), M:M, O:O, "Not Found"), "Not Found")</f>
        <v>1</v>
      </c>
    </row>
    <row r="724" spans="8:26">
      <c r="H724" t="s">
        <v>982</v>
      </c>
      <c r="I724" t="str">
        <f t="shared" si="12"/>
        <v>media circus</v>
      </c>
      <c r="J724" t="str">
        <v>media circus</v>
      </c>
      <c r="K724" t="str">
        <f>IFERROR(_xlfn.XLOOKUP(TRIM(H724), M:M, N:N, "Not Found"), "Not Found")</f>
        <v>Case Related</v>
      </c>
      <c r="V724" t="s">
        <v>1020</v>
      </c>
      <c r="W724" t="s">
        <v>1007</v>
      </c>
      <c r="X724">
        <f>Z724</f>
        <v>1</v>
      </c>
      <c r="Z724">
        <f>IFERROR(_xlfn.XLOOKUP(TRIM(V723), M:M, O:O, "Not Found"), "Not Found")</f>
        <v>1</v>
      </c>
    </row>
    <row r="725" spans="8:26">
      <c r="H725" t="s">
        <v>983</v>
      </c>
      <c r="I725" t="str">
        <f t="shared" si="12"/>
        <v>australia</v>
      </c>
      <c r="J725" t="str">
        <v>australia</v>
      </c>
      <c r="K725" t="str">
        <f>IFERROR(_xlfn.XLOOKUP(TRIM(H725), M:M, N:N, "Not Found"), "Not Found")</f>
        <v>Case Related</v>
      </c>
      <c r="V725" t="s">
        <v>1020</v>
      </c>
      <c r="W725" t="s">
        <v>1007</v>
      </c>
      <c r="X725">
        <f>Z725</f>
        <v>1</v>
      </c>
      <c r="Z725">
        <f>IFERROR(_xlfn.XLOOKUP(TRIM(V724), M:M, O:O, "Not Found"), "Not Found")</f>
        <v>1</v>
      </c>
    </row>
    <row r="726" spans="8:26">
      <c r="H726" t="s">
        <v>968</v>
      </c>
      <c r="I726" t="str">
        <f t="shared" si="12"/>
        <v>boogie board</v>
      </c>
      <c r="J726" t="str">
        <v>boogie board</v>
      </c>
      <c r="K726" t="str">
        <f>IFERROR(_xlfn.XLOOKUP(TRIM(H726), M:M, N:N, "Not Found"), "Not Found")</f>
        <v>Case Related</v>
      </c>
      <c r="V726" t="s">
        <v>1020</v>
      </c>
      <c r="W726" t="s">
        <v>1007</v>
      </c>
      <c r="X726">
        <f>Z726</f>
        <v>1</v>
      </c>
      <c r="Z726">
        <f>IFERROR(_xlfn.XLOOKUP(TRIM(V725), M:M, O:O, "Not Found"), "Not Found")</f>
        <v>1</v>
      </c>
    </row>
    <row r="727" spans="8:26">
      <c r="H727" t="s">
        <v>984</v>
      </c>
      <c r="I727" t="str">
        <f t="shared" si="12"/>
        <v>drugs</v>
      </c>
      <c r="J727" t="str">
        <v>drugs</v>
      </c>
      <c r="K727" t="str">
        <f>IFERROR(_xlfn.XLOOKUP(TRIM(H727), M:M, N:N, "Not Found"), "Not Found")</f>
        <v>Crime based</v>
      </c>
      <c r="V727" t="s">
        <v>1020</v>
      </c>
      <c r="W727" t="s">
        <v>1007</v>
      </c>
      <c r="X727">
        <f>Z727</f>
        <v>1</v>
      </c>
      <c r="Z727">
        <f>IFERROR(_xlfn.XLOOKUP(TRIM(V726), M:M, O:O, "Not Found"), "Not Found")</f>
        <v>1</v>
      </c>
    </row>
    <row r="728" spans="8:26">
      <c r="H728" t="s">
        <v>1000</v>
      </c>
      <c r="I728" t="str">
        <f t="shared" si="12"/>
        <v>bribed</v>
      </c>
      <c r="J728" t="str">
        <v>bribed</v>
      </c>
      <c r="K728" t="str">
        <f>IFERROR(_xlfn.XLOOKUP(TRIM(H728), M:M, N:N, "Not Found"), "Not Found")</f>
        <v>Crime based</v>
      </c>
      <c r="V728" t="s">
        <v>1020</v>
      </c>
      <c r="W728" t="s">
        <v>1007</v>
      </c>
      <c r="X728">
        <f>Z728</f>
        <v>1</v>
      </c>
      <c r="Z728">
        <f>IFERROR(_xlfn.XLOOKUP(TRIM(V727), M:M, O:O, "Not Found"), "Not Found")</f>
        <v>1</v>
      </c>
    </row>
    <row r="729" spans="8:26">
      <c r="H729" t="s">
        <v>1257</v>
      </c>
      <c r="I729" t="str">
        <f t="shared" si="12"/>
        <v>bribe</v>
      </c>
      <c r="J729" t="str">
        <v>bribe</v>
      </c>
      <c r="K729" t="str">
        <f>IFERROR(_xlfn.XLOOKUP(TRIM(H729), M:M, N:N, "Not Found"), "Not Found")</f>
        <v>Not Found</v>
      </c>
      <c r="V729" t="s">
        <v>1020</v>
      </c>
      <c r="W729" t="s">
        <v>1007</v>
      </c>
      <c r="X729">
        <f>Z729</f>
        <v>1</v>
      </c>
      <c r="Z729">
        <f>IFERROR(_xlfn.XLOOKUP(TRIM(V728), M:M, O:O, "Not Found"), "Not Found")</f>
        <v>1</v>
      </c>
    </row>
    <row r="730" spans="8:26">
      <c r="H730" t="s">
        <v>1028</v>
      </c>
      <c r="I730" t="str">
        <f t="shared" si="12"/>
        <v>corby</v>
      </c>
      <c r="J730" t="str">
        <v>corby</v>
      </c>
      <c r="K730" t="str">
        <f>IFERROR(_xlfn.XLOOKUP(TRIM(H730), M:M, N:N, "Not Found"), "Not Found")</f>
        <v>Familial based</v>
      </c>
      <c r="V730" t="s">
        <v>1020</v>
      </c>
      <c r="W730" t="s">
        <v>1007</v>
      </c>
      <c r="X730">
        <f>Z730</f>
        <v>1</v>
      </c>
      <c r="Z730">
        <f>IFERROR(_xlfn.XLOOKUP(TRIM(V729), M:M, O:O, "Not Found"), "Not Found")</f>
        <v>1</v>
      </c>
    </row>
    <row r="731" spans="8:26">
      <c r="H731" t="s">
        <v>1257</v>
      </c>
      <c r="I731" t="str">
        <f t="shared" si="12"/>
        <v>bribe</v>
      </c>
      <c r="J731" t="str">
        <v>bribe</v>
      </c>
      <c r="K731" t="str">
        <f>IFERROR(_xlfn.XLOOKUP(TRIM(H731), M:M, N:N, "Not Found"), "Not Found")</f>
        <v>Not Found</v>
      </c>
      <c r="V731" t="s">
        <v>1020</v>
      </c>
      <c r="W731" t="s">
        <v>1007</v>
      </c>
      <c r="X731">
        <f>Z731</f>
        <v>1</v>
      </c>
      <c r="Z731">
        <f>IFERROR(_xlfn.XLOOKUP(TRIM(V730), M:M, O:O, "Not Found"), "Not Found")</f>
        <v>1</v>
      </c>
    </row>
    <row r="732" spans="8:26">
      <c r="H732" t="s">
        <v>1057</v>
      </c>
      <c r="I732" t="str">
        <f t="shared" si="12"/>
        <v>guilty</v>
      </c>
      <c r="J732" t="str">
        <v>guilty</v>
      </c>
      <c r="K732" t="str">
        <f>IFERROR(_xlfn.XLOOKUP(TRIM(H732), M:M, N:N, "Not Found"), "Not Found")</f>
        <v>Legality based</v>
      </c>
      <c r="V732" t="s">
        <v>1020</v>
      </c>
      <c r="W732" t="s">
        <v>1007</v>
      </c>
      <c r="X732">
        <f>Z732</f>
        <v>1</v>
      </c>
      <c r="Z732">
        <f>IFERROR(_xlfn.XLOOKUP(TRIM(V731), M:M, O:O, "Not Found"), "Not Found")</f>
        <v>1</v>
      </c>
    </row>
    <row r="733" spans="8:26">
      <c r="H733" t="s">
        <v>995</v>
      </c>
      <c r="I733" t="str">
        <f t="shared" si="12"/>
        <v>weed</v>
      </c>
      <c r="J733" t="str">
        <v>weed</v>
      </c>
      <c r="K733" t="str">
        <f>IFERROR(_xlfn.XLOOKUP(TRIM(H733), M:M, N:N, "Not Found"), "Not Found")</f>
        <v>Crime based</v>
      </c>
      <c r="V733" t="s">
        <v>1020</v>
      </c>
      <c r="W733" t="s">
        <v>1007</v>
      </c>
      <c r="X733">
        <f>Z733</f>
        <v>1</v>
      </c>
      <c r="Z733">
        <f>IFERROR(_xlfn.XLOOKUP(TRIM(V732), M:M, O:O, "Not Found"), "Not Found")</f>
        <v>1</v>
      </c>
    </row>
    <row r="734" spans="8:26">
      <c r="H734" t="s">
        <v>984</v>
      </c>
      <c r="I734" t="str">
        <f t="shared" si="12"/>
        <v>drugs</v>
      </c>
      <c r="J734" t="str">
        <v>drugs</v>
      </c>
      <c r="K734" t="str">
        <f>IFERROR(_xlfn.XLOOKUP(TRIM(H734), M:M, N:N, "Not Found"), "Not Found")</f>
        <v>Crime based</v>
      </c>
      <c r="V734" t="s">
        <v>1020</v>
      </c>
      <c r="W734" t="s">
        <v>1007</v>
      </c>
      <c r="X734">
        <f>Z734</f>
        <v>1</v>
      </c>
      <c r="Z734">
        <f>IFERROR(_xlfn.XLOOKUP(TRIM(V733), M:M, O:O, "Not Found"), "Not Found")</f>
        <v>1</v>
      </c>
    </row>
    <row r="735" spans="8:26">
      <c r="H735" t="s">
        <v>1009</v>
      </c>
      <c r="I735" t="str">
        <f t="shared" si="12"/>
        <v>stupid</v>
      </c>
      <c r="J735" t="str">
        <v>stupid</v>
      </c>
      <c r="K735" t="str">
        <f>IFERROR(_xlfn.XLOOKUP(TRIM(H735), M:M, N:N, "Not Found"), "Not Found")</f>
        <v>Intelligence based</v>
      </c>
      <c r="V735" t="s">
        <v>1020</v>
      </c>
      <c r="W735" t="s">
        <v>1007</v>
      </c>
      <c r="X735">
        <f>Z735</f>
        <v>1</v>
      </c>
      <c r="Z735">
        <f>IFERROR(_xlfn.XLOOKUP(TRIM(V734), M:M, O:O, "Not Found"), "Not Found")</f>
        <v>1</v>
      </c>
    </row>
    <row r="736" spans="8:26">
      <c r="H736" t="s">
        <v>1076</v>
      </c>
      <c r="I736" t="str">
        <f t="shared" si="12"/>
        <v>import</v>
      </c>
      <c r="J736" t="str">
        <v>import</v>
      </c>
      <c r="K736" t="str">
        <f>IFERROR(_xlfn.XLOOKUP(TRIM(H736), M:M, N:N, "Not Found"), "Not Found")</f>
        <v>Legality based</v>
      </c>
      <c r="V736" t="s">
        <v>1020</v>
      </c>
      <c r="W736" t="s">
        <v>1007</v>
      </c>
      <c r="X736">
        <f>Z736</f>
        <v>1</v>
      </c>
      <c r="Z736">
        <f>IFERROR(_xlfn.XLOOKUP(TRIM(V735), M:M, O:O, "Not Found"), "Not Found")</f>
        <v>1</v>
      </c>
    </row>
    <row r="737" spans="8:26">
      <c r="H737" t="s">
        <v>1006</v>
      </c>
      <c r="I737" t="str">
        <f t="shared" si="12"/>
        <v>idiot</v>
      </c>
      <c r="J737" t="str">
        <v>idiot</v>
      </c>
      <c r="K737" t="str">
        <f>IFERROR(_xlfn.XLOOKUP(TRIM(H737), M:M, N:N, "Not Found"), "Not Found")</f>
        <v>Intelligence based</v>
      </c>
      <c r="V737" t="s">
        <v>1020</v>
      </c>
      <c r="W737" t="s">
        <v>1007</v>
      </c>
      <c r="X737">
        <f>Z737</f>
        <v>1</v>
      </c>
      <c r="Z737">
        <f>IFERROR(_xlfn.XLOOKUP(TRIM(V736), M:M, O:O, "Not Found"), "Not Found")</f>
        <v>1</v>
      </c>
    </row>
    <row r="738" spans="8:26">
      <c r="H738" t="s">
        <v>1006</v>
      </c>
      <c r="I738" t="str">
        <f t="shared" si="12"/>
        <v>idiot</v>
      </c>
      <c r="J738" t="str">
        <v>idiot</v>
      </c>
      <c r="K738" t="str">
        <f>IFERROR(_xlfn.XLOOKUP(TRIM(H738), M:M, N:N, "Not Found"), "Not Found")</f>
        <v>Intelligence based</v>
      </c>
      <c r="V738" t="s">
        <v>1020</v>
      </c>
      <c r="W738" t="s">
        <v>1007</v>
      </c>
      <c r="X738">
        <f>Z738</f>
        <v>1</v>
      </c>
      <c r="Z738">
        <f>IFERROR(_xlfn.XLOOKUP(TRIM(V737), M:M, O:O, "Not Found"), "Not Found")</f>
        <v>1</v>
      </c>
    </row>
    <row r="739" spans="8:26">
      <c r="H739" t="s">
        <v>1012</v>
      </c>
      <c r="I739" t="str">
        <f t="shared" si="12"/>
        <v>idiots</v>
      </c>
      <c r="J739" t="str">
        <v>idiots</v>
      </c>
      <c r="K739" t="str">
        <f>IFERROR(_xlfn.XLOOKUP(TRIM(H739), M:M, N:N, "Not Found"), "Not Found")</f>
        <v>Intelligence based</v>
      </c>
      <c r="V739" t="s">
        <v>1020</v>
      </c>
      <c r="W739" t="s">
        <v>1007</v>
      </c>
      <c r="X739">
        <f>Z739</f>
        <v>1</v>
      </c>
      <c r="Z739">
        <f>IFERROR(_xlfn.XLOOKUP(TRIM(V738), M:M, O:O, "Not Found"), "Not Found")</f>
        <v>1</v>
      </c>
    </row>
    <row r="740" spans="8:26">
      <c r="H740" t="s">
        <v>984</v>
      </c>
      <c r="I740" t="str">
        <f t="shared" si="12"/>
        <v>drugs</v>
      </c>
      <c r="J740" t="str">
        <v>drugs</v>
      </c>
      <c r="K740" t="str">
        <f>IFERROR(_xlfn.XLOOKUP(TRIM(H740), M:M, N:N, "Not Found"), "Not Found")</f>
        <v>Crime based</v>
      </c>
      <c r="V740" t="s">
        <v>1020</v>
      </c>
      <c r="W740" t="s">
        <v>1007</v>
      </c>
      <c r="X740">
        <f>Z740</f>
        <v>1</v>
      </c>
      <c r="Z740">
        <f>IFERROR(_xlfn.XLOOKUP(TRIM(V739), M:M, O:O, "Not Found"), "Not Found")</f>
        <v>1</v>
      </c>
    </row>
    <row r="741" spans="8:26">
      <c r="H741" t="s">
        <v>1008</v>
      </c>
      <c r="I741" t="str">
        <f t="shared" si="12"/>
        <v>dumb</v>
      </c>
      <c r="J741" t="str">
        <v>dumb</v>
      </c>
      <c r="K741" t="str">
        <f>IFERROR(_xlfn.XLOOKUP(TRIM(H741), M:M, N:N, "Not Found"), "Not Found")</f>
        <v>Intelligence based</v>
      </c>
      <c r="V741" t="s">
        <v>1020</v>
      </c>
      <c r="W741" t="s">
        <v>1007</v>
      </c>
      <c r="X741">
        <f>Z741</f>
        <v>1</v>
      </c>
      <c r="Z741">
        <f>IFERROR(_xlfn.XLOOKUP(TRIM(V740), M:M, O:O, "Not Found"), "Not Found")</f>
        <v>1</v>
      </c>
    </row>
    <row r="742" spans="8:26">
      <c r="H742" t="s">
        <v>1029</v>
      </c>
      <c r="I742" t="str">
        <f t="shared" si="12"/>
        <v>brother</v>
      </c>
      <c r="J742" t="str">
        <v>brother</v>
      </c>
      <c r="K742" t="str">
        <f>IFERROR(_xlfn.XLOOKUP(TRIM(H742), M:M, N:N, "Not Found"), "Not Found")</f>
        <v>Familial based</v>
      </c>
      <c r="V742" t="s">
        <v>1020</v>
      </c>
      <c r="W742" t="s">
        <v>1007</v>
      </c>
      <c r="X742">
        <f>Z742</f>
        <v>1</v>
      </c>
      <c r="Z742">
        <f>IFERROR(_xlfn.XLOOKUP(TRIM(V741), M:M, O:O, "Not Found"), "Not Found")</f>
        <v>1</v>
      </c>
    </row>
    <row r="743" spans="8:26">
      <c r="H743" t="s">
        <v>1009</v>
      </c>
      <c r="I743" t="str">
        <f t="shared" si="12"/>
        <v>stupid</v>
      </c>
      <c r="J743" t="str">
        <v>stupid</v>
      </c>
      <c r="K743" t="str">
        <f>IFERROR(_xlfn.XLOOKUP(TRIM(H743), M:M, N:N, "Not Found"), "Not Found")</f>
        <v>Intelligence based</v>
      </c>
      <c r="V743" t="s">
        <v>1020</v>
      </c>
      <c r="W743" t="s">
        <v>1007</v>
      </c>
      <c r="X743">
        <f>Z743</f>
        <v>1</v>
      </c>
      <c r="Z743">
        <f>IFERROR(_xlfn.XLOOKUP(TRIM(V742), M:M, O:O, "Not Found"), "Not Found")</f>
        <v>1</v>
      </c>
    </row>
    <row r="744" spans="8:26">
      <c r="H744" t="s">
        <v>983</v>
      </c>
      <c r="I744" t="str">
        <f t="shared" si="12"/>
        <v>australia</v>
      </c>
      <c r="J744" t="str">
        <v>australia</v>
      </c>
      <c r="K744" t="str">
        <f>IFERROR(_xlfn.XLOOKUP(TRIM(H744), M:M, N:N, "Not Found"), "Not Found")</f>
        <v>Case Related</v>
      </c>
      <c r="V744" t="s">
        <v>1020</v>
      </c>
      <c r="W744" t="s">
        <v>1007</v>
      </c>
      <c r="X744">
        <f>Z744</f>
        <v>1</v>
      </c>
      <c r="Z744">
        <f>IFERROR(_xlfn.XLOOKUP(TRIM(V743), M:M, O:O, "Not Found"), "Not Found")</f>
        <v>1</v>
      </c>
    </row>
    <row r="745" spans="8:26">
      <c r="H745" t="s">
        <v>1028</v>
      </c>
      <c r="I745" t="str">
        <f t="shared" si="12"/>
        <v>corby</v>
      </c>
      <c r="J745" t="str">
        <v>corby</v>
      </c>
      <c r="K745" t="str">
        <f>IFERROR(_xlfn.XLOOKUP(TRIM(H745), M:M, N:N, "Not Found"), "Not Found")</f>
        <v>Familial based</v>
      </c>
      <c r="V745" t="s">
        <v>1020</v>
      </c>
      <c r="W745" t="s">
        <v>1007</v>
      </c>
      <c r="X745">
        <f>Z745</f>
        <v>1</v>
      </c>
      <c r="Z745">
        <f>IFERROR(_xlfn.XLOOKUP(TRIM(V744), M:M, O:O, "Not Found"), "Not Found")</f>
        <v>1</v>
      </c>
    </row>
    <row r="746" spans="8:26">
      <c r="H746" t="s">
        <v>1031</v>
      </c>
      <c r="I746" t="str">
        <f t="shared" si="12"/>
        <v>bogan</v>
      </c>
      <c r="J746" t="str">
        <v>bogan</v>
      </c>
      <c r="K746" t="str">
        <f>IFERROR(_xlfn.XLOOKUP(TRIM(H746), M:M, N:N, "Not Found"), "Not Found")</f>
        <v>Class based</v>
      </c>
      <c r="V746" t="s">
        <v>1020</v>
      </c>
      <c r="W746" t="s">
        <v>1007</v>
      </c>
      <c r="X746">
        <f>Z746</f>
        <v>1</v>
      </c>
      <c r="Z746">
        <f>IFERROR(_xlfn.XLOOKUP(TRIM(V745), M:M, O:O, "Not Found"), "Not Found")</f>
        <v>1</v>
      </c>
    </row>
    <row r="747" spans="8:26">
      <c r="H747" t="s">
        <v>1020</v>
      </c>
      <c r="I747" t="str">
        <f t="shared" si="12"/>
        <v>af</v>
      </c>
      <c r="J747" t="str">
        <v>af</v>
      </c>
      <c r="K747" t="str">
        <f>IFERROR(_xlfn.XLOOKUP(TRIM(H747), M:M, N:N, "Not Found"), "Not Found")</f>
        <v>Intelligence based</v>
      </c>
      <c r="V747" t="s">
        <v>1020</v>
      </c>
      <c r="W747" t="s">
        <v>1007</v>
      </c>
      <c r="X747">
        <f>Z747</f>
        <v>1</v>
      </c>
      <c r="Z747">
        <f>IFERROR(_xlfn.XLOOKUP(TRIM(V746), M:M, O:O, "Not Found"), "Not Found")</f>
        <v>1</v>
      </c>
    </row>
    <row r="748" spans="8:26">
      <c r="H748" t="s">
        <v>1031</v>
      </c>
      <c r="I748" t="str">
        <f t="shared" si="12"/>
        <v>bogan</v>
      </c>
      <c r="J748" t="str">
        <v>bogan</v>
      </c>
      <c r="K748" t="str">
        <f>IFERROR(_xlfn.XLOOKUP(TRIM(H748), M:M, N:N, "Not Found"), "Not Found")</f>
        <v>Class based</v>
      </c>
      <c r="V748" t="s">
        <v>1020</v>
      </c>
      <c r="W748" t="s">
        <v>1007</v>
      </c>
      <c r="X748">
        <f>Z748</f>
        <v>1</v>
      </c>
      <c r="Z748">
        <f>IFERROR(_xlfn.XLOOKUP(TRIM(V747), M:M, O:O, "Not Found"), "Not Found")</f>
        <v>1</v>
      </c>
    </row>
    <row r="749" spans="8:26">
      <c r="H749" t="s">
        <v>1033</v>
      </c>
      <c r="I749" t="str">
        <f t="shared" si="12"/>
        <v>redneck</v>
      </c>
      <c r="J749" t="str">
        <v>redneck</v>
      </c>
      <c r="K749" t="str">
        <f>IFERROR(_xlfn.XLOOKUP(TRIM(H749), M:M, N:N, "Not Found"), "Not Found")</f>
        <v>Class based</v>
      </c>
      <c r="V749" t="s">
        <v>1020</v>
      </c>
      <c r="W749" t="s">
        <v>1007</v>
      </c>
      <c r="X749">
        <f>Z749</f>
        <v>1</v>
      </c>
      <c r="Z749">
        <f>IFERROR(_xlfn.XLOOKUP(TRIM(V748), M:M, O:O, "Not Found"), "Not Found")</f>
        <v>1</v>
      </c>
    </row>
    <row r="750" spans="8:26">
      <c r="H750" t="s">
        <v>1036</v>
      </c>
      <c r="I750" t="str">
        <f t="shared" si="12"/>
        <v>white trash</v>
      </c>
      <c r="J750" t="str">
        <v>white trash</v>
      </c>
      <c r="K750" t="str">
        <f>IFERROR(_xlfn.XLOOKUP(TRIM(H750), M:M, N:N, "Not Found"), "Not Found")</f>
        <v>Class based</v>
      </c>
      <c r="V750" t="s">
        <v>1020</v>
      </c>
      <c r="W750" t="s">
        <v>1007</v>
      </c>
      <c r="X750">
        <f>Z750</f>
        <v>1</v>
      </c>
      <c r="Z750">
        <f>IFERROR(_xlfn.XLOOKUP(TRIM(V749), M:M, O:O, "Not Found"), "Not Found")</f>
        <v>1</v>
      </c>
    </row>
    <row r="751" spans="8:26">
      <c r="H751" t="s">
        <v>1247</v>
      </c>
      <c r="I751" t="str">
        <f t="shared" si="12"/>
        <v>trash</v>
      </c>
      <c r="J751" t="str">
        <v>trash</v>
      </c>
      <c r="K751" t="str">
        <f>IFERROR(_xlfn.XLOOKUP(TRIM(H751), M:M, N:N, "Not Found"), "Not Found")</f>
        <v>Not Found</v>
      </c>
      <c r="V751" t="s">
        <v>1020</v>
      </c>
      <c r="W751" t="s">
        <v>1007</v>
      </c>
      <c r="X751">
        <f>Z751</f>
        <v>1</v>
      </c>
      <c r="Z751">
        <f>IFERROR(_xlfn.XLOOKUP(TRIM(V750), M:M, O:O, "Not Found"), "Not Found")</f>
        <v>1</v>
      </c>
    </row>
    <row r="752" spans="8:26">
      <c r="H752" t="s">
        <v>1020</v>
      </c>
      <c r="I752" t="str">
        <f t="shared" si="12"/>
        <v>af</v>
      </c>
      <c r="J752" t="str">
        <v>af</v>
      </c>
      <c r="K752" t="str">
        <f>IFERROR(_xlfn.XLOOKUP(TRIM(H752), M:M, N:N, "Not Found"), "Not Found")</f>
        <v>Intelligence based</v>
      </c>
      <c r="V752" t="s">
        <v>1020</v>
      </c>
      <c r="W752" t="s">
        <v>1007</v>
      </c>
      <c r="X752">
        <f>Z752</f>
        <v>1</v>
      </c>
      <c r="Z752">
        <f>IFERROR(_xlfn.XLOOKUP(TRIM(V751), M:M, O:O, "Not Found"), "Not Found")</f>
        <v>1</v>
      </c>
    </row>
    <row r="753" spans="8:26">
      <c r="H753" t="s">
        <v>1020</v>
      </c>
      <c r="I753" t="str">
        <f t="shared" si="12"/>
        <v>af</v>
      </c>
      <c r="J753" t="str">
        <v>af</v>
      </c>
      <c r="K753" t="str">
        <f>IFERROR(_xlfn.XLOOKUP(TRIM(H753), M:M, N:N, "Not Found"), "Not Found")</f>
        <v>Intelligence based</v>
      </c>
      <c r="V753" t="s">
        <v>1020</v>
      </c>
      <c r="W753" t="s">
        <v>1007</v>
      </c>
      <c r="X753">
        <f>Z753</f>
        <v>1</v>
      </c>
      <c r="Z753">
        <f>IFERROR(_xlfn.XLOOKUP(TRIM(V752), M:M, O:O, "Not Found"), "Not Found")</f>
        <v>1</v>
      </c>
    </row>
    <row r="754" spans="8:26">
      <c r="H754" t="s">
        <v>970</v>
      </c>
      <c r="I754" t="str">
        <f t="shared" si="12"/>
        <v>australian</v>
      </c>
      <c r="J754" t="str">
        <v>australian</v>
      </c>
      <c r="K754" t="str">
        <f>IFERROR(_xlfn.XLOOKUP(TRIM(H754), M:M, N:N, "Not Found"), "Not Found")</f>
        <v>Case Related</v>
      </c>
      <c r="V754" t="s">
        <v>1020</v>
      </c>
      <c r="W754" t="s">
        <v>1007</v>
      </c>
      <c r="X754">
        <f>Z754</f>
        <v>1</v>
      </c>
      <c r="Z754">
        <f>IFERROR(_xlfn.XLOOKUP(TRIM(V753), M:M, O:O, "Not Found"), "Not Found")</f>
        <v>1</v>
      </c>
    </row>
    <row r="755" spans="8:26">
      <c r="H755" t="s">
        <v>983</v>
      </c>
      <c r="I755" t="str">
        <f t="shared" si="12"/>
        <v>australia</v>
      </c>
      <c r="J755" t="str">
        <v>australia</v>
      </c>
      <c r="K755" t="str">
        <f>IFERROR(_xlfn.XLOOKUP(TRIM(H755), M:M, N:N, "Not Found"), "Not Found")</f>
        <v>Case Related</v>
      </c>
      <c r="V755" t="s">
        <v>1020</v>
      </c>
      <c r="W755" t="s">
        <v>1007</v>
      </c>
      <c r="X755">
        <f>Z755</f>
        <v>1</v>
      </c>
      <c r="Z755">
        <f>IFERROR(_xlfn.XLOOKUP(TRIM(V754), M:M, O:O, "Not Found"), "Not Found")</f>
        <v>1</v>
      </c>
    </row>
    <row r="756" spans="8:26">
      <c r="H756" t="s">
        <v>1031</v>
      </c>
      <c r="I756" t="str">
        <f t="shared" si="12"/>
        <v>bogan</v>
      </c>
      <c r="J756" t="str">
        <v>bogan</v>
      </c>
      <c r="K756" t="str">
        <f>IFERROR(_xlfn.XLOOKUP(TRIM(H756), M:M, N:N, "Not Found"), "Not Found")</f>
        <v>Class based</v>
      </c>
      <c r="V756" t="s">
        <v>1020</v>
      </c>
      <c r="W756" t="s">
        <v>1007</v>
      </c>
      <c r="X756">
        <f>Z756</f>
        <v>1</v>
      </c>
      <c r="Z756">
        <f>IFERROR(_xlfn.XLOOKUP(TRIM(V755), M:M, O:O, "Not Found"), "Not Found")</f>
        <v>1</v>
      </c>
    </row>
    <row r="757" spans="8:26">
      <c r="H757" t="s">
        <v>970</v>
      </c>
      <c r="I757" t="str">
        <f t="shared" si="12"/>
        <v>australian</v>
      </c>
      <c r="J757" t="str">
        <v>australian</v>
      </c>
      <c r="K757" t="str">
        <f>IFERROR(_xlfn.XLOOKUP(TRIM(H757), M:M, N:N, "Not Found"), "Not Found")</f>
        <v>Case Related</v>
      </c>
      <c r="V757" t="s">
        <v>1020</v>
      </c>
      <c r="W757" t="s">
        <v>1007</v>
      </c>
      <c r="X757">
        <f>Z757</f>
        <v>1</v>
      </c>
      <c r="Z757">
        <f>IFERROR(_xlfn.XLOOKUP(TRIM(V756), M:M, O:O, "Not Found"), "Not Found")</f>
        <v>1</v>
      </c>
    </row>
    <row r="758" spans="8:26">
      <c r="H758" t="s">
        <v>983</v>
      </c>
      <c r="I758" t="str">
        <f t="shared" si="12"/>
        <v>australia</v>
      </c>
      <c r="J758" t="str">
        <v>australia</v>
      </c>
      <c r="K758" t="str">
        <f>IFERROR(_xlfn.XLOOKUP(TRIM(H758), M:M, N:N, "Not Found"), "Not Found")</f>
        <v>Case Related</v>
      </c>
      <c r="V758" t="s">
        <v>1020</v>
      </c>
      <c r="W758" t="s">
        <v>1007</v>
      </c>
      <c r="X758">
        <f>Z758</f>
        <v>1</v>
      </c>
      <c r="Z758">
        <f>IFERROR(_xlfn.XLOOKUP(TRIM(V757), M:M, O:O, "Not Found"), "Not Found")</f>
        <v>1</v>
      </c>
    </row>
    <row r="759" spans="8:26">
      <c r="H759" t="s">
        <v>1020</v>
      </c>
      <c r="I759" t="str">
        <f t="shared" si="12"/>
        <v>af</v>
      </c>
      <c r="J759" t="str">
        <v>af</v>
      </c>
      <c r="K759" t="str">
        <f>IFERROR(_xlfn.XLOOKUP(TRIM(H759), M:M, N:N, "Not Found"), "Not Found")</f>
        <v>Intelligence based</v>
      </c>
      <c r="V759" t="s">
        <v>1020</v>
      </c>
      <c r="W759" t="s">
        <v>1007</v>
      </c>
      <c r="X759">
        <f>Z759</f>
        <v>1</v>
      </c>
      <c r="Z759">
        <f>IFERROR(_xlfn.XLOOKUP(TRIM(V758), M:M, O:O, "Not Found"), "Not Found")</f>
        <v>1</v>
      </c>
    </row>
    <row r="760" spans="8:26">
      <c r="H760" t="s">
        <v>1020</v>
      </c>
      <c r="I760" t="str">
        <f t="shared" si="12"/>
        <v>af</v>
      </c>
      <c r="J760" t="str">
        <v>af</v>
      </c>
      <c r="K760" t="str">
        <f>IFERROR(_xlfn.XLOOKUP(TRIM(H760), M:M, N:N, "Not Found"), "Not Found")</f>
        <v>Intelligence based</v>
      </c>
      <c r="V760" t="s">
        <v>1020</v>
      </c>
      <c r="W760" t="s">
        <v>1007</v>
      </c>
      <c r="X760">
        <f>Z760</f>
        <v>1</v>
      </c>
      <c r="Z760">
        <f>IFERROR(_xlfn.XLOOKUP(TRIM(V759), M:M, O:O, "Not Found"), "Not Found")</f>
        <v>1</v>
      </c>
    </row>
    <row r="761" spans="8:26">
      <c r="H761" t="s">
        <v>983</v>
      </c>
      <c r="I761" t="str">
        <f t="shared" si="12"/>
        <v>australia</v>
      </c>
      <c r="J761" t="str">
        <v>australia</v>
      </c>
      <c r="K761" t="str">
        <f>IFERROR(_xlfn.XLOOKUP(TRIM(H761), M:M, N:N, "Not Found"), "Not Found")</f>
        <v>Case Related</v>
      </c>
      <c r="V761" t="s">
        <v>1020</v>
      </c>
      <c r="W761" t="s">
        <v>1007</v>
      </c>
      <c r="X761">
        <f>Z761</f>
        <v>1</v>
      </c>
      <c r="Z761">
        <f>IFERROR(_xlfn.XLOOKUP(TRIM(V760), M:M, O:O, "Not Found"), "Not Found")</f>
        <v>1</v>
      </c>
    </row>
    <row r="762" spans="8:26">
      <c r="H762" t="s">
        <v>983</v>
      </c>
      <c r="I762" t="str">
        <f t="shared" si="12"/>
        <v>australia</v>
      </c>
      <c r="J762" t="str">
        <v>australia</v>
      </c>
      <c r="K762" t="str">
        <f>IFERROR(_xlfn.XLOOKUP(TRIM(H762), M:M, N:N, "Not Found"), "Not Found")</f>
        <v>Case Related</v>
      </c>
      <c r="V762" t="s">
        <v>1020</v>
      </c>
      <c r="W762" t="s">
        <v>1007</v>
      </c>
      <c r="X762">
        <f>Z762</f>
        <v>1</v>
      </c>
      <c r="Z762">
        <f>IFERROR(_xlfn.XLOOKUP(TRIM(V761), M:M, O:O, "Not Found"), "Not Found")</f>
        <v>1</v>
      </c>
    </row>
    <row r="763" spans="8:26">
      <c r="H763" t="s">
        <v>1031</v>
      </c>
      <c r="I763" t="str">
        <f t="shared" si="12"/>
        <v>bogan</v>
      </c>
      <c r="J763" t="str">
        <v>bogan</v>
      </c>
      <c r="K763" t="str">
        <f>IFERROR(_xlfn.XLOOKUP(TRIM(H763), M:M, N:N, "Not Found"), "Not Found")</f>
        <v>Class based</v>
      </c>
      <c r="V763" t="s">
        <v>1020</v>
      </c>
      <c r="W763" t="s">
        <v>1007</v>
      </c>
      <c r="X763">
        <f>Z763</f>
        <v>1</v>
      </c>
      <c r="Z763">
        <f>IFERROR(_xlfn.XLOOKUP(TRIM(V762), M:M, O:O, "Not Found"), "Not Found")</f>
        <v>1</v>
      </c>
    </row>
    <row r="764" spans="8:26">
      <c r="H764" t="s">
        <v>983</v>
      </c>
      <c r="I764" t="str">
        <f t="shared" si="12"/>
        <v>australia</v>
      </c>
      <c r="J764" t="str">
        <v>australia</v>
      </c>
      <c r="K764" t="str">
        <f>IFERROR(_xlfn.XLOOKUP(TRIM(H764), M:M, N:N, "Not Found"), "Not Found")</f>
        <v>Case Related</v>
      </c>
      <c r="V764" t="s">
        <v>1020</v>
      </c>
      <c r="W764" t="s">
        <v>1007</v>
      </c>
      <c r="X764">
        <f>Z764</f>
        <v>1</v>
      </c>
      <c r="Z764">
        <f>IFERROR(_xlfn.XLOOKUP(TRIM(V763), M:M, O:O, "Not Found"), "Not Found")</f>
        <v>1</v>
      </c>
    </row>
    <row r="765" spans="8:26">
      <c r="H765" t="s">
        <v>1031</v>
      </c>
      <c r="I765" t="str">
        <f t="shared" si="12"/>
        <v>bogan</v>
      </c>
      <c r="J765" t="str">
        <v>bogan</v>
      </c>
      <c r="K765" t="str">
        <f>IFERROR(_xlfn.XLOOKUP(TRIM(H765), M:M, N:N, "Not Found"), "Not Found")</f>
        <v>Class based</v>
      </c>
      <c r="V765" t="s">
        <v>1020</v>
      </c>
      <c r="W765" t="s">
        <v>1007</v>
      </c>
      <c r="X765">
        <f>Z765</f>
        <v>1</v>
      </c>
      <c r="Z765">
        <f>IFERROR(_xlfn.XLOOKUP(TRIM(V764), M:M, O:O, "Not Found"), "Not Found")</f>
        <v>1</v>
      </c>
    </row>
    <row r="766" spans="8:26">
      <c r="H766" t="s">
        <v>1038</v>
      </c>
      <c r="I766" t="str">
        <f t="shared" si="12"/>
        <v>bitch</v>
      </c>
      <c r="J766" t="str">
        <v>bitch</v>
      </c>
      <c r="K766" t="str">
        <f>IFERROR(_xlfn.XLOOKUP(TRIM(H766), M:M, N:N, "Not Found"), "Not Found")</f>
        <v>Class based</v>
      </c>
      <c r="V766" t="s">
        <v>1020</v>
      </c>
      <c r="W766" t="s">
        <v>1007</v>
      </c>
      <c r="X766">
        <f>Z766</f>
        <v>1</v>
      </c>
      <c r="Z766">
        <f>IFERROR(_xlfn.XLOOKUP(TRIM(V765), M:M, O:O, "Not Found"), "Not Found")</f>
        <v>1</v>
      </c>
    </row>
    <row r="767" spans="8:26">
      <c r="H767" t="s">
        <v>983</v>
      </c>
      <c r="I767" t="str">
        <f t="shared" si="12"/>
        <v>australia</v>
      </c>
      <c r="J767" t="str">
        <v>australia</v>
      </c>
      <c r="K767" t="str">
        <f>IFERROR(_xlfn.XLOOKUP(TRIM(H767), M:M, N:N, "Not Found"), "Not Found")</f>
        <v>Case Related</v>
      </c>
      <c r="V767" t="s">
        <v>1020</v>
      </c>
      <c r="W767" t="s">
        <v>1007</v>
      </c>
      <c r="X767">
        <f>Z767</f>
        <v>1</v>
      </c>
      <c r="Z767">
        <f>IFERROR(_xlfn.XLOOKUP(TRIM(V766), M:M, O:O, "Not Found"), "Not Found")</f>
        <v>1</v>
      </c>
    </row>
    <row r="768" spans="8:26">
      <c r="H768" t="s">
        <v>1020</v>
      </c>
      <c r="I768" t="str">
        <f t="shared" si="12"/>
        <v>af</v>
      </c>
      <c r="J768" t="str">
        <v>af</v>
      </c>
      <c r="K768" t="str">
        <f>IFERROR(_xlfn.XLOOKUP(TRIM(H768), M:M, N:N, "Not Found"), "Not Found")</f>
        <v>Intelligence based</v>
      </c>
      <c r="V768" t="s">
        <v>1020</v>
      </c>
      <c r="W768" t="s">
        <v>1007</v>
      </c>
      <c r="X768">
        <f>Z768</f>
        <v>1</v>
      </c>
      <c r="Z768">
        <f>IFERROR(_xlfn.XLOOKUP(TRIM(V767), M:M, O:O, "Not Found"), "Not Found")</f>
        <v>1</v>
      </c>
    </row>
    <row r="769" spans="8:26">
      <c r="H769" t="s">
        <v>970</v>
      </c>
      <c r="I769" t="str">
        <f t="shared" si="12"/>
        <v>australian</v>
      </c>
      <c r="J769" t="str">
        <v>australian</v>
      </c>
      <c r="K769" t="str">
        <f>IFERROR(_xlfn.XLOOKUP(TRIM(H769), M:M, N:N, "Not Found"), "Not Found")</f>
        <v>Case Related</v>
      </c>
      <c r="V769" t="s">
        <v>1020</v>
      </c>
      <c r="W769" t="s">
        <v>1007</v>
      </c>
      <c r="X769">
        <f>Z769</f>
        <v>1</v>
      </c>
      <c r="Z769">
        <f>IFERROR(_xlfn.XLOOKUP(TRIM(V768), M:M, O:O, "Not Found"), "Not Found")</f>
        <v>1</v>
      </c>
    </row>
    <row r="770" spans="8:26">
      <c r="H770" t="s">
        <v>974</v>
      </c>
      <c r="I770" t="str">
        <f t="shared" si="12"/>
        <v>smuggling</v>
      </c>
      <c r="J770" t="str">
        <v>smuggling</v>
      </c>
      <c r="K770" t="str">
        <f>IFERROR(_xlfn.XLOOKUP(TRIM(H770), M:M, N:N, "Not Found"), "Not Found")</f>
        <v>Case Related</v>
      </c>
      <c r="V770" t="s">
        <v>1020</v>
      </c>
      <c r="W770" t="s">
        <v>1007</v>
      </c>
      <c r="X770">
        <f>Z770</f>
        <v>1</v>
      </c>
      <c r="Z770">
        <f>IFERROR(_xlfn.XLOOKUP(TRIM(V769), M:M, O:O, "Not Found"), "Not Found")</f>
        <v>1</v>
      </c>
    </row>
    <row r="771" spans="8:26">
      <c r="H771" t="s">
        <v>1239</v>
      </c>
      <c r="I771" t="str">
        <f t="shared" si="12"/>
        <v>indonesia</v>
      </c>
      <c r="J771" t="str">
        <v>indonesia</v>
      </c>
      <c r="K771" t="str">
        <f>IFERROR(_xlfn.XLOOKUP(TRIM(H771), M:M, N:N, "Not Found"), "Not Found")</f>
        <v>Not Found</v>
      </c>
      <c r="V771" t="s">
        <v>1020</v>
      </c>
      <c r="W771" t="s">
        <v>1007</v>
      </c>
      <c r="X771">
        <f>Z771</f>
        <v>1</v>
      </c>
      <c r="Z771">
        <f>IFERROR(_xlfn.XLOOKUP(TRIM(V770), M:M, O:O, "Not Found"), "Not Found")</f>
        <v>1</v>
      </c>
    </row>
    <row r="772" spans="8:26">
      <c r="H772" t="s">
        <v>983</v>
      </c>
      <c r="I772" t="str">
        <f t="shared" ref="I772:I835" si="13">TRIM(LOWER(H772))</f>
        <v>australia</v>
      </c>
      <c r="J772" t="str">
        <v>australia</v>
      </c>
      <c r="K772" t="str">
        <f>IFERROR(_xlfn.XLOOKUP(TRIM(H772), M:M, N:N, "Not Found"), "Not Found")</f>
        <v>Case Related</v>
      </c>
      <c r="V772" t="s">
        <v>1020</v>
      </c>
      <c r="W772" t="s">
        <v>1007</v>
      </c>
      <c r="X772">
        <f>Z772</f>
        <v>1</v>
      </c>
      <c r="Z772">
        <f>IFERROR(_xlfn.XLOOKUP(TRIM(V771), M:M, O:O, "Not Found"), "Not Found")</f>
        <v>1</v>
      </c>
    </row>
    <row r="773" spans="8:26">
      <c r="H773" t="s">
        <v>1020</v>
      </c>
      <c r="I773" t="str">
        <f t="shared" si="13"/>
        <v>af</v>
      </c>
      <c r="J773" t="str">
        <v>af</v>
      </c>
      <c r="K773" t="str">
        <f>IFERROR(_xlfn.XLOOKUP(TRIM(H773), M:M, N:N, "Not Found"), "Not Found")</f>
        <v>Intelligence based</v>
      </c>
      <c r="V773" t="s">
        <v>1020</v>
      </c>
      <c r="W773" t="s">
        <v>1007</v>
      </c>
      <c r="X773">
        <f>Z773</f>
        <v>1</v>
      </c>
      <c r="Z773">
        <f>IFERROR(_xlfn.XLOOKUP(TRIM(V772), M:M, O:O, "Not Found"), "Not Found")</f>
        <v>1</v>
      </c>
    </row>
    <row r="774" spans="8:26">
      <c r="H774" t="s">
        <v>1028</v>
      </c>
      <c r="I774" t="str">
        <f t="shared" si="13"/>
        <v>corby</v>
      </c>
      <c r="J774" t="str">
        <v>corby</v>
      </c>
      <c r="K774" t="str">
        <f>IFERROR(_xlfn.XLOOKUP(TRIM(H774), M:M, N:N, "Not Found"), "Not Found")</f>
        <v>Familial based</v>
      </c>
      <c r="V774" t="s">
        <v>1020</v>
      </c>
      <c r="W774" t="s">
        <v>1007</v>
      </c>
      <c r="X774">
        <f>Z774</f>
        <v>1</v>
      </c>
      <c r="Z774">
        <f>IFERROR(_xlfn.XLOOKUP(TRIM(V773), M:M, O:O, "Not Found"), "Not Found")</f>
        <v>1</v>
      </c>
    </row>
    <row r="775" spans="8:26">
      <c r="H775" t="s">
        <v>1069</v>
      </c>
      <c r="I775" t="str">
        <f t="shared" si="13"/>
        <v>parole</v>
      </c>
      <c r="J775" t="str">
        <v>parole</v>
      </c>
      <c r="K775" t="str">
        <f>IFERROR(_xlfn.XLOOKUP(TRIM(H775), M:M, N:N, "Not Found"), "Not Found")</f>
        <v>Legality based</v>
      </c>
      <c r="V775" t="s">
        <v>1020</v>
      </c>
      <c r="W775" t="s">
        <v>1007</v>
      </c>
      <c r="X775">
        <f>Z775</f>
        <v>1</v>
      </c>
      <c r="Z775">
        <f>IFERROR(_xlfn.XLOOKUP(TRIM(V774), M:M, O:O, "Not Found"), "Not Found")</f>
        <v>1</v>
      </c>
    </row>
    <row r="776" spans="8:26">
      <c r="H776" t="s">
        <v>1073</v>
      </c>
      <c r="I776" t="str">
        <f t="shared" si="13"/>
        <v>convicted</v>
      </c>
      <c r="J776" t="str">
        <v>convicted</v>
      </c>
      <c r="K776" t="str">
        <f>IFERROR(_xlfn.XLOOKUP(TRIM(H776), M:M, N:N, "Not Found"), "Not Found")</f>
        <v>Legality based</v>
      </c>
      <c r="V776" t="s">
        <v>1020</v>
      </c>
      <c r="W776" t="s">
        <v>1007</v>
      </c>
      <c r="X776">
        <f>Z776</f>
        <v>1</v>
      </c>
      <c r="Z776">
        <f>IFERROR(_xlfn.XLOOKUP(TRIM(V775), M:M, O:O, "Not Found"), "Not Found")</f>
        <v>1</v>
      </c>
    </row>
    <row r="777" spans="8:26">
      <c r="H777" t="s">
        <v>983</v>
      </c>
      <c r="I777" t="str">
        <f t="shared" si="13"/>
        <v>australia</v>
      </c>
      <c r="J777" t="str">
        <v>australia</v>
      </c>
      <c r="K777" t="str">
        <f>IFERROR(_xlfn.XLOOKUP(TRIM(H777), M:M, N:N, "Not Found"), "Not Found")</f>
        <v>Case Related</v>
      </c>
      <c r="V777" t="s">
        <v>1020</v>
      </c>
      <c r="W777" t="s">
        <v>1007</v>
      </c>
      <c r="X777">
        <f>Z777</f>
        <v>1</v>
      </c>
      <c r="Z777">
        <f>IFERROR(_xlfn.XLOOKUP(TRIM(V776), M:M, O:O, "Not Found"), "Not Found")</f>
        <v>1</v>
      </c>
    </row>
    <row r="778" spans="8:26">
      <c r="H778" t="s">
        <v>1031</v>
      </c>
      <c r="I778" t="str">
        <f t="shared" si="13"/>
        <v>bogan</v>
      </c>
      <c r="J778" t="str">
        <v>bogan</v>
      </c>
      <c r="K778" t="str">
        <f>IFERROR(_xlfn.XLOOKUP(TRIM(H778), M:M, N:N, "Not Found"), "Not Found")</f>
        <v>Class based</v>
      </c>
      <c r="V778" t="s">
        <v>1020</v>
      </c>
      <c r="W778" t="s">
        <v>1007</v>
      </c>
      <c r="X778">
        <f>Z778</f>
        <v>1</v>
      </c>
      <c r="Z778">
        <f>IFERROR(_xlfn.XLOOKUP(TRIM(V777), M:M, O:O, "Not Found"), "Not Found")</f>
        <v>1</v>
      </c>
    </row>
    <row r="779" spans="8:26">
      <c r="H779" t="s">
        <v>1239</v>
      </c>
      <c r="I779" t="str">
        <f t="shared" si="13"/>
        <v>indonesia</v>
      </c>
      <c r="J779" t="str">
        <v>indonesia</v>
      </c>
      <c r="K779" t="str">
        <f>IFERROR(_xlfn.XLOOKUP(TRIM(H779), M:M, N:N, "Not Found"), "Not Found")</f>
        <v>Not Found</v>
      </c>
      <c r="V779" t="s">
        <v>1020</v>
      </c>
      <c r="W779" t="s">
        <v>1007</v>
      </c>
      <c r="X779">
        <f>Z779</f>
        <v>1</v>
      </c>
      <c r="Z779">
        <f>IFERROR(_xlfn.XLOOKUP(TRIM(V778), M:M, O:O, "Not Found"), "Not Found")</f>
        <v>1</v>
      </c>
    </row>
    <row r="780" spans="8:26">
      <c r="H780" t="s">
        <v>983</v>
      </c>
      <c r="I780" t="str">
        <f t="shared" si="13"/>
        <v>australia</v>
      </c>
      <c r="J780" t="str">
        <v>australia</v>
      </c>
      <c r="K780" t="str">
        <f>IFERROR(_xlfn.XLOOKUP(TRIM(H780), M:M, N:N, "Not Found"), "Not Found")</f>
        <v>Case Related</v>
      </c>
      <c r="V780" t="s">
        <v>1008</v>
      </c>
      <c r="W780" t="s">
        <v>1007</v>
      </c>
      <c r="X780">
        <f>Z780</f>
        <v>1</v>
      </c>
      <c r="Z780">
        <f>IFERROR(_xlfn.XLOOKUP(TRIM(V779), M:M, O:O, "Not Found"), "Not Found")</f>
        <v>1</v>
      </c>
    </row>
    <row r="781" spans="8:26">
      <c r="H781" t="s">
        <v>1028</v>
      </c>
      <c r="I781" t="str">
        <f t="shared" si="13"/>
        <v>corby</v>
      </c>
      <c r="J781" t="str">
        <v>corby</v>
      </c>
      <c r="K781" t="str">
        <f>IFERROR(_xlfn.XLOOKUP(TRIM(H781), M:M, N:N, "Not Found"), "Not Found")</f>
        <v>Familial based</v>
      </c>
      <c r="V781" t="s">
        <v>1008</v>
      </c>
      <c r="W781" t="s">
        <v>1007</v>
      </c>
      <c r="X781">
        <f>Z781</f>
        <v>3</v>
      </c>
      <c r="Z781">
        <f>IFERROR(_xlfn.XLOOKUP(TRIM(V780), M:M, O:O, "Not Found"), "Not Found")</f>
        <v>3</v>
      </c>
    </row>
    <row r="782" spans="8:26">
      <c r="H782" t="s">
        <v>995</v>
      </c>
      <c r="I782" t="str">
        <f t="shared" si="13"/>
        <v>weed</v>
      </c>
      <c r="J782" t="str">
        <v>weed</v>
      </c>
      <c r="K782" t="str">
        <f>IFERROR(_xlfn.XLOOKUP(TRIM(H782), M:M, N:N, "Not Found"), "Not Found")</f>
        <v>Crime based</v>
      </c>
      <c r="V782" t="s">
        <v>1008</v>
      </c>
      <c r="W782" t="s">
        <v>1007</v>
      </c>
      <c r="X782">
        <f>Z782</f>
        <v>3</v>
      </c>
      <c r="Z782">
        <f>IFERROR(_xlfn.XLOOKUP(TRIM(V781), M:M, O:O, "Not Found"), "Not Found")</f>
        <v>3</v>
      </c>
    </row>
    <row r="783" spans="8:26">
      <c r="H783" t="s">
        <v>1008</v>
      </c>
      <c r="I783" t="str">
        <f t="shared" si="13"/>
        <v>dumb</v>
      </c>
      <c r="J783" t="str">
        <v>dumb</v>
      </c>
      <c r="K783" t="str">
        <f>IFERROR(_xlfn.XLOOKUP(TRIM(H783), M:M, N:N, "Not Found"), "Not Found")</f>
        <v>Intelligence based</v>
      </c>
      <c r="V783" t="s">
        <v>1008</v>
      </c>
      <c r="W783" t="s">
        <v>1007</v>
      </c>
      <c r="X783">
        <f>Z783</f>
        <v>3</v>
      </c>
      <c r="Z783">
        <f>IFERROR(_xlfn.XLOOKUP(TRIM(V782), M:M, O:O, "Not Found"), "Not Found")</f>
        <v>3</v>
      </c>
    </row>
    <row r="784" spans="8:26">
      <c r="H784" t="s">
        <v>1038</v>
      </c>
      <c r="I784" t="str">
        <f t="shared" si="13"/>
        <v>bitch</v>
      </c>
      <c r="J784" t="str">
        <v>bitch</v>
      </c>
      <c r="K784" t="str">
        <f>IFERROR(_xlfn.XLOOKUP(TRIM(H784), M:M, N:N, "Not Found"), "Not Found")</f>
        <v>Class based</v>
      </c>
      <c r="V784" t="s">
        <v>1008</v>
      </c>
      <c r="W784" t="s">
        <v>1007</v>
      </c>
      <c r="X784">
        <f>Z784</f>
        <v>3</v>
      </c>
      <c r="Z784">
        <f>IFERROR(_xlfn.XLOOKUP(TRIM(V783), M:M, O:O, "Not Found"), "Not Found")</f>
        <v>3</v>
      </c>
    </row>
    <row r="785" spans="8:26">
      <c r="H785" t="s">
        <v>968</v>
      </c>
      <c r="I785" t="str">
        <f t="shared" si="13"/>
        <v>boogie board</v>
      </c>
      <c r="J785" t="str">
        <v>boogie board</v>
      </c>
      <c r="K785" t="str">
        <f>IFERROR(_xlfn.XLOOKUP(TRIM(H785), M:M, N:N, "Not Found"), "Not Found")</f>
        <v>Case Related</v>
      </c>
      <c r="V785" t="s">
        <v>1008</v>
      </c>
      <c r="W785" t="s">
        <v>1007</v>
      </c>
      <c r="X785">
        <f>Z785</f>
        <v>3</v>
      </c>
      <c r="Z785">
        <f>IFERROR(_xlfn.XLOOKUP(TRIM(V784), M:M, O:O, "Not Found"), "Not Found")</f>
        <v>3</v>
      </c>
    </row>
    <row r="786" spans="8:26">
      <c r="H786" t="s">
        <v>995</v>
      </c>
      <c r="I786" t="str">
        <f t="shared" si="13"/>
        <v>weed</v>
      </c>
      <c r="J786" t="str">
        <v>weed</v>
      </c>
      <c r="K786" t="str">
        <f>IFERROR(_xlfn.XLOOKUP(TRIM(H786), M:M, N:N, "Not Found"), "Not Found")</f>
        <v>Crime based</v>
      </c>
      <c r="V786" t="s">
        <v>1013</v>
      </c>
      <c r="W786" t="s">
        <v>1007</v>
      </c>
      <c r="X786">
        <f>Z786</f>
        <v>3</v>
      </c>
      <c r="Z786">
        <f>IFERROR(_xlfn.XLOOKUP(TRIM(V785), M:M, O:O, "Not Found"), "Not Found")</f>
        <v>3</v>
      </c>
    </row>
    <row r="787" spans="8:26">
      <c r="H787" t="s">
        <v>984</v>
      </c>
      <c r="I787" t="str">
        <f t="shared" si="13"/>
        <v>drugs</v>
      </c>
      <c r="J787" t="str">
        <v>drugs</v>
      </c>
      <c r="K787" t="str">
        <f>IFERROR(_xlfn.XLOOKUP(TRIM(H787), M:M, N:N, "Not Found"), "Not Found")</f>
        <v>Crime based</v>
      </c>
      <c r="V787" t="s">
        <v>1013</v>
      </c>
      <c r="W787" t="s">
        <v>1007</v>
      </c>
      <c r="X787">
        <f>Z787</f>
        <v>3</v>
      </c>
      <c r="Z787">
        <f>IFERROR(_xlfn.XLOOKUP(TRIM(V786), M:M, O:O, "Not Found"), "Not Found")</f>
        <v>3</v>
      </c>
    </row>
    <row r="788" spans="8:26">
      <c r="H788" t="s">
        <v>1020</v>
      </c>
      <c r="I788" t="str">
        <f t="shared" si="13"/>
        <v>af</v>
      </c>
      <c r="J788" t="str">
        <v>af</v>
      </c>
      <c r="K788" t="str">
        <f>IFERROR(_xlfn.XLOOKUP(TRIM(H788), M:M, N:N, "Not Found"), "Not Found")</f>
        <v>Intelligence based</v>
      </c>
      <c r="V788" t="s">
        <v>1006</v>
      </c>
      <c r="W788" t="s">
        <v>1007</v>
      </c>
      <c r="X788">
        <f>Z788</f>
        <v>3</v>
      </c>
      <c r="Z788">
        <f>IFERROR(_xlfn.XLOOKUP(TRIM(V787), M:M, O:O, "Not Found"), "Not Found")</f>
        <v>3</v>
      </c>
    </row>
    <row r="789" spans="8:26">
      <c r="H789" t="s">
        <v>1061</v>
      </c>
      <c r="I789" t="str">
        <f t="shared" si="13"/>
        <v>sentenced</v>
      </c>
      <c r="J789" t="str">
        <v>sentenced</v>
      </c>
      <c r="K789" t="str">
        <f>IFERROR(_xlfn.XLOOKUP(TRIM(H789), M:M, N:N, "Not Found"), "Not Found")</f>
        <v>Legality based</v>
      </c>
      <c r="V789" t="s">
        <v>1006</v>
      </c>
      <c r="W789" t="s">
        <v>1007</v>
      </c>
      <c r="X789">
        <f>Z789</f>
        <v>3</v>
      </c>
      <c r="Z789">
        <f>IFERROR(_xlfn.XLOOKUP(TRIM(V788), M:M, O:O, "Not Found"), "Not Found")</f>
        <v>3</v>
      </c>
    </row>
    <row r="790" spans="8:26">
      <c r="H790" t="s">
        <v>1064</v>
      </c>
      <c r="I790" t="str">
        <f t="shared" si="13"/>
        <v>arrested</v>
      </c>
      <c r="J790" t="str">
        <v>arrested</v>
      </c>
      <c r="K790" t="str">
        <f>IFERROR(_xlfn.XLOOKUP(TRIM(H790), M:M, N:N, "Not Found"), "Not Found")</f>
        <v>Legality based</v>
      </c>
      <c r="V790" t="s">
        <v>1006</v>
      </c>
      <c r="W790" t="s">
        <v>1007</v>
      </c>
      <c r="X790">
        <f>Z790</f>
        <v>3</v>
      </c>
      <c r="Z790">
        <f>IFERROR(_xlfn.XLOOKUP(TRIM(V789), M:M, O:O, "Not Found"), "Not Found")</f>
        <v>3</v>
      </c>
    </row>
    <row r="791" spans="8:26">
      <c r="H791" t="s">
        <v>1069</v>
      </c>
      <c r="I791" t="str">
        <f t="shared" si="13"/>
        <v>parole</v>
      </c>
      <c r="J791" t="str">
        <v>parole</v>
      </c>
      <c r="K791" t="str">
        <f>IFERROR(_xlfn.XLOOKUP(TRIM(H791), M:M, N:N, "Not Found"), "Not Found")</f>
        <v>Legality based</v>
      </c>
      <c r="V791" t="s">
        <v>1006</v>
      </c>
      <c r="W791" t="s">
        <v>1007</v>
      </c>
      <c r="X791">
        <f>Z791</f>
        <v>3</v>
      </c>
      <c r="Z791">
        <f>IFERROR(_xlfn.XLOOKUP(TRIM(V790), M:M, O:O, "Not Found"), "Not Found")</f>
        <v>3</v>
      </c>
    </row>
    <row r="792" spans="8:26">
      <c r="H792" t="s">
        <v>1020</v>
      </c>
      <c r="I792" t="str">
        <f t="shared" si="13"/>
        <v>af</v>
      </c>
      <c r="J792" t="str">
        <v>af</v>
      </c>
      <c r="K792" t="str">
        <f>IFERROR(_xlfn.XLOOKUP(TRIM(H792), M:M, N:N, "Not Found"), "Not Found")</f>
        <v>Intelligence based</v>
      </c>
      <c r="V792" t="s">
        <v>1006</v>
      </c>
      <c r="W792" t="s">
        <v>1007</v>
      </c>
      <c r="X792">
        <f>Z792</f>
        <v>3</v>
      </c>
      <c r="Z792">
        <f>IFERROR(_xlfn.XLOOKUP(TRIM(V791), M:M, O:O, "Not Found"), "Not Found")</f>
        <v>3</v>
      </c>
    </row>
    <row r="793" spans="8:26">
      <c r="H793" t="s">
        <v>1013</v>
      </c>
      <c r="I793" t="str">
        <f t="shared" si="13"/>
        <v>fucked</v>
      </c>
      <c r="J793" t="str">
        <v>fucked</v>
      </c>
      <c r="K793" t="str">
        <f>IFERROR(_xlfn.XLOOKUP(TRIM(H793), M:M, N:N, "Not Found"), "Not Found")</f>
        <v>Intelligence based</v>
      </c>
      <c r="V793" t="s">
        <v>1006</v>
      </c>
      <c r="W793" t="s">
        <v>1007</v>
      </c>
      <c r="X793">
        <f>Z793</f>
        <v>3</v>
      </c>
      <c r="Z793">
        <f>IFERROR(_xlfn.XLOOKUP(TRIM(V792), M:M, O:O, "Not Found"), "Not Found")</f>
        <v>3</v>
      </c>
    </row>
    <row r="794" spans="8:26">
      <c r="H794" t="s">
        <v>1020</v>
      </c>
      <c r="I794" t="str">
        <f t="shared" si="13"/>
        <v>af</v>
      </c>
      <c r="J794" t="str">
        <v>af</v>
      </c>
      <c r="K794" t="str">
        <f>IFERROR(_xlfn.XLOOKUP(TRIM(H794), M:M, N:N, "Not Found"), "Not Found")</f>
        <v>Intelligence based</v>
      </c>
      <c r="V794" t="s">
        <v>1006</v>
      </c>
      <c r="W794" t="s">
        <v>1007</v>
      </c>
      <c r="X794">
        <f>Z794</f>
        <v>3</v>
      </c>
      <c r="Z794">
        <f>IFERROR(_xlfn.XLOOKUP(TRIM(V793), M:M, O:O, "Not Found"), "Not Found")</f>
        <v>3</v>
      </c>
    </row>
    <row r="795" spans="8:26">
      <c r="H795" t="s">
        <v>1069</v>
      </c>
      <c r="I795" t="str">
        <f t="shared" si="13"/>
        <v>parole</v>
      </c>
      <c r="J795" t="str">
        <v>parole</v>
      </c>
      <c r="K795" t="str">
        <f>IFERROR(_xlfn.XLOOKUP(TRIM(H795), M:M, N:N, "Not Found"), "Not Found")</f>
        <v>Legality based</v>
      </c>
      <c r="V795" t="s">
        <v>1012</v>
      </c>
      <c r="W795" t="s">
        <v>1007</v>
      </c>
      <c r="X795">
        <f>Z795</f>
        <v>3</v>
      </c>
      <c r="Z795">
        <f>IFERROR(_xlfn.XLOOKUP(TRIM(V794), M:M, O:O, "Not Found"), "Not Found")</f>
        <v>3</v>
      </c>
    </row>
    <row r="796" spans="8:26">
      <c r="H796" t="s">
        <v>970</v>
      </c>
      <c r="I796" t="str">
        <f t="shared" si="13"/>
        <v>australian</v>
      </c>
      <c r="J796" t="str">
        <v>australian</v>
      </c>
      <c r="K796" t="str">
        <f>IFERROR(_xlfn.XLOOKUP(TRIM(H796), M:M, N:N, "Not Found"), "Not Found")</f>
        <v>Case Related</v>
      </c>
      <c r="V796" t="s">
        <v>1012</v>
      </c>
      <c r="W796" t="s">
        <v>1007</v>
      </c>
      <c r="X796">
        <f>Z796</f>
        <v>3</v>
      </c>
      <c r="Z796">
        <f>IFERROR(_xlfn.XLOOKUP(TRIM(V795), M:M, O:O, "Not Found"), "Not Found")</f>
        <v>3</v>
      </c>
    </row>
    <row r="797" spans="8:26">
      <c r="H797" t="s">
        <v>974</v>
      </c>
      <c r="I797" t="str">
        <f t="shared" si="13"/>
        <v>smuggling</v>
      </c>
      <c r="J797" t="str">
        <v>smuggling</v>
      </c>
      <c r="K797" t="str">
        <f>IFERROR(_xlfn.XLOOKUP(TRIM(H797), M:M, N:N, "Not Found"), "Not Found")</f>
        <v>Case Related</v>
      </c>
      <c r="V797" t="s">
        <v>1011</v>
      </c>
      <c r="W797" t="s">
        <v>1007</v>
      </c>
      <c r="X797">
        <f>Z797</f>
        <v>3</v>
      </c>
      <c r="Z797">
        <f>IFERROR(_xlfn.XLOOKUP(TRIM(V796), M:M, O:O, "Not Found"), "Not Found")</f>
        <v>3</v>
      </c>
    </row>
    <row r="798" spans="8:26">
      <c r="H798" t="s">
        <v>983</v>
      </c>
      <c r="I798" t="str">
        <f t="shared" si="13"/>
        <v>australia</v>
      </c>
      <c r="J798" t="str">
        <v>australia</v>
      </c>
      <c r="K798" t="str">
        <f>IFERROR(_xlfn.XLOOKUP(TRIM(H798), M:M, N:N, "Not Found"), "Not Found")</f>
        <v>Case Related</v>
      </c>
      <c r="V798" t="s">
        <v>1009</v>
      </c>
      <c r="W798" t="s">
        <v>1007</v>
      </c>
      <c r="X798">
        <f>Z798</f>
        <v>3</v>
      </c>
      <c r="Z798">
        <f>IFERROR(_xlfn.XLOOKUP(TRIM(V797), M:M, O:O, "Not Found"), "Not Found")</f>
        <v>3</v>
      </c>
    </row>
    <row r="799" spans="8:26">
      <c r="H799" t="s">
        <v>984</v>
      </c>
      <c r="I799" t="str">
        <f t="shared" si="13"/>
        <v>drugs</v>
      </c>
      <c r="J799" t="str">
        <v>drugs</v>
      </c>
      <c r="K799" t="str">
        <f>IFERROR(_xlfn.XLOOKUP(TRIM(H799), M:M, N:N, "Not Found"), "Not Found")</f>
        <v>Crime based</v>
      </c>
      <c r="V799" t="s">
        <v>1009</v>
      </c>
      <c r="W799" t="s">
        <v>1007</v>
      </c>
      <c r="X799">
        <f>Z799</f>
        <v>3</v>
      </c>
      <c r="Z799">
        <f>IFERROR(_xlfn.XLOOKUP(TRIM(V798), M:M, O:O, "Not Found"), "Not Found")</f>
        <v>3</v>
      </c>
    </row>
    <row r="800" spans="8:26">
      <c r="H800" t="s">
        <v>991</v>
      </c>
      <c r="I800" t="str">
        <f t="shared" si="13"/>
        <v>drug trafficking</v>
      </c>
      <c r="J800" t="str">
        <v>drug trafficking</v>
      </c>
      <c r="K800" t="str">
        <f>IFERROR(_xlfn.XLOOKUP(TRIM(H800), M:M, N:N, "Not Found"), "Not Found")</f>
        <v>Crime based</v>
      </c>
      <c r="V800" t="s">
        <v>1009</v>
      </c>
      <c r="W800" t="s">
        <v>1007</v>
      </c>
      <c r="X800">
        <f>Z800</f>
        <v>3</v>
      </c>
      <c r="Z800">
        <f>IFERROR(_xlfn.XLOOKUP(TRIM(V799), M:M, O:O, "Not Found"), "Not Found")</f>
        <v>3</v>
      </c>
    </row>
    <row r="801" spans="8:26">
      <c r="H801" t="s">
        <v>1006</v>
      </c>
      <c r="I801" t="str">
        <f t="shared" si="13"/>
        <v>idiot</v>
      </c>
      <c r="J801" t="str">
        <v>idiot</v>
      </c>
      <c r="K801" t="str">
        <f>IFERROR(_xlfn.XLOOKUP(TRIM(H801), M:M, N:N, "Not Found"), "Not Found")</f>
        <v>Intelligence based</v>
      </c>
      <c r="V801" t="s">
        <v>1009</v>
      </c>
      <c r="W801" t="s">
        <v>1007</v>
      </c>
      <c r="X801">
        <f>Z801</f>
        <v>3</v>
      </c>
      <c r="Z801">
        <f>IFERROR(_xlfn.XLOOKUP(TRIM(V800), M:M, O:O, "Not Found"), "Not Found")</f>
        <v>3</v>
      </c>
    </row>
    <row r="802" spans="8:26">
      <c r="H802" t="s">
        <v>1009</v>
      </c>
      <c r="I802" t="str">
        <f t="shared" si="13"/>
        <v>stupid</v>
      </c>
      <c r="J802" t="str">
        <v>stupid</v>
      </c>
      <c r="K802" t="str">
        <f>IFERROR(_xlfn.XLOOKUP(TRIM(H802), M:M, N:N, "Not Found"), "Not Found")</f>
        <v>Intelligence based</v>
      </c>
      <c r="V802" t="s">
        <v>1009</v>
      </c>
      <c r="W802" t="s">
        <v>1007</v>
      </c>
      <c r="X802">
        <f>Z802</f>
        <v>3</v>
      </c>
      <c r="Z802">
        <f>IFERROR(_xlfn.XLOOKUP(TRIM(V801), M:M, O:O, "Not Found"), "Not Found")</f>
        <v>3</v>
      </c>
    </row>
    <row r="803" spans="8:26">
      <c r="H803" t="s">
        <v>1020</v>
      </c>
      <c r="I803" t="str">
        <f t="shared" si="13"/>
        <v>af</v>
      </c>
      <c r="J803" t="str">
        <v>af</v>
      </c>
      <c r="K803" t="str">
        <f>IFERROR(_xlfn.XLOOKUP(TRIM(H803), M:M, N:N, "Not Found"), "Not Found")</f>
        <v>Intelligence based</v>
      </c>
      <c r="V803" t="s">
        <v>1064</v>
      </c>
      <c r="W803" t="s">
        <v>1058</v>
      </c>
      <c r="X803">
        <f>Z803</f>
        <v>3</v>
      </c>
      <c r="Z803">
        <f>IFERROR(_xlfn.XLOOKUP(TRIM(V802), M:M, O:O, "Not Found"), "Not Found")</f>
        <v>3</v>
      </c>
    </row>
    <row r="804" spans="8:26">
      <c r="H804" t="s">
        <v>1060</v>
      </c>
      <c r="I804" t="str">
        <f t="shared" si="13"/>
        <v>innocent</v>
      </c>
      <c r="J804" t="str">
        <v>innocent</v>
      </c>
      <c r="K804" t="str">
        <f>IFERROR(_xlfn.XLOOKUP(TRIM(H804), M:M, N:N, "Not Found"), "Not Found")</f>
        <v>Legality based</v>
      </c>
      <c r="V804" t="s">
        <v>1064</v>
      </c>
      <c r="W804" t="s">
        <v>1058</v>
      </c>
      <c r="X804">
        <f>Z804</f>
        <v>0</v>
      </c>
      <c r="Z804">
        <f>IFERROR(_xlfn.XLOOKUP(TRIM(V803), M:M, O:O, "Not Found"), "Not Found")</f>
        <v>0</v>
      </c>
    </row>
    <row r="805" spans="8:26">
      <c r="H805" t="s">
        <v>1069</v>
      </c>
      <c r="I805" t="str">
        <f t="shared" si="13"/>
        <v>parole</v>
      </c>
      <c r="J805" t="str">
        <v>parole</v>
      </c>
      <c r="K805" t="str">
        <f>IFERROR(_xlfn.XLOOKUP(TRIM(H805), M:M, N:N, "Not Found"), "Not Found")</f>
        <v>Legality based</v>
      </c>
      <c r="V805" t="s">
        <v>1064</v>
      </c>
      <c r="W805" t="s">
        <v>1058</v>
      </c>
      <c r="X805">
        <f>Z805</f>
        <v>0</v>
      </c>
      <c r="Z805">
        <f>IFERROR(_xlfn.XLOOKUP(TRIM(V804), M:M, O:O, "Not Found"), "Not Found")</f>
        <v>0</v>
      </c>
    </row>
    <row r="806" spans="8:26">
      <c r="H806" t="s">
        <v>968</v>
      </c>
      <c r="I806" t="str">
        <f t="shared" si="13"/>
        <v>boogie board</v>
      </c>
      <c r="J806" t="str">
        <v>boogie board</v>
      </c>
      <c r="K806" t="str">
        <f>IFERROR(_xlfn.XLOOKUP(TRIM(H806), M:M, N:N, "Not Found"), "Not Found")</f>
        <v>Case Related</v>
      </c>
      <c r="V806" t="s">
        <v>1064</v>
      </c>
      <c r="W806" t="s">
        <v>1058</v>
      </c>
      <c r="X806">
        <f>Z806</f>
        <v>0</v>
      </c>
      <c r="Z806">
        <f>IFERROR(_xlfn.XLOOKUP(TRIM(V805), M:M, O:O, "Not Found"), "Not Found")</f>
        <v>0</v>
      </c>
    </row>
    <row r="807" spans="8:26">
      <c r="H807" t="s">
        <v>968</v>
      </c>
      <c r="I807" t="str">
        <f t="shared" si="13"/>
        <v>boogie board</v>
      </c>
      <c r="J807" t="str">
        <v>boogie board</v>
      </c>
      <c r="K807" t="str">
        <f>IFERROR(_xlfn.XLOOKUP(TRIM(H807), M:M, N:N, "Not Found"), "Not Found")</f>
        <v>Case Related</v>
      </c>
      <c r="V807" t="s">
        <v>1064</v>
      </c>
      <c r="W807" t="s">
        <v>1058</v>
      </c>
      <c r="X807">
        <f>Z807</f>
        <v>0</v>
      </c>
      <c r="Z807">
        <f>IFERROR(_xlfn.XLOOKUP(TRIM(V806), M:M, O:O, "Not Found"), "Not Found")</f>
        <v>0</v>
      </c>
    </row>
    <row r="808" spans="8:26">
      <c r="H808" t="s">
        <v>1248</v>
      </c>
      <c r="I808" t="str">
        <f t="shared" si="13"/>
        <v>marijuana</v>
      </c>
      <c r="J808" t="str">
        <v>marijuana</v>
      </c>
      <c r="K808" t="str">
        <f>IFERROR(_xlfn.XLOOKUP(TRIM(H808), M:M, N:N, "Not Found"), "Not Found")</f>
        <v>Not Found</v>
      </c>
      <c r="V808" t="s">
        <v>1064</v>
      </c>
      <c r="W808" t="s">
        <v>1058</v>
      </c>
      <c r="X808">
        <f>Z808</f>
        <v>0</v>
      </c>
      <c r="Z808">
        <f>IFERROR(_xlfn.XLOOKUP(TRIM(V807), M:M, O:O, "Not Found"), "Not Found")</f>
        <v>0</v>
      </c>
    </row>
    <row r="809" spans="8:26">
      <c r="H809" t="s">
        <v>968</v>
      </c>
      <c r="I809" t="str">
        <f t="shared" si="13"/>
        <v>boogie board</v>
      </c>
      <c r="J809" t="str">
        <v>boogie board</v>
      </c>
      <c r="K809" t="str">
        <f>IFERROR(_xlfn.XLOOKUP(TRIM(H809), M:M, N:N, "Not Found"), "Not Found")</f>
        <v>Case Related</v>
      </c>
      <c r="V809" t="s">
        <v>1064</v>
      </c>
      <c r="W809" t="s">
        <v>1058</v>
      </c>
      <c r="X809">
        <f>Z809</f>
        <v>0</v>
      </c>
      <c r="Z809">
        <f>IFERROR(_xlfn.XLOOKUP(TRIM(V808), M:M, O:O, "Not Found"), "Not Found")</f>
        <v>0</v>
      </c>
    </row>
    <row r="810" spans="8:26">
      <c r="H810" t="s">
        <v>970</v>
      </c>
      <c r="I810" t="str">
        <f t="shared" si="13"/>
        <v>australian</v>
      </c>
      <c r="J810" t="str">
        <v>australian</v>
      </c>
      <c r="K810" t="str">
        <f>IFERROR(_xlfn.XLOOKUP(TRIM(H810), M:M, N:N, "Not Found"), "Not Found")</f>
        <v>Case Related</v>
      </c>
      <c r="V810" t="s">
        <v>1075</v>
      </c>
      <c r="W810" t="s">
        <v>1058</v>
      </c>
      <c r="X810">
        <f>Z810</f>
        <v>0</v>
      </c>
      <c r="Z810">
        <f>IFERROR(_xlfn.XLOOKUP(TRIM(V809), M:M, O:O, "Not Found"), "Not Found")</f>
        <v>0</v>
      </c>
    </row>
    <row r="811" spans="8:26">
      <c r="H811" t="s">
        <v>974</v>
      </c>
      <c r="I811" t="str">
        <f t="shared" si="13"/>
        <v>smuggling</v>
      </c>
      <c r="J811" t="str">
        <v>smuggling</v>
      </c>
      <c r="K811" t="str">
        <f>IFERROR(_xlfn.XLOOKUP(TRIM(H811), M:M, N:N, "Not Found"), "Not Found")</f>
        <v>Case Related</v>
      </c>
      <c r="V811" t="s">
        <v>1075</v>
      </c>
      <c r="W811" t="s">
        <v>1058</v>
      </c>
      <c r="X811">
        <f>Z811</f>
        <v>0</v>
      </c>
      <c r="Z811">
        <f>IFERROR(_xlfn.XLOOKUP(TRIM(V810), M:M, O:O, "Not Found"), "Not Found")</f>
        <v>0</v>
      </c>
    </row>
    <row r="812" spans="8:26">
      <c r="H812" t="s">
        <v>983</v>
      </c>
      <c r="I812" t="str">
        <f t="shared" si="13"/>
        <v>australia</v>
      </c>
      <c r="J812" t="str">
        <v>australia</v>
      </c>
      <c r="K812" t="str">
        <f>IFERROR(_xlfn.XLOOKUP(TRIM(H812), M:M, N:N, "Not Found"), "Not Found")</f>
        <v>Case Related</v>
      </c>
      <c r="V812" t="s">
        <v>1073</v>
      </c>
      <c r="W812" t="s">
        <v>1058</v>
      </c>
      <c r="X812">
        <f>Z812</f>
        <v>0</v>
      </c>
      <c r="Z812">
        <f>IFERROR(_xlfn.XLOOKUP(TRIM(V811), M:M, O:O, "Not Found"), "Not Found")</f>
        <v>0</v>
      </c>
    </row>
    <row r="813" spans="8:26">
      <c r="H813" t="s">
        <v>984</v>
      </c>
      <c r="I813" t="str">
        <f t="shared" si="13"/>
        <v>drugs</v>
      </c>
      <c r="J813" t="str">
        <v>drugs</v>
      </c>
      <c r="K813" t="str">
        <f>IFERROR(_xlfn.XLOOKUP(TRIM(H813), M:M, N:N, "Not Found"), "Not Found")</f>
        <v>Crime based</v>
      </c>
      <c r="V813" t="s">
        <v>1073</v>
      </c>
      <c r="W813" t="s">
        <v>1058</v>
      </c>
      <c r="X813">
        <f>Z813</f>
        <v>0</v>
      </c>
      <c r="Z813">
        <f>IFERROR(_xlfn.XLOOKUP(TRIM(V812), M:M, O:O, "Not Found"), "Not Found")</f>
        <v>0</v>
      </c>
    </row>
    <row r="814" spans="8:26">
      <c r="H814" t="s">
        <v>1020</v>
      </c>
      <c r="I814" t="str">
        <f t="shared" si="13"/>
        <v>af</v>
      </c>
      <c r="J814" t="str">
        <v>af</v>
      </c>
      <c r="K814" t="str">
        <f>IFERROR(_xlfn.XLOOKUP(TRIM(H814), M:M, N:N, "Not Found"), "Not Found")</f>
        <v>Intelligence based</v>
      </c>
      <c r="V814" t="s">
        <v>1073</v>
      </c>
      <c r="W814" t="s">
        <v>1058</v>
      </c>
      <c r="X814">
        <f>Z814</f>
        <v>0</v>
      </c>
      <c r="Z814">
        <f>IFERROR(_xlfn.XLOOKUP(TRIM(V813), M:M, O:O, "Not Found"), "Not Found")</f>
        <v>0</v>
      </c>
    </row>
    <row r="815" spans="8:26">
      <c r="H815" t="s">
        <v>1024</v>
      </c>
      <c r="I815" t="str">
        <f t="shared" si="13"/>
        <v>sister</v>
      </c>
      <c r="J815" t="str">
        <v>sister</v>
      </c>
      <c r="K815" t="str">
        <f>IFERROR(_xlfn.XLOOKUP(TRIM(H815), M:M, N:N, "Not Found"), "Not Found")</f>
        <v>Familial based</v>
      </c>
      <c r="V815" t="s">
        <v>1073</v>
      </c>
      <c r="W815" t="s">
        <v>1058</v>
      </c>
      <c r="X815">
        <f>Z815</f>
        <v>0</v>
      </c>
      <c r="Z815">
        <f>IFERROR(_xlfn.XLOOKUP(TRIM(V814), M:M, O:O, "Not Found"), "Not Found")</f>
        <v>0</v>
      </c>
    </row>
    <row r="816" spans="8:26">
      <c r="H816" t="s">
        <v>1025</v>
      </c>
      <c r="I816" t="str">
        <f t="shared" si="13"/>
        <v>sisters</v>
      </c>
      <c r="J816" t="str">
        <v>sisters</v>
      </c>
      <c r="K816" t="str">
        <f>IFERROR(_xlfn.XLOOKUP(TRIM(H816), M:M, N:N, "Not Found"), "Not Found")</f>
        <v>Familial based</v>
      </c>
      <c r="V816" t="s">
        <v>1073</v>
      </c>
      <c r="W816" t="s">
        <v>1058</v>
      </c>
      <c r="X816">
        <f>Z816</f>
        <v>0</v>
      </c>
      <c r="Z816">
        <f>IFERROR(_xlfn.XLOOKUP(TRIM(V815), M:M, O:O, "Not Found"), "Not Found")</f>
        <v>0</v>
      </c>
    </row>
    <row r="817" spans="8:26">
      <c r="H817" t="s">
        <v>1057</v>
      </c>
      <c r="I817" t="str">
        <f t="shared" si="13"/>
        <v>guilty</v>
      </c>
      <c r="J817" t="str">
        <v>guilty</v>
      </c>
      <c r="K817" t="str">
        <f>IFERROR(_xlfn.XLOOKUP(TRIM(H817), M:M, N:N, "Not Found"), "Not Found")</f>
        <v>Legality based</v>
      </c>
      <c r="V817" t="s">
        <v>1073</v>
      </c>
      <c r="W817" t="s">
        <v>1058</v>
      </c>
      <c r="X817">
        <f>Z817</f>
        <v>0</v>
      </c>
      <c r="Z817">
        <f>IFERROR(_xlfn.XLOOKUP(TRIM(V816), M:M, O:O, "Not Found"), "Not Found")</f>
        <v>0</v>
      </c>
    </row>
    <row r="818" spans="8:26">
      <c r="H818" t="s">
        <v>1001</v>
      </c>
      <c r="I818" t="str">
        <f t="shared" si="13"/>
        <v>proof</v>
      </c>
      <c r="J818" t="str">
        <v>proof</v>
      </c>
      <c r="K818" t="str">
        <f>IFERROR(_xlfn.XLOOKUP(TRIM(H818), M:M, N:N, "Not Found"), "Not Found")</f>
        <v>Crime based</v>
      </c>
      <c r="V818" t="s">
        <v>1073</v>
      </c>
      <c r="W818" t="s">
        <v>1058</v>
      </c>
      <c r="X818">
        <f>Z818</f>
        <v>0</v>
      </c>
      <c r="Z818">
        <f>IFERROR(_xlfn.XLOOKUP(TRIM(V817), M:M, O:O, "Not Found"), "Not Found")</f>
        <v>0</v>
      </c>
    </row>
    <row r="819" spans="8:26">
      <c r="H819" t="s">
        <v>1057</v>
      </c>
      <c r="I819" t="str">
        <f t="shared" si="13"/>
        <v>guilty</v>
      </c>
      <c r="J819" t="str">
        <v>guilty</v>
      </c>
      <c r="K819" t="str">
        <f>IFERROR(_xlfn.XLOOKUP(TRIM(H819), M:M, N:N, "Not Found"), "Not Found")</f>
        <v>Legality based</v>
      </c>
      <c r="V819" t="s">
        <v>1073</v>
      </c>
      <c r="W819" t="s">
        <v>1058</v>
      </c>
      <c r="X819">
        <f>Z819</f>
        <v>0</v>
      </c>
      <c r="Z819">
        <f>IFERROR(_xlfn.XLOOKUP(TRIM(V818), M:M, O:O, "Not Found"), "Not Found")</f>
        <v>0</v>
      </c>
    </row>
    <row r="820" spans="8:26">
      <c r="H820" t="s">
        <v>1001</v>
      </c>
      <c r="I820" t="str">
        <f t="shared" si="13"/>
        <v>proof</v>
      </c>
      <c r="J820" t="str">
        <v>proof</v>
      </c>
      <c r="K820" t="str">
        <f>IFERROR(_xlfn.XLOOKUP(TRIM(H820), M:M, N:N, "Not Found"), "Not Found")</f>
        <v>Crime based</v>
      </c>
      <c r="V820" t="s">
        <v>1073</v>
      </c>
      <c r="W820" t="s">
        <v>1058</v>
      </c>
      <c r="X820">
        <f>Z820</f>
        <v>0</v>
      </c>
      <c r="Z820">
        <f>IFERROR(_xlfn.XLOOKUP(TRIM(V819), M:M, O:O, "Not Found"), "Not Found")</f>
        <v>0</v>
      </c>
    </row>
    <row r="821" spans="8:26">
      <c r="H821" t="s">
        <v>1057</v>
      </c>
      <c r="I821" t="str">
        <f t="shared" si="13"/>
        <v>guilty</v>
      </c>
      <c r="J821" t="str">
        <v>guilty</v>
      </c>
      <c r="K821" t="str">
        <f>IFERROR(_xlfn.XLOOKUP(TRIM(H821), M:M, N:N, "Not Found"), "Not Found")</f>
        <v>Legality based</v>
      </c>
      <c r="V821" t="s">
        <v>1073</v>
      </c>
      <c r="W821" t="s">
        <v>1058</v>
      </c>
      <c r="X821">
        <f>Z821</f>
        <v>0</v>
      </c>
      <c r="Z821">
        <f>IFERROR(_xlfn.XLOOKUP(TRIM(V820), M:M, O:O, "Not Found"), "Not Found")</f>
        <v>0</v>
      </c>
    </row>
    <row r="822" spans="8:26">
      <c r="H822" t="s">
        <v>993</v>
      </c>
      <c r="I822" t="str">
        <f t="shared" si="13"/>
        <v>possession</v>
      </c>
      <c r="J822" t="str">
        <v>possession</v>
      </c>
      <c r="K822" t="str">
        <f>IFERROR(_xlfn.XLOOKUP(TRIM(H822), M:M, N:N, "Not Found"), "Not Found")</f>
        <v>Crime based</v>
      </c>
      <c r="V822" t="s">
        <v>1073</v>
      </c>
      <c r="W822" t="s">
        <v>1058</v>
      </c>
      <c r="X822">
        <f>Z822</f>
        <v>0</v>
      </c>
      <c r="Z822">
        <f>IFERROR(_xlfn.XLOOKUP(TRIM(V821), M:M, O:O, "Not Found"), "Not Found")</f>
        <v>0</v>
      </c>
    </row>
    <row r="823" spans="8:26">
      <c r="H823" t="s">
        <v>1028</v>
      </c>
      <c r="I823" t="str">
        <f t="shared" si="13"/>
        <v>corby</v>
      </c>
      <c r="J823" t="str">
        <v>corby</v>
      </c>
      <c r="K823" t="str">
        <f>IFERROR(_xlfn.XLOOKUP(TRIM(H823), M:M, N:N, "Not Found"), "Not Found")</f>
        <v>Familial based</v>
      </c>
      <c r="V823" t="s">
        <v>1073</v>
      </c>
      <c r="W823" t="s">
        <v>1058</v>
      </c>
      <c r="X823">
        <f>Z823</f>
        <v>0</v>
      </c>
      <c r="Z823">
        <f>IFERROR(_xlfn.XLOOKUP(TRIM(V822), M:M, O:O, "Not Found"), "Not Found")</f>
        <v>0</v>
      </c>
    </row>
    <row r="824" spans="8:26">
      <c r="H824" t="s">
        <v>1057</v>
      </c>
      <c r="I824" t="str">
        <f t="shared" si="13"/>
        <v>guilty</v>
      </c>
      <c r="J824" t="str">
        <v>guilty</v>
      </c>
      <c r="K824" t="str">
        <f>IFERROR(_xlfn.XLOOKUP(TRIM(H824), M:M, N:N, "Not Found"), "Not Found")</f>
        <v>Legality based</v>
      </c>
      <c r="V824" t="s">
        <v>1073</v>
      </c>
      <c r="W824" t="s">
        <v>1058</v>
      </c>
      <c r="X824">
        <f>Z824</f>
        <v>0</v>
      </c>
      <c r="Z824">
        <f>IFERROR(_xlfn.XLOOKUP(TRIM(V823), M:M, O:O, "Not Found"), "Not Found")</f>
        <v>0</v>
      </c>
    </row>
    <row r="825" spans="8:26">
      <c r="H825" t="s">
        <v>1064</v>
      </c>
      <c r="I825" t="str">
        <f t="shared" si="13"/>
        <v>arrested</v>
      </c>
      <c r="J825" t="str">
        <v>arrested</v>
      </c>
      <c r="K825" t="str">
        <f>IFERROR(_xlfn.XLOOKUP(TRIM(H825), M:M, N:N, "Not Found"), "Not Found")</f>
        <v>Legality based</v>
      </c>
      <c r="V825" t="s">
        <v>1073</v>
      </c>
      <c r="W825" t="s">
        <v>1058</v>
      </c>
      <c r="X825">
        <f>Z825</f>
        <v>0</v>
      </c>
      <c r="Z825">
        <f>IFERROR(_xlfn.XLOOKUP(TRIM(V824), M:M, O:O, "Not Found"), "Not Found")</f>
        <v>0</v>
      </c>
    </row>
    <row r="826" spans="8:26">
      <c r="H826" t="s">
        <v>1244</v>
      </c>
      <c r="I826" t="str">
        <f t="shared" si="13"/>
        <v>law</v>
      </c>
      <c r="J826" t="str">
        <v>law</v>
      </c>
      <c r="K826" t="str">
        <f>IFERROR(_xlfn.XLOOKUP(TRIM(H826), M:M, N:N, "Not Found"), "Not Found")</f>
        <v>Not Found</v>
      </c>
      <c r="V826" t="s">
        <v>1073</v>
      </c>
      <c r="W826" t="s">
        <v>1058</v>
      </c>
      <c r="X826">
        <f>Z826</f>
        <v>0</v>
      </c>
      <c r="Z826">
        <f>IFERROR(_xlfn.XLOOKUP(TRIM(V825), M:M, O:O, "Not Found"), "Not Found")</f>
        <v>0</v>
      </c>
    </row>
    <row r="827" spans="8:26">
      <c r="H827" t="s">
        <v>1020</v>
      </c>
      <c r="I827" t="str">
        <f t="shared" si="13"/>
        <v>af</v>
      </c>
      <c r="J827" t="str">
        <v>af</v>
      </c>
      <c r="K827" t="str">
        <f>IFERROR(_xlfn.XLOOKUP(TRIM(H827), M:M, N:N, "Not Found"), "Not Found")</f>
        <v>Intelligence based</v>
      </c>
      <c r="V827" t="s">
        <v>1073</v>
      </c>
      <c r="W827" t="s">
        <v>1058</v>
      </c>
      <c r="X827">
        <f>Z827</f>
        <v>0</v>
      </c>
      <c r="Z827">
        <f>IFERROR(_xlfn.XLOOKUP(TRIM(V826), M:M, O:O, "Not Found"), "Not Found")</f>
        <v>0</v>
      </c>
    </row>
    <row r="828" spans="8:26">
      <c r="H828" t="s">
        <v>1013</v>
      </c>
      <c r="I828" t="str">
        <f t="shared" si="13"/>
        <v>fucked</v>
      </c>
      <c r="J828" t="str">
        <v>fucked</v>
      </c>
      <c r="K828" t="str">
        <f>IFERROR(_xlfn.XLOOKUP(TRIM(H828), M:M, N:N, "Not Found"), "Not Found")</f>
        <v>Intelligence based</v>
      </c>
      <c r="V828" t="s">
        <v>1073</v>
      </c>
      <c r="W828" t="s">
        <v>1058</v>
      </c>
      <c r="X828">
        <f>Z828</f>
        <v>0</v>
      </c>
      <c r="Z828">
        <f>IFERROR(_xlfn.XLOOKUP(TRIM(V827), M:M, O:O, "Not Found"), "Not Found")</f>
        <v>0</v>
      </c>
    </row>
    <row r="829" spans="8:26">
      <c r="H829" t="s">
        <v>1020</v>
      </c>
      <c r="I829" t="str">
        <f t="shared" si="13"/>
        <v>af</v>
      </c>
      <c r="J829" t="str">
        <v>af</v>
      </c>
      <c r="K829" t="str">
        <f>IFERROR(_xlfn.XLOOKUP(TRIM(H829), M:M, N:N, "Not Found"), "Not Found")</f>
        <v>Intelligence based</v>
      </c>
      <c r="V829" t="s">
        <v>1073</v>
      </c>
      <c r="W829" t="s">
        <v>1058</v>
      </c>
      <c r="X829">
        <f>Z829</f>
        <v>0</v>
      </c>
      <c r="Z829">
        <f>IFERROR(_xlfn.XLOOKUP(TRIM(V828), M:M, O:O, "Not Found"), "Not Found")</f>
        <v>0</v>
      </c>
    </row>
    <row r="830" spans="8:26">
      <c r="H830" t="s">
        <v>965</v>
      </c>
      <c r="I830" t="str">
        <f t="shared" si="13"/>
        <v>schapelle corby</v>
      </c>
      <c r="J830" t="str">
        <v>schapelle corby</v>
      </c>
      <c r="K830" t="str">
        <f>IFERROR(_xlfn.XLOOKUP(TRIM(H830), M:M, N:N, "Not Found"), "Not Found")</f>
        <v>Case Related</v>
      </c>
      <c r="V830" t="s">
        <v>1073</v>
      </c>
      <c r="W830" t="s">
        <v>1058</v>
      </c>
      <c r="X830">
        <f>Z830</f>
        <v>0</v>
      </c>
      <c r="Z830">
        <f>IFERROR(_xlfn.XLOOKUP(TRIM(V829), M:M, O:O, "Not Found"), "Not Found")</f>
        <v>0</v>
      </c>
    </row>
    <row r="831" spans="8:26">
      <c r="H831" t="s">
        <v>1020</v>
      </c>
      <c r="I831" t="str">
        <f t="shared" si="13"/>
        <v>af</v>
      </c>
      <c r="J831" t="str">
        <v>af</v>
      </c>
      <c r="K831" t="str">
        <f>IFERROR(_xlfn.XLOOKUP(TRIM(H831), M:M, N:N, "Not Found"), "Not Found")</f>
        <v>Intelligence based</v>
      </c>
      <c r="V831" t="s">
        <v>1077</v>
      </c>
      <c r="W831" t="s">
        <v>1058</v>
      </c>
      <c r="X831">
        <f>Z831</f>
        <v>0</v>
      </c>
      <c r="Z831">
        <f>IFERROR(_xlfn.XLOOKUP(TRIM(V830), M:M, O:O, "Not Found"), "Not Found")</f>
        <v>0</v>
      </c>
    </row>
    <row r="832" spans="8:26">
      <c r="H832" t="s">
        <v>1028</v>
      </c>
      <c r="I832" t="str">
        <f t="shared" si="13"/>
        <v>corby</v>
      </c>
      <c r="J832" t="str">
        <v>corby</v>
      </c>
      <c r="K832" t="str">
        <f>IFERROR(_xlfn.XLOOKUP(TRIM(H832), M:M, N:N, "Not Found"), "Not Found")</f>
        <v>Familial based</v>
      </c>
      <c r="V832" t="s">
        <v>1077</v>
      </c>
      <c r="W832" t="s">
        <v>1058</v>
      </c>
      <c r="X832">
        <f>Z832</f>
        <v>0</v>
      </c>
      <c r="Z832">
        <f>IFERROR(_xlfn.XLOOKUP(TRIM(V831), M:M, O:O, "Not Found"), "Not Found")</f>
        <v>0</v>
      </c>
    </row>
    <row r="833" spans="8:26">
      <c r="H833" t="s">
        <v>1069</v>
      </c>
      <c r="I833" t="str">
        <f t="shared" si="13"/>
        <v>parole</v>
      </c>
      <c r="J833" t="str">
        <v>parole</v>
      </c>
      <c r="K833" t="str">
        <f>IFERROR(_xlfn.XLOOKUP(TRIM(H833), M:M, N:N, "Not Found"), "Not Found")</f>
        <v>Legality based</v>
      </c>
      <c r="V833" t="s">
        <v>1057</v>
      </c>
      <c r="W833" t="s">
        <v>1058</v>
      </c>
      <c r="X833">
        <f>Z833</f>
        <v>0</v>
      </c>
      <c r="Z833">
        <f>IFERROR(_xlfn.XLOOKUP(TRIM(V832), M:M, O:O, "Not Found"), "Not Found")</f>
        <v>0</v>
      </c>
    </row>
    <row r="834" spans="8:26">
      <c r="H834" t="s">
        <v>1073</v>
      </c>
      <c r="I834" t="str">
        <f t="shared" si="13"/>
        <v>convicted</v>
      </c>
      <c r="J834" t="str">
        <v>convicted</v>
      </c>
      <c r="K834" t="str">
        <f>IFERROR(_xlfn.XLOOKUP(TRIM(H834), M:M, N:N, "Not Found"), "Not Found")</f>
        <v>Legality based</v>
      </c>
      <c r="V834" t="s">
        <v>1057</v>
      </c>
      <c r="W834" t="s">
        <v>1058</v>
      </c>
      <c r="X834">
        <f>Z834</f>
        <v>0</v>
      </c>
      <c r="Z834">
        <f>IFERROR(_xlfn.XLOOKUP(TRIM(V833), M:M, O:O, "Not Found"), "Not Found")</f>
        <v>0</v>
      </c>
    </row>
    <row r="835" spans="8:26">
      <c r="H835" t="s">
        <v>965</v>
      </c>
      <c r="I835" t="str">
        <f t="shared" si="13"/>
        <v>schapelle corby</v>
      </c>
      <c r="J835" t="str">
        <v>schapelle corby</v>
      </c>
      <c r="K835" t="str">
        <f>IFERROR(_xlfn.XLOOKUP(TRIM(H835), M:M, N:N, "Not Found"), "Not Found")</f>
        <v>Case Related</v>
      </c>
      <c r="V835" t="s">
        <v>1057</v>
      </c>
      <c r="W835" t="s">
        <v>1058</v>
      </c>
      <c r="X835">
        <f>Z835</f>
        <v>0</v>
      </c>
      <c r="Z835">
        <f>IFERROR(_xlfn.XLOOKUP(TRIM(V834), M:M, O:O, "Not Found"), "Not Found")</f>
        <v>0</v>
      </c>
    </row>
    <row r="836" spans="8:26">
      <c r="H836" t="s">
        <v>968</v>
      </c>
      <c r="I836" t="str">
        <f t="shared" ref="I836:I899" si="14">TRIM(LOWER(H836))</f>
        <v>boogie board</v>
      </c>
      <c r="J836" t="str">
        <v>boogie board</v>
      </c>
      <c r="K836" t="str">
        <f>IFERROR(_xlfn.XLOOKUP(TRIM(H836), M:M, N:N, "Not Found"), "Not Found")</f>
        <v>Case Related</v>
      </c>
      <c r="V836" t="s">
        <v>1057</v>
      </c>
      <c r="W836" t="s">
        <v>1058</v>
      </c>
      <c r="X836">
        <f>Z836</f>
        <v>0</v>
      </c>
      <c r="Z836">
        <f>IFERROR(_xlfn.XLOOKUP(TRIM(V835), M:M, O:O, "Not Found"), "Not Found")</f>
        <v>0</v>
      </c>
    </row>
    <row r="837" spans="8:26">
      <c r="H837" t="s">
        <v>970</v>
      </c>
      <c r="I837" t="str">
        <f t="shared" si="14"/>
        <v>australian</v>
      </c>
      <c r="J837" t="str">
        <v>australian</v>
      </c>
      <c r="K837" t="str">
        <f>IFERROR(_xlfn.XLOOKUP(TRIM(H837), M:M, N:N, "Not Found"), "Not Found")</f>
        <v>Case Related</v>
      </c>
      <c r="V837" t="s">
        <v>1057</v>
      </c>
      <c r="W837" t="s">
        <v>1058</v>
      </c>
      <c r="X837">
        <f>Z837</f>
        <v>0</v>
      </c>
      <c r="Z837">
        <f>IFERROR(_xlfn.XLOOKUP(TRIM(V836), M:M, O:O, "Not Found"), "Not Found")</f>
        <v>0</v>
      </c>
    </row>
    <row r="838" spans="8:26">
      <c r="H838" t="s">
        <v>1239</v>
      </c>
      <c r="I838" t="str">
        <f t="shared" si="14"/>
        <v>indonesia</v>
      </c>
      <c r="J838" t="str">
        <v>indonesia</v>
      </c>
      <c r="K838" t="str">
        <f>IFERROR(_xlfn.XLOOKUP(TRIM(H838), M:M, N:N, "Not Found"), "Not Found")</f>
        <v>Not Found</v>
      </c>
      <c r="V838" t="s">
        <v>1057</v>
      </c>
      <c r="W838" t="s">
        <v>1058</v>
      </c>
      <c r="X838">
        <f>Z838</f>
        <v>0</v>
      </c>
      <c r="Z838">
        <f>IFERROR(_xlfn.XLOOKUP(TRIM(V837), M:M, O:O, "Not Found"), "Not Found")</f>
        <v>0</v>
      </c>
    </row>
    <row r="839" spans="8:26">
      <c r="H839" t="s">
        <v>983</v>
      </c>
      <c r="I839" t="str">
        <f t="shared" si="14"/>
        <v>australia</v>
      </c>
      <c r="J839" t="str">
        <v>australia</v>
      </c>
      <c r="K839" t="str">
        <f>IFERROR(_xlfn.XLOOKUP(TRIM(H839), M:M, N:N, "Not Found"), "Not Found")</f>
        <v>Case Related</v>
      </c>
      <c r="V839" t="s">
        <v>1057</v>
      </c>
      <c r="W839" t="s">
        <v>1058</v>
      </c>
      <c r="X839">
        <f>Z839</f>
        <v>0</v>
      </c>
      <c r="Z839">
        <f>IFERROR(_xlfn.XLOOKUP(TRIM(V838), M:M, O:O, "Not Found"), "Not Found")</f>
        <v>0</v>
      </c>
    </row>
    <row r="840" spans="8:26">
      <c r="H840" t="s">
        <v>990</v>
      </c>
      <c r="I840" t="str">
        <f t="shared" si="14"/>
        <v>trafficker</v>
      </c>
      <c r="J840" t="str">
        <v>trafficker</v>
      </c>
      <c r="K840" t="str">
        <f>IFERROR(_xlfn.XLOOKUP(TRIM(H840), M:M, N:N, "Not Found"), "Not Found")</f>
        <v>Crime based</v>
      </c>
      <c r="V840" t="s">
        <v>1057</v>
      </c>
      <c r="W840" t="s">
        <v>1058</v>
      </c>
      <c r="X840">
        <f>Z840</f>
        <v>0</v>
      </c>
      <c r="Z840">
        <f>IFERROR(_xlfn.XLOOKUP(TRIM(V839), M:M, O:O, "Not Found"), "Not Found")</f>
        <v>0</v>
      </c>
    </row>
    <row r="841" spans="8:26">
      <c r="H841" t="s">
        <v>1248</v>
      </c>
      <c r="I841" t="str">
        <f t="shared" si="14"/>
        <v>marijuana</v>
      </c>
      <c r="J841" t="str">
        <v>marijuana</v>
      </c>
      <c r="K841" t="str">
        <f>IFERROR(_xlfn.XLOOKUP(TRIM(H841), M:M, N:N, "Not Found"), "Not Found")</f>
        <v>Not Found</v>
      </c>
      <c r="V841" t="s">
        <v>1057</v>
      </c>
      <c r="W841" t="s">
        <v>1058</v>
      </c>
      <c r="X841">
        <f>Z841</f>
        <v>0</v>
      </c>
      <c r="Z841">
        <f>IFERROR(_xlfn.XLOOKUP(TRIM(V840), M:M, O:O, "Not Found"), "Not Found")</f>
        <v>0</v>
      </c>
    </row>
    <row r="842" spans="8:26">
      <c r="H842" t="s">
        <v>996</v>
      </c>
      <c r="I842" t="str">
        <f t="shared" si="14"/>
        <v>jail</v>
      </c>
      <c r="J842" t="str">
        <v>jail</v>
      </c>
      <c r="K842" t="str">
        <f>IFERROR(_xlfn.XLOOKUP(TRIM(H842), M:M, N:N, "Not Found"), "Not Found")</f>
        <v>Crime based</v>
      </c>
      <c r="V842" t="s">
        <v>1057</v>
      </c>
      <c r="W842" t="s">
        <v>1058</v>
      </c>
      <c r="X842">
        <f>Z842</f>
        <v>0</v>
      </c>
      <c r="Z842">
        <f>IFERROR(_xlfn.XLOOKUP(TRIM(V841), M:M, O:O, "Not Found"), "Not Found")</f>
        <v>0</v>
      </c>
    </row>
    <row r="843" spans="8:26">
      <c r="H843" t="s">
        <v>1020</v>
      </c>
      <c r="I843" t="str">
        <f t="shared" si="14"/>
        <v>af</v>
      </c>
      <c r="J843" t="str">
        <v>af</v>
      </c>
      <c r="K843" t="str">
        <f>IFERROR(_xlfn.XLOOKUP(TRIM(H843), M:M, N:N, "Not Found"), "Not Found")</f>
        <v>Intelligence based</v>
      </c>
      <c r="V843" t="s">
        <v>1057</v>
      </c>
      <c r="W843" t="s">
        <v>1058</v>
      </c>
      <c r="X843">
        <f>Z843</f>
        <v>0</v>
      </c>
      <c r="Z843">
        <f>IFERROR(_xlfn.XLOOKUP(TRIM(V842), M:M, O:O, "Not Found"), "Not Found")</f>
        <v>0</v>
      </c>
    </row>
    <row r="844" spans="8:26">
      <c r="H844" t="s">
        <v>1028</v>
      </c>
      <c r="I844" t="str">
        <f t="shared" si="14"/>
        <v>corby</v>
      </c>
      <c r="J844" t="str">
        <v>corby</v>
      </c>
      <c r="K844" t="str">
        <f>IFERROR(_xlfn.XLOOKUP(TRIM(H844), M:M, N:N, "Not Found"), "Not Found")</f>
        <v>Familial based</v>
      </c>
      <c r="V844" t="s">
        <v>1057</v>
      </c>
      <c r="W844" t="s">
        <v>1058</v>
      </c>
      <c r="X844">
        <f>Z844</f>
        <v>0</v>
      </c>
      <c r="Z844">
        <f>IFERROR(_xlfn.XLOOKUP(TRIM(V843), M:M, O:O, "Not Found"), "Not Found")</f>
        <v>0</v>
      </c>
    </row>
    <row r="845" spans="8:26">
      <c r="H845" t="s">
        <v>1061</v>
      </c>
      <c r="I845" t="str">
        <f t="shared" si="14"/>
        <v>sentenced</v>
      </c>
      <c r="J845" t="str">
        <v>sentenced</v>
      </c>
      <c r="K845" t="str">
        <f>IFERROR(_xlfn.XLOOKUP(TRIM(H845), M:M, N:N, "Not Found"), "Not Found")</f>
        <v>Legality based</v>
      </c>
      <c r="V845" t="s">
        <v>1057</v>
      </c>
      <c r="W845" t="s">
        <v>1058</v>
      </c>
      <c r="X845">
        <f>Z845</f>
        <v>0</v>
      </c>
      <c r="Z845">
        <f>IFERROR(_xlfn.XLOOKUP(TRIM(V844), M:M, O:O, "Not Found"), "Not Found")</f>
        <v>0</v>
      </c>
    </row>
    <row r="846" spans="8:26">
      <c r="H846" t="s">
        <v>965</v>
      </c>
      <c r="I846" t="str">
        <f t="shared" si="14"/>
        <v>schapelle corby</v>
      </c>
      <c r="J846" t="str">
        <v>schapelle corby</v>
      </c>
      <c r="K846" t="str">
        <f>IFERROR(_xlfn.XLOOKUP(TRIM(H846), M:M, N:N, "Not Found"), "Not Found")</f>
        <v>Case Related</v>
      </c>
      <c r="V846" t="s">
        <v>1057</v>
      </c>
      <c r="W846" t="s">
        <v>1058</v>
      </c>
      <c r="X846">
        <f>Z846</f>
        <v>0</v>
      </c>
      <c r="Z846">
        <f>IFERROR(_xlfn.XLOOKUP(TRIM(V845), M:M, O:O, "Not Found"), "Not Found")</f>
        <v>0</v>
      </c>
    </row>
    <row r="847" spans="8:26">
      <c r="H847" t="s">
        <v>972</v>
      </c>
      <c r="I847" t="str">
        <f t="shared" si="14"/>
        <v>cannabis</v>
      </c>
      <c r="J847" t="str">
        <v>cannabis</v>
      </c>
      <c r="K847" t="str">
        <f>IFERROR(_xlfn.XLOOKUP(TRIM(H847), M:M, N:N, "Not Found"), "Not Found")</f>
        <v>Case Related</v>
      </c>
      <c r="V847" t="s">
        <v>1057</v>
      </c>
      <c r="W847" t="s">
        <v>1058</v>
      </c>
      <c r="X847">
        <f>Z847</f>
        <v>0</v>
      </c>
      <c r="Z847">
        <f>IFERROR(_xlfn.XLOOKUP(TRIM(V846), M:M, O:O, "Not Found"), "Not Found")</f>
        <v>0</v>
      </c>
    </row>
    <row r="848" spans="8:26">
      <c r="H848" t="s">
        <v>974</v>
      </c>
      <c r="I848" t="str">
        <f t="shared" si="14"/>
        <v>smuggling</v>
      </c>
      <c r="J848" t="str">
        <v>smuggling</v>
      </c>
      <c r="K848" t="str">
        <f>IFERROR(_xlfn.XLOOKUP(TRIM(H848), M:M, N:N, "Not Found"), "Not Found")</f>
        <v>Case Related</v>
      </c>
      <c r="V848" t="s">
        <v>1057</v>
      </c>
      <c r="W848" t="s">
        <v>1058</v>
      </c>
      <c r="X848">
        <f>Z848</f>
        <v>0</v>
      </c>
      <c r="Z848">
        <f>IFERROR(_xlfn.XLOOKUP(TRIM(V847), M:M, O:O, "Not Found"), "Not Found")</f>
        <v>0</v>
      </c>
    </row>
    <row r="849" spans="8:26">
      <c r="H849" t="s">
        <v>1239</v>
      </c>
      <c r="I849" t="str">
        <f t="shared" si="14"/>
        <v>indonesia</v>
      </c>
      <c r="J849" t="str">
        <v>indonesia</v>
      </c>
      <c r="K849" t="str">
        <f>IFERROR(_xlfn.XLOOKUP(TRIM(H849), M:M, N:N, "Not Found"), "Not Found")</f>
        <v>Not Found</v>
      </c>
      <c r="V849" t="s">
        <v>1057</v>
      </c>
      <c r="W849" t="s">
        <v>1058</v>
      </c>
      <c r="X849">
        <f>Z849</f>
        <v>0</v>
      </c>
      <c r="Z849">
        <f>IFERROR(_xlfn.XLOOKUP(TRIM(V848), M:M, O:O, "Not Found"), "Not Found")</f>
        <v>0</v>
      </c>
    </row>
    <row r="850" spans="8:26">
      <c r="H850" t="s">
        <v>972</v>
      </c>
      <c r="I850" t="str">
        <f t="shared" si="14"/>
        <v>cannabis</v>
      </c>
      <c r="J850" t="str">
        <v>cannabis</v>
      </c>
      <c r="K850" t="str">
        <f>IFERROR(_xlfn.XLOOKUP(TRIM(H850), M:M, N:N, "Not Found"), "Not Found")</f>
        <v>Case Related</v>
      </c>
      <c r="V850" t="s">
        <v>1057</v>
      </c>
      <c r="W850" t="s">
        <v>1058</v>
      </c>
      <c r="X850">
        <f>Z850</f>
        <v>0</v>
      </c>
      <c r="Z850">
        <f>IFERROR(_xlfn.XLOOKUP(TRIM(V849), M:M, O:O, "Not Found"), "Not Found")</f>
        <v>0</v>
      </c>
    </row>
    <row r="851" spans="8:26">
      <c r="H851" t="s">
        <v>1020</v>
      </c>
      <c r="I851" t="str">
        <f t="shared" si="14"/>
        <v>af</v>
      </c>
      <c r="J851" t="str">
        <v>af</v>
      </c>
      <c r="K851" t="str">
        <f>IFERROR(_xlfn.XLOOKUP(TRIM(H851), M:M, N:N, "Not Found"), "Not Found")</f>
        <v>Intelligence based</v>
      </c>
      <c r="V851" t="s">
        <v>1057</v>
      </c>
      <c r="W851" t="s">
        <v>1058</v>
      </c>
      <c r="X851">
        <f>Z851</f>
        <v>0</v>
      </c>
      <c r="Z851">
        <f>IFERROR(_xlfn.XLOOKUP(TRIM(V850), M:M, O:O, "Not Found"), "Not Found")</f>
        <v>0</v>
      </c>
    </row>
    <row r="852" spans="8:26">
      <c r="H852" t="s">
        <v>1028</v>
      </c>
      <c r="I852" t="str">
        <f t="shared" si="14"/>
        <v>corby</v>
      </c>
      <c r="J852" t="str">
        <v>corby</v>
      </c>
      <c r="K852" t="str">
        <f>IFERROR(_xlfn.XLOOKUP(TRIM(H852), M:M, N:N, "Not Found"), "Not Found")</f>
        <v>Familial based</v>
      </c>
      <c r="V852" t="s">
        <v>1057</v>
      </c>
      <c r="W852" t="s">
        <v>1058</v>
      </c>
      <c r="X852">
        <f>Z852</f>
        <v>0</v>
      </c>
      <c r="Z852">
        <f>IFERROR(_xlfn.XLOOKUP(TRIM(V851), M:M, O:O, "Not Found"), "Not Found")</f>
        <v>0</v>
      </c>
    </row>
    <row r="853" spans="8:26">
      <c r="H853" t="s">
        <v>1073</v>
      </c>
      <c r="I853" t="str">
        <f t="shared" si="14"/>
        <v>convicted</v>
      </c>
      <c r="J853" t="str">
        <v>convicted</v>
      </c>
      <c r="K853" t="str">
        <f>IFERROR(_xlfn.XLOOKUP(TRIM(H853), M:M, N:N, "Not Found"), "Not Found")</f>
        <v>Legality based</v>
      </c>
      <c r="V853" t="s">
        <v>1057</v>
      </c>
      <c r="W853" t="s">
        <v>1058</v>
      </c>
      <c r="X853">
        <f>Z853</f>
        <v>0</v>
      </c>
      <c r="Z853">
        <f>IFERROR(_xlfn.XLOOKUP(TRIM(V852), M:M, O:O, "Not Found"), "Not Found")</f>
        <v>0</v>
      </c>
    </row>
    <row r="854" spans="8:26">
      <c r="H854" t="s">
        <v>965</v>
      </c>
      <c r="I854" t="str">
        <f t="shared" si="14"/>
        <v>schapelle corby</v>
      </c>
      <c r="J854" t="str">
        <v>schapelle corby</v>
      </c>
      <c r="K854" t="str">
        <f>IFERROR(_xlfn.XLOOKUP(TRIM(H854), M:M, N:N, "Not Found"), "Not Found")</f>
        <v>Case Related</v>
      </c>
      <c r="V854" t="s">
        <v>1057</v>
      </c>
      <c r="W854" t="s">
        <v>1058</v>
      </c>
      <c r="X854">
        <f>Z854</f>
        <v>0</v>
      </c>
      <c r="Z854">
        <f>IFERROR(_xlfn.XLOOKUP(TRIM(V853), M:M, O:O, "Not Found"), "Not Found")</f>
        <v>0</v>
      </c>
    </row>
    <row r="855" spans="8:26">
      <c r="H855" t="s">
        <v>999</v>
      </c>
      <c r="I855" t="str">
        <f t="shared" si="14"/>
        <v>scandal</v>
      </c>
      <c r="J855" t="str">
        <v>scandal</v>
      </c>
      <c r="K855" t="str">
        <f>IFERROR(_xlfn.XLOOKUP(TRIM(H855), M:M, N:N, "Not Found"), "Not Found")</f>
        <v>Crime based</v>
      </c>
      <c r="V855" t="s">
        <v>1057</v>
      </c>
      <c r="W855" t="s">
        <v>1058</v>
      </c>
      <c r="X855">
        <f>Z855</f>
        <v>0</v>
      </c>
      <c r="Z855">
        <f>IFERROR(_xlfn.XLOOKUP(TRIM(V854), M:M, O:O, "Not Found"), "Not Found")</f>
        <v>0</v>
      </c>
    </row>
    <row r="856" spans="8:26">
      <c r="H856" t="s">
        <v>1024</v>
      </c>
      <c r="I856" t="str">
        <f t="shared" si="14"/>
        <v>sister</v>
      </c>
      <c r="J856" t="str">
        <v>sister</v>
      </c>
      <c r="K856" t="str">
        <f>IFERROR(_xlfn.XLOOKUP(TRIM(H856), M:M, N:N, "Not Found"), "Not Found")</f>
        <v>Familial based</v>
      </c>
      <c r="V856" t="s">
        <v>1057</v>
      </c>
      <c r="W856" t="s">
        <v>1058</v>
      </c>
      <c r="X856">
        <f>Z856</f>
        <v>0</v>
      </c>
      <c r="Z856">
        <f>IFERROR(_xlfn.XLOOKUP(TRIM(V855), M:M, O:O, "Not Found"), "Not Found")</f>
        <v>0</v>
      </c>
    </row>
    <row r="857" spans="8:26">
      <c r="H857" t="s">
        <v>1028</v>
      </c>
      <c r="I857" t="str">
        <f t="shared" si="14"/>
        <v>corby</v>
      </c>
      <c r="J857" t="str">
        <v>corby</v>
      </c>
      <c r="K857" t="str">
        <f>IFERROR(_xlfn.XLOOKUP(TRIM(H857), M:M, N:N, "Not Found"), "Not Found")</f>
        <v>Familial based</v>
      </c>
      <c r="V857" t="s">
        <v>1057</v>
      </c>
      <c r="W857" t="s">
        <v>1058</v>
      </c>
      <c r="X857">
        <f>Z857</f>
        <v>0</v>
      </c>
      <c r="Z857">
        <f>IFERROR(_xlfn.XLOOKUP(TRIM(V856), M:M, O:O, "Not Found"), "Not Found")</f>
        <v>0</v>
      </c>
    </row>
    <row r="858" spans="8:26">
      <c r="H858" t="s">
        <v>965</v>
      </c>
      <c r="I858" t="str">
        <f t="shared" si="14"/>
        <v>schapelle corby</v>
      </c>
      <c r="J858" t="str">
        <v>schapelle corby</v>
      </c>
      <c r="K858" t="str">
        <f>IFERROR(_xlfn.XLOOKUP(TRIM(H858), M:M, N:N, "Not Found"), "Not Found")</f>
        <v>Case Related</v>
      </c>
      <c r="V858" t="s">
        <v>1059</v>
      </c>
      <c r="W858" t="s">
        <v>1058</v>
      </c>
      <c r="X858">
        <f>Z858</f>
        <v>0</v>
      </c>
      <c r="Z858">
        <f>IFERROR(_xlfn.XLOOKUP(TRIM(V857), M:M, O:O, "Not Found"), "Not Found")</f>
        <v>0</v>
      </c>
    </row>
    <row r="859" spans="8:26">
      <c r="H859" t="s">
        <v>1239</v>
      </c>
      <c r="I859" t="str">
        <f t="shared" si="14"/>
        <v>indonesia</v>
      </c>
      <c r="J859" t="str">
        <v>indonesia</v>
      </c>
      <c r="K859" t="str">
        <f>IFERROR(_xlfn.XLOOKUP(TRIM(H859), M:M, N:N, "Not Found"), "Not Found")</f>
        <v>Not Found</v>
      </c>
      <c r="V859" t="s">
        <v>1076</v>
      </c>
      <c r="W859" t="s">
        <v>1058</v>
      </c>
      <c r="X859">
        <f>Z859</f>
        <v>1</v>
      </c>
      <c r="Z859">
        <f>IFERROR(_xlfn.XLOOKUP(TRIM(V858), M:M, O:O, "Not Found"), "Not Found")</f>
        <v>1</v>
      </c>
    </row>
    <row r="860" spans="8:26">
      <c r="H860" t="s">
        <v>1248</v>
      </c>
      <c r="I860" t="str">
        <f t="shared" si="14"/>
        <v>marijuana</v>
      </c>
      <c r="J860" t="str">
        <v>marijuana</v>
      </c>
      <c r="K860" t="str">
        <f>IFERROR(_xlfn.XLOOKUP(TRIM(H860), M:M, N:N, "Not Found"), "Not Found")</f>
        <v>Not Found</v>
      </c>
      <c r="V860" t="s">
        <v>1076</v>
      </c>
      <c r="W860" t="s">
        <v>1058</v>
      </c>
      <c r="X860">
        <f>Z860</f>
        <v>0</v>
      </c>
      <c r="Z860">
        <f>IFERROR(_xlfn.XLOOKUP(TRIM(V859), M:M, O:O, "Not Found"), "Not Found")</f>
        <v>0</v>
      </c>
    </row>
    <row r="861" spans="8:26">
      <c r="H861" t="s">
        <v>1020</v>
      </c>
      <c r="I861" t="str">
        <f t="shared" si="14"/>
        <v>af</v>
      </c>
      <c r="J861" t="str">
        <v>af</v>
      </c>
      <c r="K861" t="str">
        <f>IFERROR(_xlfn.XLOOKUP(TRIM(H861), M:M, N:N, "Not Found"), "Not Found")</f>
        <v>Intelligence based</v>
      </c>
      <c r="V861" t="s">
        <v>1076</v>
      </c>
      <c r="W861" t="s">
        <v>1058</v>
      </c>
      <c r="X861">
        <f>Z861</f>
        <v>0</v>
      </c>
      <c r="Z861">
        <f>IFERROR(_xlfn.XLOOKUP(TRIM(V860), M:M, O:O, "Not Found"), "Not Found")</f>
        <v>0</v>
      </c>
    </row>
    <row r="862" spans="8:26">
      <c r="H862" t="s">
        <v>1028</v>
      </c>
      <c r="I862" t="str">
        <f t="shared" si="14"/>
        <v>corby</v>
      </c>
      <c r="J862" t="str">
        <v>corby</v>
      </c>
      <c r="K862" t="str">
        <f>IFERROR(_xlfn.XLOOKUP(TRIM(H862), M:M, N:N, "Not Found"), "Not Found")</f>
        <v>Familial based</v>
      </c>
      <c r="V862" t="s">
        <v>1076</v>
      </c>
      <c r="W862" t="s">
        <v>1058</v>
      </c>
      <c r="X862">
        <f>Z862</f>
        <v>0</v>
      </c>
      <c r="Z862">
        <f>IFERROR(_xlfn.XLOOKUP(TRIM(V861), M:M, O:O, "Not Found"), "Not Found")</f>
        <v>0</v>
      </c>
    </row>
    <row r="863" spans="8:26">
      <c r="H863" t="s">
        <v>1029</v>
      </c>
      <c r="I863" t="str">
        <f t="shared" si="14"/>
        <v>brother</v>
      </c>
      <c r="J863" t="str">
        <v>brother</v>
      </c>
      <c r="K863" t="str">
        <f>IFERROR(_xlfn.XLOOKUP(TRIM(H863), M:M, N:N, "Not Found"), "Not Found")</f>
        <v>Familial based</v>
      </c>
      <c r="V863" t="s">
        <v>1076</v>
      </c>
      <c r="W863" t="s">
        <v>1058</v>
      </c>
      <c r="X863">
        <f>Z863</f>
        <v>0</v>
      </c>
      <c r="Z863">
        <f>IFERROR(_xlfn.XLOOKUP(TRIM(V862), M:M, O:O, "Not Found"), "Not Found")</f>
        <v>0</v>
      </c>
    </row>
    <row r="864" spans="8:26">
      <c r="H864" t="s">
        <v>1043</v>
      </c>
      <c r="I864" t="str">
        <f t="shared" si="14"/>
        <v>afp</v>
      </c>
      <c r="J864" t="str">
        <v>AFP</v>
      </c>
      <c r="K864" t="str">
        <f>IFERROR(_xlfn.XLOOKUP(TRIM(H864), M:M, N:N, "Not Found"), "Not Found")</f>
        <v>Authority based</v>
      </c>
      <c r="V864" t="s">
        <v>1076</v>
      </c>
      <c r="W864" t="s">
        <v>1058</v>
      </c>
      <c r="X864">
        <f>Z864</f>
        <v>0</v>
      </c>
      <c r="Z864">
        <f>IFERROR(_xlfn.XLOOKUP(TRIM(V863), M:M, O:O, "Not Found"), "Not Found")</f>
        <v>0</v>
      </c>
    </row>
    <row r="865" spans="8:26">
      <c r="H865" t="s">
        <v>1064</v>
      </c>
      <c r="I865" t="str">
        <f t="shared" si="14"/>
        <v>arrested</v>
      </c>
      <c r="J865" t="str">
        <v>arrested</v>
      </c>
      <c r="K865" t="str">
        <f>IFERROR(_xlfn.XLOOKUP(TRIM(H865), M:M, N:N, "Not Found"), "Not Found")</f>
        <v>Legality based</v>
      </c>
      <c r="V865" t="s">
        <v>1076</v>
      </c>
      <c r="W865" t="s">
        <v>1058</v>
      </c>
      <c r="X865">
        <f>Z865</f>
        <v>0</v>
      </c>
      <c r="Z865">
        <f>IFERROR(_xlfn.XLOOKUP(TRIM(V864), M:M, O:O, "Not Found"), "Not Found")</f>
        <v>0</v>
      </c>
    </row>
    <row r="866" spans="8:26">
      <c r="H866" t="s">
        <v>965</v>
      </c>
      <c r="I866" t="str">
        <f t="shared" si="14"/>
        <v>schapelle corby</v>
      </c>
      <c r="J866" t="str">
        <v>schapelle corby</v>
      </c>
      <c r="K866" t="str">
        <f>IFERROR(_xlfn.XLOOKUP(TRIM(H866), M:M, N:N, "Not Found"), "Not Found")</f>
        <v>Case Related</v>
      </c>
      <c r="V866" t="s">
        <v>1076</v>
      </c>
      <c r="W866" t="s">
        <v>1058</v>
      </c>
      <c r="X866">
        <f>Z866</f>
        <v>0</v>
      </c>
      <c r="Z866">
        <f>IFERROR(_xlfn.XLOOKUP(TRIM(V865), M:M, O:O, "Not Found"), "Not Found")</f>
        <v>0</v>
      </c>
    </row>
    <row r="867" spans="8:26">
      <c r="H867" t="s">
        <v>968</v>
      </c>
      <c r="I867" t="str">
        <f t="shared" si="14"/>
        <v>boogie board</v>
      </c>
      <c r="J867" t="str">
        <v>boogie board</v>
      </c>
      <c r="K867" t="str">
        <f>IFERROR(_xlfn.XLOOKUP(TRIM(H867), M:M, N:N, "Not Found"), "Not Found")</f>
        <v>Case Related</v>
      </c>
      <c r="V867" t="s">
        <v>1076</v>
      </c>
      <c r="W867" t="s">
        <v>1058</v>
      </c>
      <c r="X867">
        <f>Z867</f>
        <v>0</v>
      </c>
      <c r="Z867">
        <f>IFERROR(_xlfn.XLOOKUP(TRIM(V866), M:M, O:O, "Not Found"), "Not Found")</f>
        <v>0</v>
      </c>
    </row>
    <row r="868" spans="8:26">
      <c r="H868" t="s">
        <v>983</v>
      </c>
      <c r="I868" t="str">
        <f t="shared" si="14"/>
        <v>australia</v>
      </c>
      <c r="J868" t="str">
        <v>australia</v>
      </c>
      <c r="K868" t="str">
        <f>IFERROR(_xlfn.XLOOKUP(TRIM(H868), M:M, N:N, "Not Found"), "Not Found")</f>
        <v>Case Related</v>
      </c>
      <c r="V868" t="s">
        <v>1076</v>
      </c>
      <c r="W868" t="s">
        <v>1058</v>
      </c>
      <c r="X868">
        <f>Z868</f>
        <v>0</v>
      </c>
      <c r="Z868">
        <f>IFERROR(_xlfn.XLOOKUP(TRIM(V867), M:M, O:O, "Not Found"), "Not Found")</f>
        <v>0</v>
      </c>
    </row>
    <row r="869" spans="8:26">
      <c r="H869" t="s">
        <v>1248</v>
      </c>
      <c r="I869" t="str">
        <f t="shared" si="14"/>
        <v>marijuana</v>
      </c>
      <c r="J869" t="str">
        <v>marijuana</v>
      </c>
      <c r="K869" t="str">
        <f>IFERROR(_xlfn.XLOOKUP(TRIM(H869), M:M, N:N, "Not Found"), "Not Found")</f>
        <v>Not Found</v>
      </c>
      <c r="V869" t="s">
        <v>1070</v>
      </c>
      <c r="W869" t="s">
        <v>1058</v>
      </c>
      <c r="X869">
        <f>Z869</f>
        <v>0</v>
      </c>
      <c r="Z869">
        <f>IFERROR(_xlfn.XLOOKUP(TRIM(V868), M:M, O:O, "Not Found"), "Not Found")</f>
        <v>0</v>
      </c>
    </row>
    <row r="870" spans="8:26">
      <c r="H870" t="s">
        <v>1028</v>
      </c>
      <c r="I870" t="str">
        <f t="shared" si="14"/>
        <v>corby</v>
      </c>
      <c r="J870" t="str">
        <v>corby</v>
      </c>
      <c r="K870" t="str">
        <f>IFERROR(_xlfn.XLOOKUP(TRIM(H870), M:M, N:N, "Not Found"), "Not Found")</f>
        <v>Familial based</v>
      </c>
      <c r="V870" t="s">
        <v>1060</v>
      </c>
      <c r="W870" t="s">
        <v>1058</v>
      </c>
      <c r="X870">
        <f>Z870</f>
        <v>0</v>
      </c>
      <c r="Z870">
        <f>IFERROR(_xlfn.XLOOKUP(TRIM(V869), M:M, O:O, "Not Found"), "Not Found")</f>
        <v>0</v>
      </c>
    </row>
    <row r="871" spans="8:26">
      <c r="H871" t="s">
        <v>1057</v>
      </c>
      <c r="I871" t="str">
        <f t="shared" si="14"/>
        <v>guilty</v>
      </c>
      <c r="J871" t="str">
        <v>guilty</v>
      </c>
      <c r="K871" t="str">
        <f>IFERROR(_xlfn.XLOOKUP(TRIM(H871), M:M, N:N, "Not Found"), "Not Found")</f>
        <v>Legality based</v>
      </c>
      <c r="V871" t="s">
        <v>1060</v>
      </c>
      <c r="W871" t="s">
        <v>1058</v>
      </c>
      <c r="X871">
        <f>Z871</f>
        <v>0</v>
      </c>
      <c r="Z871">
        <f>IFERROR(_xlfn.XLOOKUP(TRIM(V870), M:M, O:O, "Not Found"), "Not Found")</f>
        <v>0</v>
      </c>
    </row>
    <row r="872" spans="8:26">
      <c r="H872" t="s">
        <v>1076</v>
      </c>
      <c r="I872" t="str">
        <f t="shared" si="14"/>
        <v>import</v>
      </c>
      <c r="J872" t="str">
        <v>import</v>
      </c>
      <c r="K872" t="str">
        <f>IFERROR(_xlfn.XLOOKUP(TRIM(H872), M:M, N:N, "Not Found"), "Not Found")</f>
        <v>Legality based</v>
      </c>
      <c r="V872" t="s">
        <v>1060</v>
      </c>
      <c r="W872" t="s">
        <v>1058</v>
      </c>
      <c r="X872">
        <f>Z872</f>
        <v>0</v>
      </c>
      <c r="Z872">
        <f>IFERROR(_xlfn.XLOOKUP(TRIM(V871), M:M, O:O, "Not Found"), "Not Found")</f>
        <v>0</v>
      </c>
    </row>
    <row r="873" spans="8:26">
      <c r="H873" t="s">
        <v>965</v>
      </c>
      <c r="I873" t="str">
        <f t="shared" si="14"/>
        <v>schapelle corby</v>
      </c>
      <c r="J873" t="str">
        <v>schapelle corby</v>
      </c>
      <c r="K873" t="str">
        <f>IFERROR(_xlfn.XLOOKUP(TRIM(H873), M:M, N:N, "Not Found"), "Not Found")</f>
        <v>Case Related</v>
      </c>
      <c r="V873" t="s">
        <v>1060</v>
      </c>
      <c r="W873" t="s">
        <v>1058</v>
      </c>
      <c r="X873">
        <f>Z873</f>
        <v>0</v>
      </c>
      <c r="Z873">
        <f>IFERROR(_xlfn.XLOOKUP(TRIM(V872), M:M, O:O, "Not Found"), "Not Found")</f>
        <v>0</v>
      </c>
    </row>
    <row r="874" spans="8:26">
      <c r="H874" t="s">
        <v>1020</v>
      </c>
      <c r="I874" t="str">
        <f t="shared" si="14"/>
        <v>af</v>
      </c>
      <c r="J874" t="str">
        <v>af</v>
      </c>
      <c r="K874" t="str">
        <f>IFERROR(_xlfn.XLOOKUP(TRIM(H874), M:M, N:N, "Not Found"), "Not Found")</f>
        <v>Intelligence based</v>
      </c>
      <c r="V874" t="s">
        <v>1060</v>
      </c>
      <c r="W874" t="s">
        <v>1058</v>
      </c>
      <c r="X874">
        <f>Z874</f>
        <v>0</v>
      </c>
      <c r="Z874">
        <f>IFERROR(_xlfn.XLOOKUP(TRIM(V873), M:M, O:O, "Not Found"), "Not Found")</f>
        <v>0</v>
      </c>
    </row>
    <row r="875" spans="8:26">
      <c r="H875" t="s">
        <v>1028</v>
      </c>
      <c r="I875" t="str">
        <f t="shared" si="14"/>
        <v>corby</v>
      </c>
      <c r="J875" t="str">
        <v>corby</v>
      </c>
      <c r="K875" t="str">
        <f>IFERROR(_xlfn.XLOOKUP(TRIM(H875), M:M, N:N, "Not Found"), "Not Found")</f>
        <v>Familial based</v>
      </c>
      <c r="V875" t="s">
        <v>1060</v>
      </c>
      <c r="W875" t="s">
        <v>1058</v>
      </c>
      <c r="X875">
        <f>Z875</f>
        <v>0</v>
      </c>
      <c r="Z875">
        <f>IFERROR(_xlfn.XLOOKUP(TRIM(V874), M:M, O:O, "Not Found"), "Not Found")</f>
        <v>0</v>
      </c>
    </row>
    <row r="876" spans="8:26">
      <c r="H876" t="s">
        <v>1069</v>
      </c>
      <c r="I876" t="str">
        <f t="shared" si="14"/>
        <v>parole</v>
      </c>
      <c r="J876" t="str">
        <v>parole</v>
      </c>
      <c r="K876" t="str">
        <f>IFERROR(_xlfn.XLOOKUP(TRIM(H876), M:M, N:N, "Not Found"), "Not Found")</f>
        <v>Legality based</v>
      </c>
      <c r="V876" t="s">
        <v>1060</v>
      </c>
      <c r="W876" t="s">
        <v>1058</v>
      </c>
      <c r="X876">
        <f>Z876</f>
        <v>0</v>
      </c>
      <c r="Z876">
        <f>IFERROR(_xlfn.XLOOKUP(TRIM(V875), M:M, O:O, "Not Found"), "Not Found")</f>
        <v>0</v>
      </c>
    </row>
    <row r="877" spans="8:26">
      <c r="H877" t="s">
        <v>965</v>
      </c>
      <c r="I877" t="str">
        <f t="shared" si="14"/>
        <v>schapelle corby</v>
      </c>
      <c r="J877" t="str">
        <v>schapelle corby</v>
      </c>
      <c r="K877" t="str">
        <f>IFERROR(_xlfn.XLOOKUP(TRIM(H877), M:M, N:N, "Not Found"), "Not Found")</f>
        <v>Case Related</v>
      </c>
      <c r="V877" t="s">
        <v>1060</v>
      </c>
      <c r="W877" t="s">
        <v>1058</v>
      </c>
      <c r="X877">
        <f>Z877</f>
        <v>0</v>
      </c>
      <c r="Z877">
        <f>IFERROR(_xlfn.XLOOKUP(TRIM(V876), M:M, O:O, "Not Found"), "Not Found")</f>
        <v>0</v>
      </c>
    </row>
    <row r="878" spans="8:26">
      <c r="H878" t="s">
        <v>970</v>
      </c>
      <c r="I878" t="str">
        <f t="shared" si="14"/>
        <v>australian</v>
      </c>
      <c r="J878" t="str">
        <v>australian</v>
      </c>
      <c r="K878" t="str">
        <f>IFERROR(_xlfn.XLOOKUP(TRIM(H878), M:M, N:N, "Not Found"), "Not Found")</f>
        <v>Case Related</v>
      </c>
      <c r="V878" t="s">
        <v>1060</v>
      </c>
      <c r="W878" t="s">
        <v>1058</v>
      </c>
      <c r="X878">
        <f>Z878</f>
        <v>0</v>
      </c>
      <c r="Z878">
        <f>IFERROR(_xlfn.XLOOKUP(TRIM(V877), M:M, O:O, "Not Found"), "Not Found")</f>
        <v>0</v>
      </c>
    </row>
    <row r="879" spans="8:26">
      <c r="H879" t="s">
        <v>972</v>
      </c>
      <c r="I879" t="str">
        <f t="shared" si="14"/>
        <v>cannabis</v>
      </c>
      <c r="J879" t="str">
        <v>cannabis</v>
      </c>
      <c r="K879" t="str">
        <f>IFERROR(_xlfn.XLOOKUP(TRIM(H879), M:M, N:N, "Not Found"), "Not Found")</f>
        <v>Case Related</v>
      </c>
      <c r="V879" t="s">
        <v>1060</v>
      </c>
      <c r="W879" t="s">
        <v>1058</v>
      </c>
      <c r="X879">
        <f>Z879</f>
        <v>0</v>
      </c>
      <c r="Z879">
        <f>IFERROR(_xlfn.XLOOKUP(TRIM(V878), M:M, O:O, "Not Found"), "Not Found")</f>
        <v>0</v>
      </c>
    </row>
    <row r="880" spans="8:26">
      <c r="H880" t="s">
        <v>974</v>
      </c>
      <c r="I880" t="str">
        <f t="shared" si="14"/>
        <v>smuggling</v>
      </c>
      <c r="J880" t="str">
        <v>smuggling</v>
      </c>
      <c r="K880" t="str">
        <f>IFERROR(_xlfn.XLOOKUP(TRIM(H880), M:M, N:N, "Not Found"), "Not Found")</f>
        <v>Case Related</v>
      </c>
      <c r="V880" t="s">
        <v>1060</v>
      </c>
      <c r="W880" t="s">
        <v>1058</v>
      </c>
      <c r="X880">
        <f>Z880</f>
        <v>0</v>
      </c>
      <c r="Z880">
        <f>IFERROR(_xlfn.XLOOKUP(TRIM(V879), M:M, O:O, "Not Found"), "Not Found")</f>
        <v>0</v>
      </c>
    </row>
    <row r="881" spans="8:26">
      <c r="H881" t="s">
        <v>978</v>
      </c>
      <c r="I881" t="str">
        <f t="shared" si="14"/>
        <v>conviction</v>
      </c>
      <c r="J881" t="str">
        <v>conviction</v>
      </c>
      <c r="K881" t="str">
        <f>IFERROR(_xlfn.XLOOKUP(TRIM(H881), M:M, N:N, "Not Found"), "Not Found")</f>
        <v>Case Related</v>
      </c>
      <c r="V881" t="s">
        <v>1244</v>
      </c>
      <c r="W881" t="s">
        <v>1114</v>
      </c>
      <c r="X881">
        <f>Z881</f>
        <v>0</v>
      </c>
      <c r="Z881">
        <f>IFERROR(_xlfn.XLOOKUP(TRIM(V880), M:M, O:O, "Not Found"), "Not Found")</f>
        <v>0</v>
      </c>
    </row>
    <row r="882" spans="8:26">
      <c r="H882" t="s">
        <v>983</v>
      </c>
      <c r="I882" t="str">
        <f t="shared" si="14"/>
        <v>australia</v>
      </c>
      <c r="J882" t="str">
        <v>australia</v>
      </c>
      <c r="K882" t="str">
        <f>IFERROR(_xlfn.XLOOKUP(TRIM(H882), M:M, N:N, "Not Found"), "Not Found")</f>
        <v>Case Related</v>
      </c>
      <c r="V882" t="s">
        <v>1244</v>
      </c>
      <c r="W882" t="s">
        <v>1114</v>
      </c>
      <c r="X882">
        <v>0</v>
      </c>
      <c r="Z882" t="str">
        <f>IFERROR(_xlfn.XLOOKUP(TRIM(V881), M:M, O:O, "Not Found"), "Not Found")</f>
        <v>Not Found</v>
      </c>
    </row>
    <row r="883" spans="8:26">
      <c r="H883" t="s">
        <v>989</v>
      </c>
      <c r="I883" t="str">
        <f t="shared" si="14"/>
        <v>criminal</v>
      </c>
      <c r="J883" t="str">
        <v>criminal</v>
      </c>
      <c r="K883" t="str">
        <f>IFERROR(_xlfn.XLOOKUP(TRIM(H883), M:M, N:N, "Not Found"), "Not Found")</f>
        <v>Crime based</v>
      </c>
      <c r="V883" t="s">
        <v>1244</v>
      </c>
      <c r="W883" t="s">
        <v>1114</v>
      </c>
      <c r="X883">
        <v>0</v>
      </c>
      <c r="Z883" t="str">
        <f>IFERROR(_xlfn.XLOOKUP(TRIM(V882), M:M, O:O, "Not Found"), "Not Found")</f>
        <v>Not Found</v>
      </c>
    </row>
    <row r="884" spans="8:26">
      <c r="H884" t="s">
        <v>1248</v>
      </c>
      <c r="I884" t="str">
        <f t="shared" si="14"/>
        <v>marijuana</v>
      </c>
      <c r="J884" t="str">
        <v>marijuana</v>
      </c>
      <c r="K884" t="str">
        <f>IFERROR(_xlfn.XLOOKUP(TRIM(H884), M:M, N:N, "Not Found"), "Not Found")</f>
        <v>Not Found</v>
      </c>
      <c r="V884" t="s">
        <v>1244</v>
      </c>
      <c r="W884" t="s">
        <v>1114</v>
      </c>
      <c r="X884">
        <v>0</v>
      </c>
      <c r="Z884" t="str">
        <f>IFERROR(_xlfn.XLOOKUP(TRIM(V883), M:M, O:O, "Not Found"), "Not Found")</f>
        <v>Not Found</v>
      </c>
    </row>
    <row r="885" spans="8:26">
      <c r="H885" t="s">
        <v>972</v>
      </c>
      <c r="I885" t="str">
        <f t="shared" si="14"/>
        <v>cannabis</v>
      </c>
      <c r="J885" t="str">
        <v>cannabis</v>
      </c>
      <c r="K885" t="str">
        <f>IFERROR(_xlfn.XLOOKUP(TRIM(H885), M:M, N:N, "Not Found"), "Not Found")</f>
        <v>Case Related</v>
      </c>
      <c r="V885" t="s">
        <v>1244</v>
      </c>
      <c r="W885" t="s">
        <v>1114</v>
      </c>
      <c r="X885">
        <v>0</v>
      </c>
      <c r="Z885" t="str">
        <f>IFERROR(_xlfn.XLOOKUP(TRIM(V884), M:M, O:O, "Not Found"), "Not Found")</f>
        <v>Not Found</v>
      </c>
    </row>
    <row r="886" spans="8:26">
      <c r="H886" t="s">
        <v>1028</v>
      </c>
      <c r="I886" t="str">
        <f t="shared" si="14"/>
        <v>corby</v>
      </c>
      <c r="J886" t="str">
        <v>corby</v>
      </c>
      <c r="K886" t="str">
        <f>IFERROR(_xlfn.XLOOKUP(TRIM(H886), M:M, N:N, "Not Found"), "Not Found")</f>
        <v>Familial based</v>
      </c>
      <c r="V886" t="s">
        <v>1244</v>
      </c>
      <c r="W886" t="s">
        <v>1114</v>
      </c>
      <c r="X886">
        <v>0</v>
      </c>
      <c r="Z886" t="str">
        <f>IFERROR(_xlfn.XLOOKUP(TRIM(V885), M:M, O:O, "Not Found"), "Not Found")</f>
        <v>Not Found</v>
      </c>
    </row>
    <row r="887" spans="8:26">
      <c r="H887" t="s">
        <v>978</v>
      </c>
      <c r="I887" t="str">
        <f t="shared" si="14"/>
        <v>conviction</v>
      </c>
      <c r="J887" t="str">
        <v>conviction</v>
      </c>
      <c r="K887" t="str">
        <f>IFERROR(_xlfn.XLOOKUP(TRIM(H887), M:M, N:N, "Not Found"), "Not Found")</f>
        <v>Case Related</v>
      </c>
      <c r="V887" t="s">
        <v>1244</v>
      </c>
      <c r="W887" t="s">
        <v>1114</v>
      </c>
      <c r="X887">
        <v>0</v>
      </c>
      <c r="Z887" t="str">
        <f>IFERROR(_xlfn.XLOOKUP(TRIM(V886), M:M, O:O, "Not Found"), "Not Found")</f>
        <v>Not Found</v>
      </c>
    </row>
    <row r="888" spans="8:26">
      <c r="H888" t="s">
        <v>1073</v>
      </c>
      <c r="I888" t="str">
        <f t="shared" si="14"/>
        <v>convicted</v>
      </c>
      <c r="J888" t="str">
        <v>convicted</v>
      </c>
      <c r="K888" t="str">
        <f>IFERROR(_xlfn.XLOOKUP(TRIM(H888), M:M, N:N, "Not Found"), "Not Found")</f>
        <v>Legality based</v>
      </c>
      <c r="V888" t="s">
        <v>1069</v>
      </c>
      <c r="W888" t="s">
        <v>1058</v>
      </c>
      <c r="X888">
        <v>0</v>
      </c>
      <c r="Z888" t="str">
        <f>IFERROR(_xlfn.XLOOKUP(TRIM(V887), M:M, O:O, "Not Found"), "Not Found")</f>
        <v>Not Found</v>
      </c>
    </row>
    <row r="889" spans="8:26">
      <c r="H889" t="s">
        <v>1076</v>
      </c>
      <c r="I889" t="str">
        <f t="shared" si="14"/>
        <v>import</v>
      </c>
      <c r="J889" t="str">
        <v>import</v>
      </c>
      <c r="K889" t="str">
        <f>IFERROR(_xlfn.XLOOKUP(TRIM(H889), M:M, N:N, "Not Found"), "Not Found")</f>
        <v>Legality based</v>
      </c>
      <c r="V889" t="s">
        <v>1069</v>
      </c>
      <c r="W889" t="s">
        <v>1058</v>
      </c>
      <c r="X889">
        <f>Z889</f>
        <v>0</v>
      </c>
      <c r="Z889">
        <f>IFERROR(_xlfn.XLOOKUP(TRIM(V888), M:M, O:O, "Not Found"), "Not Found")</f>
        <v>0</v>
      </c>
    </row>
    <row r="890" spans="8:26">
      <c r="H890" t="s">
        <v>965</v>
      </c>
      <c r="I890" t="str">
        <f t="shared" si="14"/>
        <v>schapelle corby</v>
      </c>
      <c r="J890" t="str">
        <v>schapelle corby</v>
      </c>
      <c r="K890" t="str">
        <f>IFERROR(_xlfn.XLOOKUP(TRIM(H890), M:M, N:N, "Not Found"), "Not Found")</f>
        <v>Case Related</v>
      </c>
      <c r="V890" t="s">
        <v>1069</v>
      </c>
      <c r="W890" t="s">
        <v>1058</v>
      </c>
      <c r="X890">
        <f>Z890</f>
        <v>0</v>
      </c>
      <c r="Z890">
        <f>IFERROR(_xlfn.XLOOKUP(TRIM(V889), M:M, O:O, "Not Found"), "Not Found")</f>
        <v>0</v>
      </c>
    </row>
    <row r="891" spans="8:26">
      <c r="H891" t="s">
        <v>968</v>
      </c>
      <c r="I891" t="str">
        <f t="shared" si="14"/>
        <v>boogie board</v>
      </c>
      <c r="J891" t="str">
        <v>boogie board</v>
      </c>
      <c r="K891" t="str">
        <f>IFERROR(_xlfn.XLOOKUP(TRIM(H891), M:M, N:N, "Not Found"), "Not Found")</f>
        <v>Case Related</v>
      </c>
      <c r="V891" t="s">
        <v>1069</v>
      </c>
      <c r="W891" t="s">
        <v>1058</v>
      </c>
      <c r="X891">
        <f>Z891</f>
        <v>0</v>
      </c>
      <c r="Z891">
        <f>IFERROR(_xlfn.XLOOKUP(TRIM(V890), M:M, O:O, "Not Found"), "Not Found")</f>
        <v>0</v>
      </c>
    </row>
    <row r="892" spans="8:26">
      <c r="H892" t="s">
        <v>984</v>
      </c>
      <c r="I892" t="str">
        <f t="shared" si="14"/>
        <v>drugs</v>
      </c>
      <c r="J892" t="str">
        <v>drugs</v>
      </c>
      <c r="K892" t="str">
        <f>IFERROR(_xlfn.XLOOKUP(TRIM(H892), M:M, N:N, "Not Found"), "Not Found")</f>
        <v>Crime based</v>
      </c>
      <c r="V892" t="s">
        <v>1069</v>
      </c>
      <c r="W892" t="s">
        <v>1058</v>
      </c>
      <c r="X892">
        <f>Z892</f>
        <v>0</v>
      </c>
      <c r="Z892">
        <f>IFERROR(_xlfn.XLOOKUP(TRIM(V891), M:M, O:O, "Not Found"), "Not Found")</f>
        <v>0</v>
      </c>
    </row>
    <row r="893" spans="8:26">
      <c r="H893" t="s">
        <v>1248</v>
      </c>
      <c r="I893" t="str">
        <f t="shared" si="14"/>
        <v>marijuana</v>
      </c>
      <c r="J893" t="str">
        <v>marijuana</v>
      </c>
      <c r="K893" t="str">
        <f>IFERROR(_xlfn.XLOOKUP(TRIM(H893), M:M, N:N, "Not Found"), "Not Found")</f>
        <v>Not Found</v>
      </c>
      <c r="V893" t="s">
        <v>1069</v>
      </c>
      <c r="W893" t="s">
        <v>1058</v>
      </c>
      <c r="X893">
        <f>Z893</f>
        <v>0</v>
      </c>
      <c r="Z893">
        <f>IFERROR(_xlfn.XLOOKUP(TRIM(V892), M:M, O:O, "Not Found"), "Not Found")</f>
        <v>0</v>
      </c>
    </row>
    <row r="894" spans="8:26">
      <c r="H894" t="s">
        <v>1020</v>
      </c>
      <c r="I894" t="str">
        <f t="shared" si="14"/>
        <v>af</v>
      </c>
      <c r="J894" t="str">
        <v>af</v>
      </c>
      <c r="K894" t="str">
        <f>IFERROR(_xlfn.XLOOKUP(TRIM(H894), M:M, N:N, "Not Found"), "Not Found")</f>
        <v>Intelligence based</v>
      </c>
      <c r="V894" t="s">
        <v>1069</v>
      </c>
      <c r="W894" t="s">
        <v>1058</v>
      </c>
      <c r="X894">
        <f>Z894</f>
        <v>0</v>
      </c>
      <c r="Z894">
        <f>IFERROR(_xlfn.XLOOKUP(TRIM(V893), M:M, O:O, "Not Found"), "Not Found")</f>
        <v>0</v>
      </c>
    </row>
    <row r="895" spans="8:26">
      <c r="H895" t="s">
        <v>1028</v>
      </c>
      <c r="I895" t="str">
        <f t="shared" si="14"/>
        <v>corby</v>
      </c>
      <c r="J895" t="str">
        <v>corby</v>
      </c>
      <c r="K895" t="str">
        <f>IFERROR(_xlfn.XLOOKUP(TRIM(H895), M:M, N:N, "Not Found"), "Not Found")</f>
        <v>Familial based</v>
      </c>
      <c r="V895" t="s">
        <v>1069</v>
      </c>
      <c r="W895" t="s">
        <v>1058</v>
      </c>
      <c r="X895">
        <f>Z895</f>
        <v>0</v>
      </c>
      <c r="Z895">
        <f>IFERROR(_xlfn.XLOOKUP(TRIM(V894), M:M, O:O, "Not Found"), "Not Found")</f>
        <v>0</v>
      </c>
    </row>
    <row r="896" spans="8:26">
      <c r="H896" t="s">
        <v>1064</v>
      </c>
      <c r="I896" t="str">
        <f t="shared" si="14"/>
        <v>arrested</v>
      </c>
      <c r="J896" t="str">
        <v>arrested</v>
      </c>
      <c r="K896" t="str">
        <f>IFERROR(_xlfn.XLOOKUP(TRIM(H896), M:M, N:N, "Not Found"), "Not Found")</f>
        <v>Legality based</v>
      </c>
      <c r="V896" t="s">
        <v>1069</v>
      </c>
      <c r="W896" t="s">
        <v>1058</v>
      </c>
      <c r="X896">
        <f>Z896</f>
        <v>0</v>
      </c>
      <c r="Z896">
        <f>IFERROR(_xlfn.XLOOKUP(TRIM(V895), M:M, O:O, "Not Found"), "Not Found")</f>
        <v>0</v>
      </c>
    </row>
    <row r="897" spans="8:26">
      <c r="H897" t="s">
        <v>965</v>
      </c>
      <c r="I897" t="str">
        <f t="shared" si="14"/>
        <v>schapelle corby</v>
      </c>
      <c r="J897" t="str">
        <v>schapelle corby</v>
      </c>
      <c r="K897" t="str">
        <f>IFERROR(_xlfn.XLOOKUP(TRIM(H897), M:M, N:N, "Not Found"), "Not Found")</f>
        <v>Case Related</v>
      </c>
      <c r="V897" t="s">
        <v>1068</v>
      </c>
      <c r="W897" t="s">
        <v>1058</v>
      </c>
      <c r="X897">
        <f>Z897</f>
        <v>0</v>
      </c>
      <c r="Z897">
        <f>IFERROR(_xlfn.XLOOKUP(TRIM(V896), M:M, O:O, "Not Found"), "Not Found")</f>
        <v>0</v>
      </c>
    </row>
    <row r="898" spans="8:26">
      <c r="H898" t="s">
        <v>970</v>
      </c>
      <c r="I898" t="str">
        <f t="shared" si="14"/>
        <v>australian</v>
      </c>
      <c r="J898" t="str">
        <v>australian</v>
      </c>
      <c r="K898" t="str">
        <f>IFERROR(_xlfn.XLOOKUP(TRIM(H898), M:M, N:N, "Not Found"), "Not Found")</f>
        <v>Case Related</v>
      </c>
      <c r="V898" t="s">
        <v>1068</v>
      </c>
      <c r="W898" t="s">
        <v>1058</v>
      </c>
      <c r="X898">
        <f>Z898</f>
        <v>0</v>
      </c>
      <c r="Z898">
        <f>IFERROR(_xlfn.XLOOKUP(TRIM(V897), M:M, O:O, "Not Found"), "Not Found")</f>
        <v>0</v>
      </c>
    </row>
    <row r="899" spans="8:26">
      <c r="H899" t="s">
        <v>983</v>
      </c>
      <c r="I899" t="str">
        <f t="shared" si="14"/>
        <v>australia</v>
      </c>
      <c r="J899" t="str">
        <v>australia</v>
      </c>
      <c r="K899" t="str">
        <f>IFERROR(_xlfn.XLOOKUP(TRIM(H899), M:M, N:N, "Not Found"), "Not Found")</f>
        <v>Case Related</v>
      </c>
      <c r="V899" s="9" t="s">
        <v>1236</v>
      </c>
      <c r="W899" t="s">
        <v>1114</v>
      </c>
      <c r="X899">
        <f>Z899</f>
        <v>0</v>
      </c>
      <c r="Z899">
        <f>IFERROR(_xlfn.XLOOKUP(TRIM(V898), M:M, O:O, "Not Found"), "Not Found")</f>
        <v>0</v>
      </c>
    </row>
    <row r="900" spans="8:26">
      <c r="H900" t="s">
        <v>989</v>
      </c>
      <c r="I900" t="str">
        <f t="shared" ref="I900:I919" si="15">TRIM(LOWER(H900))</f>
        <v>criminal</v>
      </c>
      <c r="J900" t="str">
        <v>criminal</v>
      </c>
      <c r="K900" t="str">
        <f>IFERROR(_xlfn.XLOOKUP(TRIM(H900), M:M, N:N, "Not Found"), "Not Found")</f>
        <v>Crime based</v>
      </c>
      <c r="V900" t="s">
        <v>1236</v>
      </c>
      <c r="W900" t="s">
        <v>1114</v>
      </c>
      <c r="X900">
        <v>0</v>
      </c>
      <c r="Z900" t="str">
        <f>IFERROR(_xlfn.XLOOKUP(TRIM(V899), M:M, O:O, "Not Found"), "Not Found")</f>
        <v>Not Found</v>
      </c>
    </row>
    <row r="901" spans="8:26">
      <c r="H901" t="s">
        <v>1248</v>
      </c>
      <c r="I901" t="str">
        <f t="shared" si="15"/>
        <v>marijuana</v>
      </c>
      <c r="J901" t="str">
        <v>marijuana</v>
      </c>
      <c r="K901" t="str">
        <f>IFERROR(_xlfn.XLOOKUP(TRIM(H901), M:M, N:N, "Not Found"), "Not Found")</f>
        <v>Not Found</v>
      </c>
      <c r="V901" t="s">
        <v>1236</v>
      </c>
      <c r="W901" t="s">
        <v>1114</v>
      </c>
      <c r="X901">
        <v>0</v>
      </c>
      <c r="Z901" t="str">
        <f>IFERROR(_xlfn.XLOOKUP(TRIM(V900), M:M, O:O, "Not Found"), "Not Found")</f>
        <v>Not Found</v>
      </c>
    </row>
    <row r="902" spans="8:26">
      <c r="H902" t="s">
        <v>1028</v>
      </c>
      <c r="I902" t="str">
        <f t="shared" si="15"/>
        <v>corby</v>
      </c>
      <c r="J902" t="str">
        <v>corby</v>
      </c>
      <c r="K902" t="str">
        <f>IFERROR(_xlfn.XLOOKUP(TRIM(H902), M:M, N:N, "Not Found"), "Not Found")</f>
        <v>Familial based</v>
      </c>
      <c r="V902" t="s">
        <v>1236</v>
      </c>
      <c r="W902" t="s">
        <v>1114</v>
      </c>
      <c r="X902">
        <v>0</v>
      </c>
      <c r="Z902" t="str">
        <f>IFERROR(_xlfn.XLOOKUP(TRIM(V901), M:M, O:O, "Not Found"), "Not Found")</f>
        <v>Not Found</v>
      </c>
    </row>
    <row r="903" spans="8:26">
      <c r="H903" t="s">
        <v>1061</v>
      </c>
      <c r="I903" t="str">
        <f t="shared" si="15"/>
        <v>sentenced</v>
      </c>
      <c r="J903" t="str">
        <v>sentenced</v>
      </c>
      <c r="K903" t="str">
        <f>IFERROR(_xlfn.XLOOKUP(TRIM(H903), M:M, N:N, "Not Found"), "Not Found")</f>
        <v>Legality based</v>
      </c>
      <c r="V903" t="s">
        <v>1236</v>
      </c>
      <c r="W903" t="s">
        <v>1114</v>
      </c>
      <c r="X903">
        <v>0</v>
      </c>
      <c r="Z903" t="str">
        <f>IFERROR(_xlfn.XLOOKUP(TRIM(V902), M:M, O:O, "Not Found"), "Not Found")</f>
        <v>Not Found</v>
      </c>
    </row>
    <row r="904" spans="8:26">
      <c r="H904" t="s">
        <v>1073</v>
      </c>
      <c r="I904" t="str">
        <f t="shared" si="15"/>
        <v>convicted</v>
      </c>
      <c r="J904" t="str">
        <v>convicted</v>
      </c>
      <c r="K904" t="str">
        <f>IFERROR(_xlfn.XLOOKUP(TRIM(H904), M:M, N:N, "Not Found"), "Not Found")</f>
        <v>Legality based</v>
      </c>
      <c r="V904" t="s">
        <v>1236</v>
      </c>
      <c r="W904" t="s">
        <v>1114</v>
      </c>
      <c r="X904">
        <v>0</v>
      </c>
      <c r="Z904" t="str">
        <f>IFERROR(_xlfn.XLOOKUP(TRIM(V903), M:M, O:O, "Not Found"), "Not Found")</f>
        <v>Not Found</v>
      </c>
    </row>
    <row r="905" spans="8:26">
      <c r="H905" t="s">
        <v>965</v>
      </c>
      <c r="I905" t="str">
        <f t="shared" si="15"/>
        <v>schapelle corby</v>
      </c>
      <c r="J905" t="str">
        <v>schapelle corby</v>
      </c>
      <c r="K905" t="str">
        <f>IFERROR(_xlfn.XLOOKUP(TRIM(H905), M:M, N:N, "Not Found"), "Not Found")</f>
        <v>Case Related</v>
      </c>
      <c r="V905" t="s">
        <v>1061</v>
      </c>
      <c r="W905" t="s">
        <v>1058</v>
      </c>
      <c r="X905">
        <v>0</v>
      </c>
      <c r="Z905" t="str">
        <f>IFERROR(_xlfn.XLOOKUP(TRIM(V904), M:M, O:O, "Not Found"), "Not Found")</f>
        <v>Not Found</v>
      </c>
    </row>
    <row r="906" spans="8:26">
      <c r="H906" t="s">
        <v>983</v>
      </c>
      <c r="I906" t="str">
        <f t="shared" si="15"/>
        <v>australia</v>
      </c>
      <c r="J906" t="str">
        <v>australia</v>
      </c>
      <c r="K906" t="str">
        <f>IFERROR(_xlfn.XLOOKUP(TRIM(H906), M:M, N:N, "Not Found"), "Not Found")</f>
        <v>Case Related</v>
      </c>
      <c r="V906" t="s">
        <v>1061</v>
      </c>
      <c r="W906" t="s">
        <v>1058</v>
      </c>
      <c r="X906">
        <f>Z906</f>
        <v>0</v>
      </c>
      <c r="Z906">
        <f>IFERROR(_xlfn.XLOOKUP(TRIM(V905), M:M, O:O, "Not Found"), "Not Found")</f>
        <v>0</v>
      </c>
    </row>
    <row r="907" spans="8:26">
      <c r="H907" t="s">
        <v>1248</v>
      </c>
      <c r="I907" t="str">
        <f t="shared" si="15"/>
        <v>marijuana</v>
      </c>
      <c r="J907" t="str">
        <v>marijuana</v>
      </c>
      <c r="K907" t="str">
        <f>IFERROR(_xlfn.XLOOKUP(TRIM(H907), M:M, N:N, "Not Found"), "Not Found")</f>
        <v>Not Found</v>
      </c>
      <c r="V907" t="s">
        <v>1061</v>
      </c>
      <c r="W907" t="s">
        <v>1058</v>
      </c>
      <c r="X907">
        <f>Z907</f>
        <v>0</v>
      </c>
      <c r="Z907">
        <f>IFERROR(_xlfn.XLOOKUP(TRIM(V906), M:M, O:O, "Not Found"), "Not Found")</f>
        <v>0</v>
      </c>
    </row>
    <row r="908" spans="8:26">
      <c r="H908" t="s">
        <v>1028</v>
      </c>
      <c r="I908" t="str">
        <f t="shared" si="15"/>
        <v>corby</v>
      </c>
      <c r="J908" t="str">
        <v>corby</v>
      </c>
      <c r="K908" t="str">
        <f>IFERROR(_xlfn.XLOOKUP(TRIM(H908), M:M, N:N, "Not Found"), "Not Found")</f>
        <v>Familial based</v>
      </c>
      <c r="V908" t="s">
        <v>1061</v>
      </c>
      <c r="W908" t="s">
        <v>1058</v>
      </c>
      <c r="X908">
        <f>Z908</f>
        <v>0</v>
      </c>
      <c r="Z908">
        <f>IFERROR(_xlfn.XLOOKUP(TRIM(V907), M:M, O:O, "Not Found"), "Not Found")</f>
        <v>0</v>
      </c>
    </row>
    <row r="909" spans="8:26">
      <c r="H909" t="s">
        <v>1029</v>
      </c>
      <c r="I909" t="str">
        <f t="shared" si="15"/>
        <v>brother</v>
      </c>
      <c r="J909" t="str">
        <v>brother</v>
      </c>
      <c r="K909" t="str">
        <f>IFERROR(_xlfn.XLOOKUP(TRIM(H909), M:M, N:N, "Not Found"), "Not Found")</f>
        <v>Familial based</v>
      </c>
      <c r="V909" t="s">
        <v>1062</v>
      </c>
      <c r="W909" t="s">
        <v>1058</v>
      </c>
      <c r="X909">
        <f>Z909</f>
        <v>0</v>
      </c>
      <c r="Z909">
        <f>IFERROR(_xlfn.XLOOKUP(TRIM(V908), M:M, O:O, "Not Found"), "Not Found")</f>
        <v>0</v>
      </c>
    </row>
    <row r="910" spans="8:26">
      <c r="H910" t="s">
        <v>1073</v>
      </c>
      <c r="I910" t="str">
        <f t="shared" si="15"/>
        <v>convicted</v>
      </c>
      <c r="J910" t="str">
        <v>convicted</v>
      </c>
      <c r="K910" t="str">
        <f>IFERROR(_xlfn.XLOOKUP(TRIM(H910), M:M, N:N, "Not Found"), "Not Found")</f>
        <v>Legality based</v>
      </c>
      <c r="V910" t="s">
        <v>1062</v>
      </c>
      <c r="W910" t="s">
        <v>1058</v>
      </c>
      <c r="X910">
        <f>Z910</f>
        <v>0</v>
      </c>
      <c r="Z910">
        <f>IFERROR(_xlfn.XLOOKUP(TRIM(V909), M:M, O:O, "Not Found"), "Not Found")</f>
        <v>0</v>
      </c>
    </row>
    <row r="911" spans="8:26">
      <c r="H911" t="s">
        <v>1076</v>
      </c>
      <c r="I911" t="str">
        <f t="shared" si="15"/>
        <v>import</v>
      </c>
      <c r="J911" t="str">
        <v>import</v>
      </c>
      <c r="K911" t="str">
        <f>IFERROR(_xlfn.XLOOKUP(TRIM(H911), M:M, N:N, "Not Found"), "Not Found")</f>
        <v>Legality based</v>
      </c>
      <c r="V911" t="s">
        <v>1062</v>
      </c>
      <c r="W911" t="s">
        <v>1058</v>
      </c>
      <c r="X911">
        <f>Z911</f>
        <v>0</v>
      </c>
      <c r="Z911">
        <f>IFERROR(_xlfn.XLOOKUP(TRIM(V910), M:M, O:O, "Not Found"), "Not Found")</f>
        <v>0</v>
      </c>
    </row>
    <row r="912" spans="8:26">
      <c r="H912" t="s">
        <v>965</v>
      </c>
      <c r="I912" t="str">
        <f t="shared" si="15"/>
        <v>schapelle corby</v>
      </c>
      <c r="J912" t="str">
        <v>schapelle corby</v>
      </c>
      <c r="K912" t="str">
        <f>IFERROR(_xlfn.XLOOKUP(TRIM(H912), M:M, N:N, "Not Found"), "Not Found")</f>
        <v>Case Related</v>
      </c>
      <c r="V912" t="s">
        <v>1062</v>
      </c>
      <c r="W912" t="s">
        <v>1058</v>
      </c>
      <c r="X912">
        <f>Z912</f>
        <v>0</v>
      </c>
      <c r="Z912">
        <f>IFERROR(_xlfn.XLOOKUP(TRIM(V911), M:M, O:O, "Not Found"), "Not Found")</f>
        <v>0</v>
      </c>
    </row>
    <row r="913" spans="8:26">
      <c r="H913" t="s">
        <v>972</v>
      </c>
      <c r="I913" t="str">
        <f t="shared" si="15"/>
        <v>cannabis</v>
      </c>
      <c r="J913" t="str">
        <v>cannabis</v>
      </c>
      <c r="K913" t="str">
        <f>IFERROR(_xlfn.XLOOKUP(TRIM(H913), M:M, N:N, "Not Found"), "Not Found")</f>
        <v>Case Related</v>
      </c>
      <c r="V913" t="s">
        <v>1062</v>
      </c>
      <c r="W913" t="s">
        <v>1058</v>
      </c>
      <c r="X913">
        <f>Z913</f>
        <v>0</v>
      </c>
      <c r="Z913">
        <f>IFERROR(_xlfn.XLOOKUP(TRIM(V912), M:M, O:O, "Not Found"), "Not Found")</f>
        <v>0</v>
      </c>
    </row>
    <row r="914" spans="8:26">
      <c r="H914" t="s">
        <v>974</v>
      </c>
      <c r="I914" t="str">
        <f t="shared" si="15"/>
        <v>smuggling</v>
      </c>
      <c r="J914" t="str">
        <v>smuggling</v>
      </c>
      <c r="K914" t="str">
        <f>IFERROR(_xlfn.XLOOKUP(TRIM(H914), M:M, N:N, "Not Found"), "Not Found")</f>
        <v>Case Related</v>
      </c>
      <c r="V914" t="s">
        <v>1062</v>
      </c>
      <c r="W914" t="s">
        <v>1058</v>
      </c>
      <c r="X914">
        <f>Z914</f>
        <v>0</v>
      </c>
      <c r="Z914">
        <f>IFERROR(_xlfn.XLOOKUP(TRIM(V913), M:M, O:O, "Not Found"), "Not Found")</f>
        <v>0</v>
      </c>
    </row>
    <row r="915" spans="8:26">
      <c r="H915" t="s">
        <v>992</v>
      </c>
      <c r="I915" t="str">
        <f t="shared" si="15"/>
        <v>drug smuggler</v>
      </c>
      <c r="J915" t="str">
        <v>drug smuggler</v>
      </c>
      <c r="K915" t="str">
        <f>IFERROR(_xlfn.XLOOKUP(TRIM(H915), M:M, N:N, "Not Found"), "Not Found")</f>
        <v>Crime based</v>
      </c>
      <c r="V915" t="s">
        <v>1045</v>
      </c>
      <c r="W915" t="s">
        <v>1046</v>
      </c>
      <c r="X915">
        <f>Z915</f>
        <v>0</v>
      </c>
      <c r="Z915">
        <f>IFERROR(_xlfn.XLOOKUP(TRIM(V914), M:M, O:O, "Not Found"), "Not Found")</f>
        <v>0</v>
      </c>
    </row>
    <row r="916" spans="8:26">
      <c r="H916" t="s">
        <v>972</v>
      </c>
      <c r="I916" t="str">
        <f t="shared" si="15"/>
        <v>cannabis</v>
      </c>
      <c r="J916" t="str">
        <v>cannabis</v>
      </c>
      <c r="K916" t="str">
        <f>IFERROR(_xlfn.XLOOKUP(TRIM(H916), M:M, N:N, "Not Found"), "Not Found")</f>
        <v>Case Related</v>
      </c>
      <c r="V916" t="s">
        <v>1045</v>
      </c>
      <c r="W916" t="s">
        <v>1046</v>
      </c>
      <c r="X916">
        <f>Z916</f>
        <v>3</v>
      </c>
      <c r="Z916">
        <f>IFERROR(_xlfn.XLOOKUP(TRIM(V915), M:M, O:O, "Not Found"), "Not Found")</f>
        <v>3</v>
      </c>
    </row>
    <row r="917" spans="8:26">
      <c r="H917" t="s">
        <v>999</v>
      </c>
      <c r="I917" t="str">
        <f t="shared" si="15"/>
        <v>scandal</v>
      </c>
      <c r="J917" t="str">
        <v>scandal</v>
      </c>
      <c r="K917" t="str">
        <f>IFERROR(_xlfn.XLOOKUP(TRIM(H917), M:M, N:N, "Not Found"), "Not Found")</f>
        <v>Crime based</v>
      </c>
      <c r="V917" t="s">
        <v>1045</v>
      </c>
      <c r="W917" t="s">
        <v>1046</v>
      </c>
      <c r="X917">
        <f>Z917</f>
        <v>3</v>
      </c>
      <c r="Z917">
        <f>IFERROR(_xlfn.XLOOKUP(TRIM(V916), M:M, O:O, "Not Found"), "Not Found")</f>
        <v>3</v>
      </c>
    </row>
    <row r="918" spans="8:26">
      <c r="H918" t="s">
        <v>1028</v>
      </c>
      <c r="I918" t="str">
        <f t="shared" si="15"/>
        <v>corby</v>
      </c>
      <c r="J918" t="str">
        <v>corby</v>
      </c>
      <c r="K918" t="str">
        <f>IFERROR(_xlfn.XLOOKUP(TRIM(H918), M:M, N:N, "Not Found"), "Not Found")</f>
        <v>Familial based</v>
      </c>
      <c r="V918" t="s">
        <v>1053</v>
      </c>
      <c r="W918" t="s">
        <v>1046</v>
      </c>
      <c r="X918">
        <f>Z918</f>
        <v>3</v>
      </c>
      <c r="Z918">
        <f>IFERROR(_xlfn.XLOOKUP(TRIM(V917), M:M, O:O, "Not Found"), "Not Found")</f>
        <v>3</v>
      </c>
    </row>
    <row r="919" spans="8:26">
      <c r="H919" t="s">
        <v>1073</v>
      </c>
      <c r="I919" t="str">
        <f t="shared" si="15"/>
        <v>convicted</v>
      </c>
      <c r="J919" t="str">
        <v>convicted</v>
      </c>
      <c r="K919" t="str">
        <f>IFERROR(_xlfn.XLOOKUP(TRIM(H919), M:M, N:N, "Not Found"), "Not Found")</f>
        <v>Legality based</v>
      </c>
      <c r="X919">
        <f>Z919</f>
        <v>2</v>
      </c>
      <c r="Z919">
        <f>IFERROR(_xlfn.XLOOKUP(TRIM(V918), M:M, O:O, "Not Found"), "Not Found")</f>
        <v>2</v>
      </c>
    </row>
  </sheetData>
  <sortState xmlns:xlrd2="http://schemas.microsoft.com/office/spreadsheetml/2017/richdata2" ref="V2:X919">
    <sortCondition ref="W2:W919"/>
    <sortCondition ref="V2:V919"/>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832D-6043-4151-858A-87D72434BDD5}">
  <dimension ref="A3:F165"/>
  <sheetViews>
    <sheetView topLeftCell="A83" workbookViewId="0">
      <selection activeCell="D89" sqref="D89:E99"/>
    </sheetView>
  </sheetViews>
  <sheetFormatPr defaultRowHeight="15"/>
  <cols>
    <col min="1" max="2" width="22.42578125" bestFit="1" customWidth="1"/>
    <col min="3" max="3" width="14.42578125" bestFit="1" customWidth="1"/>
    <col min="4" max="4" width="30.85546875" bestFit="1" customWidth="1"/>
    <col min="5" max="5" width="24.5703125" bestFit="1" customWidth="1"/>
    <col min="6" max="6" width="26.85546875" bestFit="1" customWidth="1"/>
    <col min="7" max="7" width="30.42578125" bestFit="1" customWidth="1"/>
    <col min="8" max="8" width="26.5703125" bestFit="1" customWidth="1"/>
    <col min="9" max="9" width="26.42578125" bestFit="1" customWidth="1"/>
    <col min="10" max="10" width="28.28515625" bestFit="1" customWidth="1"/>
    <col min="11" max="11" width="34.28515625" bestFit="1" customWidth="1"/>
    <col min="12" max="12" width="33" bestFit="1" customWidth="1"/>
    <col min="13" max="13" width="29.85546875" bestFit="1" customWidth="1"/>
    <col min="14" max="14" width="32" bestFit="1" customWidth="1"/>
    <col min="15" max="15" width="31.85546875" bestFit="1" customWidth="1"/>
    <col min="16" max="16" width="25" bestFit="1" customWidth="1"/>
    <col min="17" max="17" width="25.42578125" bestFit="1" customWidth="1"/>
    <col min="18" max="18" width="27.28515625" bestFit="1" customWidth="1"/>
    <col min="19" max="19" width="30.85546875" bestFit="1" customWidth="1"/>
    <col min="20" max="20" width="24.5703125" bestFit="1" customWidth="1"/>
    <col min="21" max="21" width="26.85546875" bestFit="1" customWidth="1"/>
    <col min="22" max="22" width="30.42578125" bestFit="1" customWidth="1"/>
    <col min="23" max="23" width="26.5703125" bestFit="1" customWidth="1"/>
    <col min="24" max="24" width="26.42578125" bestFit="1" customWidth="1"/>
    <col min="25" max="25" width="28.28515625" bestFit="1" customWidth="1"/>
    <col min="26" max="26" width="34.28515625" bestFit="1" customWidth="1"/>
    <col min="27" max="27" width="33" bestFit="1" customWidth="1"/>
    <col min="28" max="28" width="29.85546875" bestFit="1" customWidth="1"/>
    <col min="29" max="29" width="32" bestFit="1" customWidth="1"/>
    <col min="30" max="30" width="31.85546875" bestFit="1" customWidth="1"/>
    <col min="31" max="31" width="23.5703125" bestFit="1" customWidth="1"/>
    <col min="32" max="32" width="24.7109375" bestFit="1" customWidth="1"/>
    <col min="33" max="33" width="40.85546875" bestFit="1" customWidth="1"/>
    <col min="34" max="34" width="30.42578125" bestFit="1" customWidth="1"/>
    <col min="35" max="35" width="45.7109375" bestFit="1" customWidth="1"/>
    <col min="36" max="36" width="59.85546875" bestFit="1" customWidth="1"/>
    <col min="37" max="37" width="42.5703125" bestFit="1" customWidth="1"/>
    <col min="38" max="38" width="58.85546875" bestFit="1" customWidth="1"/>
    <col min="39" max="39" width="44.42578125" bestFit="1" customWidth="1"/>
    <col min="40" max="40" width="26.5703125" bestFit="1" customWidth="1"/>
    <col min="41" max="41" width="14.28515625" bestFit="1" customWidth="1"/>
    <col min="42" max="42" width="26.42578125" bestFit="1" customWidth="1"/>
    <col min="43" max="43" width="40.42578125" bestFit="1" customWidth="1"/>
    <col min="44" max="44" width="28.28515625" bestFit="1" customWidth="1"/>
    <col min="45" max="45" width="34.28515625" bestFit="1" customWidth="1"/>
    <col min="46" max="46" width="17.7109375" bestFit="1" customWidth="1"/>
    <col min="47" max="47" width="33" bestFit="1" customWidth="1"/>
    <col min="48" max="48" width="47.28515625" bestFit="1" customWidth="1"/>
    <col min="49" max="49" width="29.85546875" bestFit="1" customWidth="1"/>
    <col min="50" max="50" width="44" bestFit="1" customWidth="1"/>
    <col min="51" max="51" width="32" bestFit="1" customWidth="1"/>
    <col min="52" max="52" width="47.5703125" bestFit="1" customWidth="1"/>
    <col min="53" max="53" width="44.28515625" bestFit="1" customWidth="1"/>
    <col min="54" max="54" width="31.85546875" bestFit="1" customWidth="1"/>
    <col min="55" max="55" width="51.85546875" bestFit="1" customWidth="1"/>
    <col min="56" max="56" width="14" bestFit="1" customWidth="1"/>
    <col min="57" max="57" width="7.42578125" bestFit="1" customWidth="1"/>
    <col min="58" max="58" width="11.42578125" bestFit="1" customWidth="1"/>
  </cols>
  <sheetData>
    <row r="3" spans="1:6">
      <c r="A3" s="13" t="s">
        <v>957</v>
      </c>
      <c r="B3" t="s">
        <v>1298</v>
      </c>
      <c r="C3" t="s">
        <v>1299</v>
      </c>
    </row>
    <row r="4" spans="1:6">
      <c r="A4" t="s">
        <v>1041</v>
      </c>
      <c r="B4">
        <v>14</v>
      </c>
      <c r="C4" s="14">
        <v>1.5267175572519083E-2</v>
      </c>
    </row>
    <row r="5" spans="1:6">
      <c r="A5" t="s">
        <v>966</v>
      </c>
      <c r="B5">
        <v>328</v>
      </c>
      <c r="C5" s="14">
        <v>0.35768811341330425</v>
      </c>
    </row>
    <row r="6" spans="1:6">
      <c r="A6" t="s">
        <v>1032</v>
      </c>
      <c r="B6">
        <v>36</v>
      </c>
      <c r="C6" s="14">
        <v>3.9258451472191931E-2</v>
      </c>
    </row>
    <row r="7" spans="1:6">
      <c r="A7" t="s">
        <v>985</v>
      </c>
      <c r="B7">
        <v>111</v>
      </c>
      <c r="C7" s="14">
        <v>0.12104689203925845</v>
      </c>
    </row>
    <row r="8" spans="1:6">
      <c r="A8" t="s">
        <v>1022</v>
      </c>
      <c r="B8">
        <v>231</v>
      </c>
      <c r="C8" s="14">
        <v>0.25190839694656486</v>
      </c>
    </row>
    <row r="9" spans="1:6">
      <c r="A9" t="s">
        <v>1007</v>
      </c>
      <c r="B9">
        <v>81</v>
      </c>
      <c r="C9" s="14">
        <v>8.8331515812431843E-2</v>
      </c>
    </row>
    <row r="10" spans="1:6">
      <c r="A10" t="s">
        <v>1058</v>
      </c>
      <c r="B10">
        <v>112</v>
      </c>
      <c r="C10" s="14">
        <v>0.12213740458015267</v>
      </c>
    </row>
    <row r="11" spans="1:6">
      <c r="A11" t="s">
        <v>1046</v>
      </c>
      <c r="B11">
        <v>4</v>
      </c>
      <c r="C11" s="14">
        <v>4.3620501635768813E-3</v>
      </c>
    </row>
    <row r="12" spans="1:6">
      <c r="A12" t="s">
        <v>1300</v>
      </c>
      <c r="B12">
        <v>917</v>
      </c>
      <c r="C12" s="14">
        <v>1</v>
      </c>
      <c r="E12" t="s">
        <v>963</v>
      </c>
      <c r="F12" t="s">
        <v>964</v>
      </c>
    </row>
    <row r="13" spans="1:6">
      <c r="E13" t="s">
        <v>967</v>
      </c>
      <c r="F13">
        <v>0</v>
      </c>
    </row>
    <row r="14" spans="1:6">
      <c r="E14" t="s">
        <v>969</v>
      </c>
      <c r="F14">
        <v>0</v>
      </c>
    </row>
    <row r="15" spans="1:6">
      <c r="E15" t="s">
        <v>971</v>
      </c>
      <c r="F15">
        <v>3</v>
      </c>
    </row>
    <row r="16" spans="1:6">
      <c r="E16" t="s">
        <v>973</v>
      </c>
      <c r="F16">
        <v>0</v>
      </c>
    </row>
    <row r="17" spans="1:6">
      <c r="A17" t="s">
        <v>1046</v>
      </c>
      <c r="B17">
        <v>4</v>
      </c>
      <c r="C17" s="3">
        <f>B17/$B$25*100</f>
        <v>0.43620501635768816</v>
      </c>
      <c r="E17" t="s">
        <v>975</v>
      </c>
      <c r="F17">
        <v>3</v>
      </c>
    </row>
    <row r="18" spans="1:6">
      <c r="A18" t="s">
        <v>1041</v>
      </c>
      <c r="B18">
        <v>14</v>
      </c>
      <c r="C18" s="3">
        <f t="shared" ref="C18:C24" si="0">B18/$B$25*100</f>
        <v>1.5267175572519083</v>
      </c>
      <c r="E18" t="s">
        <v>977</v>
      </c>
      <c r="F18">
        <v>1</v>
      </c>
    </row>
    <row r="19" spans="1:6">
      <c r="A19" t="s">
        <v>1032</v>
      </c>
      <c r="B19">
        <v>36</v>
      </c>
      <c r="C19" s="3">
        <f t="shared" si="0"/>
        <v>3.9258451472191931</v>
      </c>
      <c r="E19" t="s">
        <v>979</v>
      </c>
      <c r="F19">
        <v>3</v>
      </c>
    </row>
    <row r="20" spans="1:6">
      <c r="A20" t="s">
        <v>1007</v>
      </c>
      <c r="B20">
        <v>81</v>
      </c>
      <c r="C20" s="3">
        <f t="shared" si="0"/>
        <v>8.8331515812431842</v>
      </c>
      <c r="E20" t="s">
        <v>981</v>
      </c>
      <c r="F20">
        <v>0</v>
      </c>
    </row>
    <row r="21" spans="1:6">
      <c r="A21" t="s">
        <v>985</v>
      </c>
      <c r="B21">
        <v>111</v>
      </c>
      <c r="C21" s="3">
        <f t="shared" si="0"/>
        <v>12.104689203925844</v>
      </c>
    </row>
    <row r="22" spans="1:6">
      <c r="A22" t="s">
        <v>1058</v>
      </c>
      <c r="B22">
        <v>112</v>
      </c>
      <c r="C22" s="3">
        <f t="shared" si="0"/>
        <v>12.213740458015266</v>
      </c>
    </row>
    <row r="23" spans="1:6">
      <c r="A23" t="s">
        <v>1022</v>
      </c>
      <c r="B23">
        <v>231</v>
      </c>
      <c r="C23" s="3">
        <f t="shared" si="0"/>
        <v>25.190839694656486</v>
      </c>
    </row>
    <row r="24" spans="1:6">
      <c r="A24" t="s">
        <v>966</v>
      </c>
      <c r="B24">
        <v>328</v>
      </c>
      <c r="C24" s="3">
        <f t="shared" si="0"/>
        <v>35.768811341330427</v>
      </c>
    </row>
    <row r="25" spans="1:6">
      <c r="A25" t="s">
        <v>1300</v>
      </c>
      <c r="B25">
        <f>SUM(B17:B24)</f>
        <v>917</v>
      </c>
      <c r="C25">
        <f>B25/$B$25*100</f>
        <v>100</v>
      </c>
    </row>
    <row r="28" spans="1:6">
      <c r="A28" s="13" t="s">
        <v>957</v>
      </c>
      <c r="B28" t="s">
        <v>1301</v>
      </c>
      <c r="D28" s="13" t="s">
        <v>957</v>
      </c>
      <c r="E28" t="s">
        <v>1302</v>
      </c>
      <c r="F28" t="s">
        <v>1301</v>
      </c>
    </row>
    <row r="29" spans="1:6">
      <c r="A29" t="s">
        <v>1041</v>
      </c>
      <c r="B29">
        <v>0.2857142857142857</v>
      </c>
      <c r="D29" t="s">
        <v>1041</v>
      </c>
      <c r="E29">
        <v>14</v>
      </c>
      <c r="F29">
        <v>0.2857142857142857</v>
      </c>
    </row>
    <row r="30" spans="1:6">
      <c r="A30" t="s">
        <v>966</v>
      </c>
      <c r="B30">
        <v>0</v>
      </c>
      <c r="D30" t="s">
        <v>966</v>
      </c>
      <c r="E30">
        <v>328</v>
      </c>
      <c r="F30">
        <v>0</v>
      </c>
    </row>
    <row r="31" spans="1:6">
      <c r="A31" t="s">
        <v>1032</v>
      </c>
      <c r="B31">
        <v>3.0833333333333335</v>
      </c>
      <c r="D31" t="s">
        <v>1032</v>
      </c>
      <c r="E31">
        <v>36</v>
      </c>
      <c r="F31">
        <v>3.0833333333333335</v>
      </c>
    </row>
    <row r="32" spans="1:6">
      <c r="A32" t="s">
        <v>985</v>
      </c>
      <c r="B32">
        <v>0.45945945945945948</v>
      </c>
      <c r="D32" t="s">
        <v>985</v>
      </c>
      <c r="E32">
        <v>111</v>
      </c>
      <c r="F32">
        <v>0.45945945945945948</v>
      </c>
    </row>
    <row r="33" spans="1:6">
      <c r="A33" t="s">
        <v>1022</v>
      </c>
      <c r="B33">
        <v>0</v>
      </c>
      <c r="D33" t="s">
        <v>1022</v>
      </c>
      <c r="E33">
        <v>231</v>
      </c>
      <c r="F33">
        <v>0</v>
      </c>
    </row>
    <row r="34" spans="1:6">
      <c r="A34" t="s">
        <v>1007</v>
      </c>
      <c r="B34">
        <v>1.5679012345679013</v>
      </c>
      <c r="D34" t="s">
        <v>1007</v>
      </c>
      <c r="E34">
        <v>81</v>
      </c>
      <c r="F34">
        <v>1.5679012345679013</v>
      </c>
    </row>
    <row r="35" spans="1:6">
      <c r="A35" t="s">
        <v>1058</v>
      </c>
      <c r="B35">
        <v>8.9285714285714281E-3</v>
      </c>
      <c r="D35" t="s">
        <v>1058</v>
      </c>
      <c r="E35">
        <v>112</v>
      </c>
      <c r="F35">
        <v>8.9285714285714281E-3</v>
      </c>
    </row>
    <row r="36" spans="1:6">
      <c r="A36" t="s">
        <v>1046</v>
      </c>
      <c r="B36">
        <v>2.75</v>
      </c>
      <c r="D36" t="s">
        <v>1046</v>
      </c>
      <c r="E36">
        <v>4</v>
      </c>
      <c r="F36">
        <v>2.75</v>
      </c>
    </row>
    <row r="37" spans="1:6">
      <c r="A37" t="s">
        <v>1300</v>
      </c>
      <c r="B37">
        <v>0.33260632497273718</v>
      </c>
      <c r="D37" t="s">
        <v>1300</v>
      </c>
      <c r="E37">
        <v>917</v>
      </c>
      <c r="F37">
        <v>0.33260632497273718</v>
      </c>
    </row>
    <row r="39" spans="1:6">
      <c r="A39" t="s">
        <v>957</v>
      </c>
      <c r="B39" t="s">
        <v>1301</v>
      </c>
    </row>
    <row r="40" spans="1:6">
      <c r="A40" t="s">
        <v>966</v>
      </c>
      <c r="B40">
        <v>0</v>
      </c>
    </row>
    <row r="41" spans="1:6">
      <c r="A41" t="s">
        <v>1022</v>
      </c>
      <c r="B41">
        <v>0</v>
      </c>
    </row>
    <row r="42" spans="1:6">
      <c r="A42" t="s">
        <v>1058</v>
      </c>
      <c r="B42">
        <v>8.9285714285714281E-3</v>
      </c>
    </row>
    <row r="43" spans="1:6">
      <c r="A43" t="s">
        <v>1041</v>
      </c>
      <c r="B43">
        <v>0.2857142857142857</v>
      </c>
    </row>
    <row r="44" spans="1:6">
      <c r="A44" t="s">
        <v>985</v>
      </c>
      <c r="B44">
        <v>0.45945945945945948</v>
      </c>
    </row>
    <row r="45" spans="1:6">
      <c r="A45" t="s">
        <v>1007</v>
      </c>
      <c r="B45">
        <v>1.5679012345679013</v>
      </c>
    </row>
    <row r="46" spans="1:6">
      <c r="A46" t="s">
        <v>1046</v>
      </c>
      <c r="B46">
        <v>2.75</v>
      </c>
    </row>
    <row r="47" spans="1:6">
      <c r="A47" t="s">
        <v>1032</v>
      </c>
      <c r="B47">
        <v>3.0833333333333335</v>
      </c>
    </row>
    <row r="49" spans="1:3">
      <c r="A49" t="s">
        <v>957</v>
      </c>
      <c r="B49" t="s">
        <v>1298</v>
      </c>
      <c r="C49" t="s">
        <v>1301</v>
      </c>
    </row>
    <row r="50" spans="1:3">
      <c r="A50" t="s">
        <v>1041</v>
      </c>
      <c r="B50">
        <v>14</v>
      </c>
      <c r="C50">
        <v>0.2857142857142857</v>
      </c>
    </row>
    <row r="51" spans="1:3">
      <c r="A51" t="s">
        <v>966</v>
      </c>
      <c r="B51">
        <v>328</v>
      </c>
      <c r="C51">
        <v>0</v>
      </c>
    </row>
    <row r="52" spans="1:3">
      <c r="A52" t="s">
        <v>1032</v>
      </c>
      <c r="B52">
        <v>36</v>
      </c>
      <c r="C52">
        <v>3.0833333333333335</v>
      </c>
    </row>
    <row r="53" spans="1:3">
      <c r="A53" t="s">
        <v>985</v>
      </c>
      <c r="B53">
        <v>111</v>
      </c>
      <c r="C53">
        <v>0.45945945945945948</v>
      </c>
    </row>
    <row r="54" spans="1:3">
      <c r="A54" t="s">
        <v>1022</v>
      </c>
      <c r="B54">
        <v>231</v>
      </c>
      <c r="C54">
        <v>0</v>
      </c>
    </row>
    <row r="55" spans="1:3">
      <c r="A55" t="s">
        <v>1007</v>
      </c>
      <c r="B55">
        <v>81</v>
      </c>
      <c r="C55">
        <v>1.5679012345679013</v>
      </c>
    </row>
    <row r="56" spans="1:3">
      <c r="A56" t="s">
        <v>1058</v>
      </c>
      <c r="B56">
        <v>112</v>
      </c>
      <c r="C56">
        <v>8.9285714285714281E-3</v>
      </c>
    </row>
    <row r="57" spans="1:3">
      <c r="A57" t="s">
        <v>1046</v>
      </c>
      <c r="B57">
        <v>4</v>
      </c>
      <c r="C57">
        <v>2.75</v>
      </c>
    </row>
    <row r="60" spans="1:3">
      <c r="A60" s="13" t="s">
        <v>957</v>
      </c>
      <c r="B60" t="s">
        <v>1298</v>
      </c>
      <c r="C60" t="s">
        <v>1299</v>
      </c>
    </row>
    <row r="61" spans="1:3">
      <c r="A61" t="s">
        <v>1275</v>
      </c>
      <c r="B61">
        <v>3</v>
      </c>
      <c r="C61" s="14">
        <v>1.9607843137254902E-2</v>
      </c>
    </row>
    <row r="62" spans="1:3">
      <c r="A62" t="s">
        <v>1269</v>
      </c>
      <c r="B62">
        <v>8</v>
      </c>
      <c r="C62" s="14">
        <v>5.2287581699346407E-2</v>
      </c>
    </row>
    <row r="63" spans="1:3">
      <c r="A63" t="s">
        <v>1240</v>
      </c>
      <c r="B63">
        <v>113</v>
      </c>
      <c r="C63" s="14">
        <v>0.73856209150326801</v>
      </c>
    </row>
    <row r="64" spans="1:3">
      <c r="A64" t="s">
        <v>1283</v>
      </c>
      <c r="B64">
        <v>3</v>
      </c>
      <c r="C64" s="14">
        <v>1.9607843137254902E-2</v>
      </c>
    </row>
    <row r="65" spans="1:3">
      <c r="A65" t="s">
        <v>1266</v>
      </c>
      <c r="B65">
        <v>1</v>
      </c>
      <c r="C65" s="14">
        <v>6.5359477124183009E-3</v>
      </c>
    </row>
    <row r="66" spans="1:3">
      <c r="A66" t="s">
        <v>1272</v>
      </c>
      <c r="B66">
        <v>3</v>
      </c>
      <c r="C66" s="14">
        <v>1.9607843137254902E-2</v>
      </c>
    </row>
    <row r="67" spans="1:3">
      <c r="A67" t="s">
        <v>1274</v>
      </c>
      <c r="B67">
        <v>2</v>
      </c>
      <c r="C67" s="14">
        <v>1.3071895424836602E-2</v>
      </c>
    </row>
    <row r="68" spans="1:3">
      <c r="A68" t="s">
        <v>1265</v>
      </c>
      <c r="B68">
        <v>1</v>
      </c>
      <c r="C68" s="14">
        <v>6.5359477124183009E-3</v>
      </c>
    </row>
    <row r="69" spans="1:3">
      <c r="A69" t="s">
        <v>1277</v>
      </c>
      <c r="B69">
        <v>2</v>
      </c>
      <c r="C69" s="14">
        <v>1.3071895424836602E-2</v>
      </c>
    </row>
    <row r="70" spans="1:3">
      <c r="A70" t="s">
        <v>1281</v>
      </c>
      <c r="B70">
        <v>3</v>
      </c>
      <c r="C70" s="14">
        <v>1.9607843137254902E-2</v>
      </c>
    </row>
    <row r="71" spans="1:3">
      <c r="A71" t="s">
        <v>1280</v>
      </c>
      <c r="B71">
        <v>1</v>
      </c>
      <c r="C71" s="14">
        <v>6.5359477124183009E-3</v>
      </c>
    </row>
    <row r="72" spans="1:3">
      <c r="A72" t="s">
        <v>1289</v>
      </c>
      <c r="B72">
        <v>3</v>
      </c>
      <c r="C72" s="14">
        <v>1.9607843137254902E-2</v>
      </c>
    </row>
    <row r="73" spans="1:3">
      <c r="A73" t="s">
        <v>1294</v>
      </c>
      <c r="B73">
        <v>1</v>
      </c>
      <c r="C73" s="14">
        <v>6.5359477124183009E-3</v>
      </c>
    </row>
    <row r="74" spans="1:3">
      <c r="A74" t="s">
        <v>1278</v>
      </c>
      <c r="B74">
        <v>4</v>
      </c>
      <c r="C74" s="14">
        <v>2.6143790849673203E-2</v>
      </c>
    </row>
    <row r="75" spans="1:3">
      <c r="A75" t="s">
        <v>1270</v>
      </c>
      <c r="B75">
        <v>5</v>
      </c>
      <c r="C75" s="14">
        <v>3.2679738562091505E-2</v>
      </c>
    </row>
    <row r="76" spans="1:3">
      <c r="A76" t="s">
        <v>1300</v>
      </c>
      <c r="B76">
        <v>153</v>
      </c>
      <c r="C76" s="14">
        <v>1</v>
      </c>
    </row>
    <row r="79" spans="1:3">
      <c r="A79" s="13" t="s">
        <v>957</v>
      </c>
      <c r="B79" t="s">
        <v>1298</v>
      </c>
      <c r="C79" t="s">
        <v>1299</v>
      </c>
    </row>
    <row r="80" spans="1:3">
      <c r="A80" t="s">
        <v>966</v>
      </c>
      <c r="B80">
        <v>9</v>
      </c>
      <c r="C80" s="14">
        <v>0.11688311688311688</v>
      </c>
    </row>
    <row r="81" spans="1:5">
      <c r="A81" t="s">
        <v>1032</v>
      </c>
      <c r="B81">
        <v>12</v>
      </c>
      <c r="C81" s="14">
        <v>0.15584415584415584</v>
      </c>
    </row>
    <row r="82" spans="1:5">
      <c r="A82" t="s">
        <v>985</v>
      </c>
      <c r="B82">
        <v>14</v>
      </c>
      <c r="C82" s="14">
        <v>0.18181818181818182</v>
      </c>
    </row>
    <row r="83" spans="1:5">
      <c r="A83" t="s">
        <v>1022</v>
      </c>
      <c r="B83">
        <v>13</v>
      </c>
      <c r="C83" s="14">
        <v>0.16883116883116883</v>
      </c>
    </row>
    <row r="84" spans="1:5">
      <c r="A84" t="s">
        <v>1007</v>
      </c>
      <c r="B84">
        <v>18</v>
      </c>
      <c r="C84" s="14">
        <v>0.23376623376623376</v>
      </c>
    </row>
    <row r="85" spans="1:5">
      <c r="A85" t="s">
        <v>1058</v>
      </c>
      <c r="B85">
        <v>11</v>
      </c>
      <c r="C85" s="14">
        <v>0.14285714285714285</v>
      </c>
    </row>
    <row r="86" spans="1:5">
      <c r="A86" t="s">
        <v>1300</v>
      </c>
      <c r="B86">
        <v>77</v>
      </c>
      <c r="C86" s="14">
        <v>1</v>
      </c>
    </row>
    <row r="88" spans="1:5">
      <c r="A88" s="13" t="s">
        <v>957</v>
      </c>
      <c r="B88" s="13" t="s">
        <v>1234</v>
      </c>
      <c r="C88" t="s">
        <v>1303</v>
      </c>
    </row>
    <row r="89" spans="1:5">
      <c r="A89" t="s">
        <v>1041</v>
      </c>
      <c r="B89" t="s">
        <v>1043</v>
      </c>
      <c r="C89">
        <v>12</v>
      </c>
      <c r="E89" t="s">
        <v>1250</v>
      </c>
    </row>
    <row r="90" spans="1:5">
      <c r="B90" t="s">
        <v>1044</v>
      </c>
      <c r="C90">
        <v>2</v>
      </c>
      <c r="D90" t="s">
        <v>1043</v>
      </c>
      <c r="E90">
        <v>12</v>
      </c>
    </row>
    <row r="91" spans="1:5">
      <c r="A91" t="s">
        <v>1304</v>
      </c>
      <c r="C91">
        <v>14</v>
      </c>
      <c r="D91" t="s">
        <v>983</v>
      </c>
      <c r="E91">
        <v>81</v>
      </c>
    </row>
    <row r="92" spans="1:5">
      <c r="A92" t="s">
        <v>966</v>
      </c>
      <c r="B92" t="s">
        <v>983</v>
      </c>
      <c r="C92">
        <v>81</v>
      </c>
      <c r="D92" t="s">
        <v>970</v>
      </c>
      <c r="E92">
        <v>34</v>
      </c>
    </row>
    <row r="93" spans="1:5">
      <c r="B93" t="s">
        <v>970</v>
      </c>
      <c r="C93">
        <v>34</v>
      </c>
      <c r="D93" t="s">
        <v>965</v>
      </c>
      <c r="E93">
        <v>165</v>
      </c>
    </row>
    <row r="94" spans="1:5">
      <c r="B94" t="s">
        <v>968</v>
      </c>
      <c r="C94">
        <v>11</v>
      </c>
      <c r="D94" t="s">
        <v>1031</v>
      </c>
      <c r="E94">
        <v>23</v>
      </c>
    </row>
    <row r="95" spans="1:5">
      <c r="B95" t="s">
        <v>972</v>
      </c>
      <c r="C95">
        <v>8</v>
      </c>
      <c r="D95" t="s">
        <v>988</v>
      </c>
      <c r="E95">
        <v>11</v>
      </c>
    </row>
    <row r="96" spans="1:5">
      <c r="B96" t="s">
        <v>978</v>
      </c>
      <c r="C96">
        <v>6</v>
      </c>
      <c r="D96" t="s">
        <v>989</v>
      </c>
      <c r="E96">
        <v>14</v>
      </c>
    </row>
    <row r="97" spans="1:5">
      <c r="B97" t="s">
        <v>1239</v>
      </c>
      <c r="C97">
        <v>10</v>
      </c>
      <c r="D97" t="s">
        <v>992</v>
      </c>
      <c r="E97">
        <v>17</v>
      </c>
    </row>
    <row r="98" spans="1:5">
      <c r="B98" t="s">
        <v>982</v>
      </c>
      <c r="C98">
        <v>2</v>
      </c>
      <c r="D98" t="s">
        <v>984</v>
      </c>
      <c r="E98">
        <v>20</v>
      </c>
    </row>
    <row r="99" spans="1:5">
      <c r="B99" t="s">
        <v>965</v>
      </c>
      <c r="C99">
        <v>165</v>
      </c>
      <c r="D99" t="s">
        <v>1248</v>
      </c>
      <c r="E99">
        <v>12</v>
      </c>
    </row>
    <row r="100" spans="1:5">
      <c r="B100" t="s">
        <v>974</v>
      </c>
      <c r="C100">
        <v>11</v>
      </c>
    </row>
    <row r="101" spans="1:5">
      <c r="A101" t="s">
        <v>1305</v>
      </c>
      <c r="C101">
        <v>328</v>
      </c>
    </row>
    <row r="102" spans="1:5">
      <c r="A102" t="s">
        <v>1032</v>
      </c>
      <c r="B102" t="s">
        <v>1038</v>
      </c>
      <c r="C102">
        <v>5</v>
      </c>
    </row>
    <row r="103" spans="1:5">
      <c r="B103" t="s">
        <v>1031</v>
      </c>
      <c r="C103">
        <v>23</v>
      </c>
    </row>
    <row r="104" spans="1:5">
      <c r="B104" t="s">
        <v>1039</v>
      </c>
      <c r="C104">
        <v>1</v>
      </c>
    </row>
    <row r="105" spans="1:5">
      <c r="B105" t="s">
        <v>1034</v>
      </c>
      <c r="C105">
        <v>1</v>
      </c>
    </row>
    <row r="106" spans="1:5">
      <c r="B106" t="s">
        <v>1033</v>
      </c>
      <c r="C106">
        <v>2</v>
      </c>
    </row>
    <row r="107" spans="1:5">
      <c r="B107" t="s">
        <v>1247</v>
      </c>
      <c r="C107">
        <v>2</v>
      </c>
    </row>
    <row r="108" spans="1:5">
      <c r="B108" t="s">
        <v>1035</v>
      </c>
      <c r="C108">
        <v>1</v>
      </c>
    </row>
    <row r="109" spans="1:5">
      <c r="B109" t="s">
        <v>1036</v>
      </c>
      <c r="C109">
        <v>1</v>
      </c>
    </row>
    <row r="110" spans="1:5">
      <c r="A110" t="s">
        <v>1306</v>
      </c>
      <c r="C110">
        <v>36</v>
      </c>
    </row>
    <row r="111" spans="1:5">
      <c r="A111" t="s">
        <v>1108</v>
      </c>
      <c r="B111" t="s">
        <v>1257</v>
      </c>
      <c r="C111">
        <v>2</v>
      </c>
    </row>
    <row r="112" spans="1:5">
      <c r="B112" t="s">
        <v>1000</v>
      </c>
      <c r="C112">
        <v>3</v>
      </c>
    </row>
    <row r="113" spans="1:3">
      <c r="B113" t="s">
        <v>988</v>
      </c>
      <c r="C113">
        <v>11</v>
      </c>
    </row>
    <row r="114" spans="1:3">
      <c r="B114" t="s">
        <v>989</v>
      </c>
      <c r="C114">
        <v>14</v>
      </c>
    </row>
    <row r="115" spans="1:3">
      <c r="B115" t="s">
        <v>1005</v>
      </c>
      <c r="C115">
        <v>1</v>
      </c>
    </row>
    <row r="116" spans="1:3">
      <c r="B116" t="s">
        <v>992</v>
      </c>
      <c r="C116">
        <v>17</v>
      </c>
    </row>
    <row r="117" spans="1:3">
      <c r="B117" t="s">
        <v>991</v>
      </c>
      <c r="C117">
        <v>5</v>
      </c>
    </row>
    <row r="118" spans="1:3">
      <c r="B118" t="s">
        <v>984</v>
      </c>
      <c r="C118">
        <v>20</v>
      </c>
    </row>
    <row r="119" spans="1:3">
      <c r="B119" t="s">
        <v>996</v>
      </c>
      <c r="C119">
        <v>6</v>
      </c>
    </row>
    <row r="120" spans="1:3">
      <c r="B120" t="s">
        <v>1248</v>
      </c>
      <c r="C120">
        <v>12</v>
      </c>
    </row>
    <row r="121" spans="1:3">
      <c r="B121" t="s">
        <v>998</v>
      </c>
      <c r="C121">
        <v>3</v>
      </c>
    </row>
    <row r="122" spans="1:3">
      <c r="B122" t="s">
        <v>993</v>
      </c>
      <c r="C122">
        <v>2</v>
      </c>
    </row>
    <row r="123" spans="1:3">
      <c r="B123" t="s">
        <v>1001</v>
      </c>
      <c r="C123">
        <v>3</v>
      </c>
    </row>
    <row r="124" spans="1:3">
      <c r="B124" t="s">
        <v>999</v>
      </c>
      <c r="C124">
        <v>2</v>
      </c>
    </row>
    <row r="125" spans="1:3">
      <c r="B125" t="s">
        <v>1004</v>
      </c>
      <c r="C125">
        <v>1</v>
      </c>
    </row>
    <row r="126" spans="1:3">
      <c r="B126" t="s">
        <v>990</v>
      </c>
      <c r="C126">
        <v>3</v>
      </c>
    </row>
    <row r="127" spans="1:3">
      <c r="B127" t="s">
        <v>995</v>
      </c>
      <c r="C127">
        <v>6</v>
      </c>
    </row>
    <row r="128" spans="1:3">
      <c r="A128" t="s">
        <v>1307</v>
      </c>
      <c r="C128">
        <v>111</v>
      </c>
    </row>
    <row r="129" spans="1:3">
      <c r="A129" t="s">
        <v>1022</v>
      </c>
      <c r="B129" t="s">
        <v>1029</v>
      </c>
      <c r="C129">
        <v>13</v>
      </c>
    </row>
    <row r="130" spans="1:3">
      <c r="B130" t="s">
        <v>1028</v>
      </c>
      <c r="C130">
        <v>179</v>
      </c>
    </row>
    <row r="131" spans="1:3">
      <c r="B131" t="s">
        <v>1030</v>
      </c>
      <c r="C131">
        <v>3</v>
      </c>
    </row>
    <row r="132" spans="1:3">
      <c r="B132" t="s">
        <v>1027</v>
      </c>
      <c r="C132">
        <v>16</v>
      </c>
    </row>
    <row r="133" spans="1:3">
      <c r="B133" t="s">
        <v>1021</v>
      </c>
      <c r="C133">
        <v>4</v>
      </c>
    </row>
    <row r="134" spans="1:3">
      <c r="B134" t="s">
        <v>1024</v>
      </c>
      <c r="C134">
        <v>11</v>
      </c>
    </row>
    <row r="135" spans="1:3">
      <c r="B135" t="s">
        <v>1025</v>
      </c>
      <c r="C135">
        <v>2</v>
      </c>
    </row>
    <row r="136" spans="1:3">
      <c r="B136" t="s">
        <v>1026</v>
      </c>
      <c r="C136">
        <v>3</v>
      </c>
    </row>
    <row r="137" spans="1:3">
      <c r="A137" t="s">
        <v>1308</v>
      </c>
      <c r="C137">
        <v>231</v>
      </c>
    </row>
    <row r="138" spans="1:3">
      <c r="A138" t="s">
        <v>1007</v>
      </c>
      <c r="B138" t="s">
        <v>1020</v>
      </c>
      <c r="C138">
        <v>58</v>
      </c>
    </row>
    <row r="139" spans="1:3">
      <c r="B139" t="s">
        <v>1008</v>
      </c>
      <c r="C139">
        <v>6</v>
      </c>
    </row>
    <row r="140" spans="1:3">
      <c r="B140" t="s">
        <v>1013</v>
      </c>
      <c r="C140">
        <v>2</v>
      </c>
    </row>
    <row r="141" spans="1:3">
      <c r="B141" t="s">
        <v>1006</v>
      </c>
      <c r="C141">
        <v>7</v>
      </c>
    </row>
    <row r="142" spans="1:3">
      <c r="B142" t="s">
        <v>1012</v>
      </c>
      <c r="C142">
        <v>2</v>
      </c>
    </row>
    <row r="143" spans="1:3">
      <c r="B143" t="s">
        <v>1011</v>
      </c>
      <c r="C143">
        <v>1</v>
      </c>
    </row>
    <row r="144" spans="1:3">
      <c r="B144" t="s">
        <v>1009</v>
      </c>
      <c r="C144">
        <v>5</v>
      </c>
    </row>
    <row r="145" spans="1:3">
      <c r="A145" t="s">
        <v>1309</v>
      </c>
      <c r="C145">
        <v>81</v>
      </c>
    </row>
    <row r="146" spans="1:3">
      <c r="A146" t="s">
        <v>1058</v>
      </c>
      <c r="B146" t="s">
        <v>1064</v>
      </c>
      <c r="C146">
        <v>7</v>
      </c>
    </row>
    <row r="147" spans="1:3">
      <c r="B147" t="s">
        <v>1075</v>
      </c>
      <c r="C147">
        <v>2</v>
      </c>
    </row>
    <row r="148" spans="1:3">
      <c r="B148" t="s">
        <v>1073</v>
      </c>
      <c r="C148">
        <v>19</v>
      </c>
    </row>
    <row r="149" spans="1:3">
      <c r="B149" t="s">
        <v>1077</v>
      </c>
      <c r="C149">
        <v>2</v>
      </c>
    </row>
    <row r="150" spans="1:3">
      <c r="B150" t="s">
        <v>1057</v>
      </c>
      <c r="C150">
        <v>25</v>
      </c>
    </row>
    <row r="151" spans="1:3">
      <c r="B151" t="s">
        <v>1059</v>
      </c>
      <c r="C151">
        <v>1</v>
      </c>
    </row>
    <row r="152" spans="1:3">
      <c r="B152" t="s">
        <v>1076</v>
      </c>
      <c r="C152">
        <v>10</v>
      </c>
    </row>
    <row r="153" spans="1:3">
      <c r="B153" t="s">
        <v>1070</v>
      </c>
      <c r="C153">
        <v>1</v>
      </c>
    </row>
    <row r="154" spans="1:3">
      <c r="B154" t="s">
        <v>1060</v>
      </c>
      <c r="C154">
        <v>11</v>
      </c>
    </row>
    <row r="155" spans="1:3">
      <c r="B155" t="s">
        <v>1244</v>
      </c>
      <c r="C155">
        <v>7</v>
      </c>
    </row>
    <row r="156" spans="1:3">
      <c r="B156" t="s">
        <v>1069</v>
      </c>
      <c r="C156">
        <v>9</v>
      </c>
    </row>
    <row r="157" spans="1:3">
      <c r="B157" t="s">
        <v>1068</v>
      </c>
      <c r="C157">
        <v>2</v>
      </c>
    </row>
    <row r="158" spans="1:3">
      <c r="B158" t="s">
        <v>1236</v>
      </c>
      <c r="C158">
        <v>6</v>
      </c>
    </row>
    <row r="159" spans="1:3">
      <c r="B159" t="s">
        <v>1061</v>
      </c>
      <c r="C159">
        <v>4</v>
      </c>
    </row>
    <row r="160" spans="1:3">
      <c r="B160" t="s">
        <v>1062</v>
      </c>
      <c r="C160">
        <v>6</v>
      </c>
    </row>
    <row r="161" spans="1:3">
      <c r="A161" t="s">
        <v>1310</v>
      </c>
      <c r="C161">
        <v>112</v>
      </c>
    </row>
    <row r="162" spans="1:3">
      <c r="A162" t="s">
        <v>1046</v>
      </c>
      <c r="B162" t="s">
        <v>1045</v>
      </c>
      <c r="C162">
        <v>3</v>
      </c>
    </row>
    <row r="163" spans="1:3">
      <c r="B163" t="s">
        <v>1053</v>
      </c>
      <c r="C163">
        <v>1</v>
      </c>
    </row>
    <row r="164" spans="1:3">
      <c r="A164" t="s">
        <v>1311</v>
      </c>
      <c r="C164">
        <v>4</v>
      </c>
    </row>
    <row r="165" spans="1:3">
      <c r="A165" t="s">
        <v>1300</v>
      </c>
      <c r="C165">
        <v>917</v>
      </c>
    </row>
  </sheetData>
  <sortState xmlns:xlrd2="http://schemas.microsoft.com/office/spreadsheetml/2017/richdata2" ref="A40:B47">
    <sortCondition ref="B40:B47"/>
  </sortState>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A4A4-311C-4674-BE95-FBC964528B3C}">
  <dimension ref="A2:B11"/>
  <sheetViews>
    <sheetView workbookViewId="0"/>
  </sheetViews>
  <sheetFormatPr defaultRowHeight="15"/>
  <cols>
    <col min="1" max="1" width="19.85546875" bestFit="1" customWidth="1"/>
    <col min="2" max="2" width="27.7109375" bestFit="1" customWidth="1"/>
  </cols>
  <sheetData>
    <row r="2" spans="1:2">
      <c r="A2" t="s">
        <v>961</v>
      </c>
      <c r="B2" t="s">
        <v>1312</v>
      </c>
    </row>
    <row r="3" spans="1:2">
      <c r="A3" t="s">
        <v>1032</v>
      </c>
      <c r="B3">
        <v>3.25</v>
      </c>
    </row>
    <row r="4" spans="1:2">
      <c r="A4" t="s">
        <v>1007</v>
      </c>
      <c r="B4">
        <v>2.5714285714285716</v>
      </c>
    </row>
    <row r="5" spans="1:2">
      <c r="A5" t="s">
        <v>1046</v>
      </c>
      <c r="B5">
        <v>2.3636363636363638</v>
      </c>
    </row>
    <row r="6" spans="1:2">
      <c r="A6" t="s">
        <v>1041</v>
      </c>
      <c r="B6">
        <v>1.25</v>
      </c>
    </row>
    <row r="7" spans="1:2">
      <c r="A7" t="s">
        <v>985</v>
      </c>
      <c r="B7">
        <v>0.59090909090909094</v>
      </c>
    </row>
    <row r="8" spans="1:2">
      <c r="A8" t="s">
        <v>966</v>
      </c>
      <c r="B8">
        <v>0.1</v>
      </c>
    </row>
    <row r="9" spans="1:2">
      <c r="A9" t="s">
        <v>1058</v>
      </c>
      <c r="B9">
        <v>9.0909090909090912E-2</v>
      </c>
    </row>
    <row r="10" spans="1:2">
      <c r="A10" t="s">
        <v>1022</v>
      </c>
      <c r="B10">
        <v>0</v>
      </c>
    </row>
    <row r="11" spans="1:2">
      <c r="A11" t="s">
        <v>1300</v>
      </c>
      <c r="B11">
        <v>1.0900000000000001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EC7E-5931-4D0E-B28C-144C98FD683D}">
  <dimension ref="A1:M498"/>
  <sheetViews>
    <sheetView topLeftCell="C1" workbookViewId="0">
      <selection activeCell="M12" sqref="M12"/>
    </sheetView>
  </sheetViews>
  <sheetFormatPr defaultRowHeight="15"/>
  <cols>
    <col min="1" max="1" width="95.85546875" customWidth="1"/>
    <col min="2" max="2" width="56.140625" customWidth="1"/>
  </cols>
  <sheetData>
    <row r="1" spans="1:13">
      <c r="A1" t="s">
        <v>0</v>
      </c>
      <c r="B1" t="s">
        <v>1041</v>
      </c>
      <c r="C1" t="s">
        <v>966</v>
      </c>
      <c r="D1" t="s">
        <v>1032</v>
      </c>
      <c r="E1" t="s">
        <v>985</v>
      </c>
      <c r="F1" t="s">
        <v>1022</v>
      </c>
      <c r="G1" t="s">
        <v>1007</v>
      </c>
      <c r="H1" t="s">
        <v>1058</v>
      </c>
      <c r="I1" t="s">
        <v>1046</v>
      </c>
    </row>
    <row r="2" spans="1:13">
      <c r="A2" t="s">
        <v>14</v>
      </c>
      <c r="B2">
        <v>0</v>
      </c>
      <c r="C2">
        <v>1</v>
      </c>
      <c r="D2">
        <v>0</v>
      </c>
      <c r="E2">
        <v>1</v>
      </c>
      <c r="F2">
        <v>1</v>
      </c>
      <c r="G2">
        <v>0</v>
      </c>
      <c r="H2">
        <v>0</v>
      </c>
      <c r="I2">
        <v>0</v>
      </c>
      <c r="L2" t="s">
        <v>1313</v>
      </c>
    </row>
    <row r="3" spans="1:13">
      <c r="A3" t="s">
        <v>15</v>
      </c>
      <c r="B3">
        <v>0</v>
      </c>
      <c r="C3">
        <v>1</v>
      </c>
      <c r="D3">
        <v>0</v>
      </c>
      <c r="E3">
        <v>0</v>
      </c>
      <c r="F3">
        <v>1</v>
      </c>
      <c r="G3">
        <v>0</v>
      </c>
      <c r="H3">
        <v>0</v>
      </c>
      <c r="I3">
        <v>0</v>
      </c>
      <c r="L3" t="s">
        <v>1314</v>
      </c>
      <c r="M3">
        <v>14</v>
      </c>
    </row>
    <row r="4" spans="1:13">
      <c r="A4" t="s">
        <v>16</v>
      </c>
      <c r="B4">
        <v>0</v>
      </c>
      <c r="C4">
        <v>1</v>
      </c>
      <c r="D4">
        <v>0</v>
      </c>
      <c r="E4">
        <v>0</v>
      </c>
      <c r="F4">
        <v>1</v>
      </c>
      <c r="G4">
        <v>0</v>
      </c>
      <c r="H4">
        <v>0</v>
      </c>
      <c r="I4">
        <v>0</v>
      </c>
      <c r="L4" t="s">
        <v>1315</v>
      </c>
      <c r="M4">
        <v>215</v>
      </c>
    </row>
    <row r="5" spans="1:13">
      <c r="A5" t="s">
        <v>17</v>
      </c>
      <c r="B5">
        <v>0</v>
      </c>
      <c r="C5">
        <v>1</v>
      </c>
      <c r="D5">
        <v>0</v>
      </c>
      <c r="E5">
        <v>0</v>
      </c>
      <c r="F5">
        <v>1</v>
      </c>
      <c r="G5">
        <v>1</v>
      </c>
      <c r="H5">
        <v>0</v>
      </c>
      <c r="I5">
        <v>0</v>
      </c>
      <c r="L5" t="s">
        <v>1316</v>
      </c>
      <c r="M5">
        <v>29</v>
      </c>
    </row>
    <row r="6" spans="1:13">
      <c r="A6" t="s">
        <v>18</v>
      </c>
      <c r="B6">
        <v>0</v>
      </c>
      <c r="C6">
        <v>1</v>
      </c>
      <c r="D6">
        <v>0</v>
      </c>
      <c r="E6">
        <v>1</v>
      </c>
      <c r="F6">
        <v>1</v>
      </c>
      <c r="G6">
        <v>0</v>
      </c>
      <c r="H6">
        <v>1</v>
      </c>
      <c r="I6">
        <v>0</v>
      </c>
      <c r="L6" t="s">
        <v>1317</v>
      </c>
      <c r="M6">
        <v>86</v>
      </c>
    </row>
    <row r="7" spans="1:13">
      <c r="A7" t="s">
        <v>19</v>
      </c>
      <c r="B7">
        <v>0</v>
      </c>
      <c r="C7">
        <v>1</v>
      </c>
      <c r="D7">
        <v>0</v>
      </c>
      <c r="E7">
        <v>0</v>
      </c>
      <c r="F7">
        <v>1</v>
      </c>
      <c r="G7">
        <v>0</v>
      </c>
      <c r="H7">
        <v>0</v>
      </c>
      <c r="I7">
        <v>0</v>
      </c>
      <c r="L7" t="s">
        <v>1318</v>
      </c>
      <c r="M7">
        <v>208</v>
      </c>
    </row>
    <row r="8" spans="1:13">
      <c r="A8" t="s">
        <v>20</v>
      </c>
      <c r="B8">
        <v>0</v>
      </c>
      <c r="C8">
        <v>1</v>
      </c>
      <c r="D8">
        <v>0</v>
      </c>
      <c r="E8">
        <v>0</v>
      </c>
      <c r="F8">
        <v>1</v>
      </c>
      <c r="G8">
        <v>0</v>
      </c>
      <c r="H8">
        <v>1</v>
      </c>
      <c r="I8">
        <v>0</v>
      </c>
      <c r="L8" t="s">
        <v>1319</v>
      </c>
      <c r="M8">
        <v>78</v>
      </c>
    </row>
    <row r="9" spans="1:13">
      <c r="A9" t="s">
        <v>21</v>
      </c>
      <c r="B9">
        <v>0</v>
      </c>
      <c r="C9">
        <v>1</v>
      </c>
      <c r="D9">
        <v>0</v>
      </c>
      <c r="E9">
        <v>0</v>
      </c>
      <c r="F9">
        <v>1</v>
      </c>
      <c r="G9">
        <v>0</v>
      </c>
      <c r="H9">
        <v>0</v>
      </c>
      <c r="I9">
        <v>0</v>
      </c>
      <c r="L9" t="s">
        <v>1320</v>
      </c>
      <c r="M9">
        <v>85</v>
      </c>
    </row>
    <row r="10" spans="1:13">
      <c r="A10" t="s">
        <v>22</v>
      </c>
      <c r="B10">
        <v>0</v>
      </c>
      <c r="C10">
        <v>1</v>
      </c>
      <c r="D10">
        <v>0</v>
      </c>
      <c r="E10">
        <v>0</v>
      </c>
      <c r="F10">
        <v>1</v>
      </c>
      <c r="G10">
        <v>0</v>
      </c>
      <c r="H10">
        <v>0</v>
      </c>
      <c r="I10">
        <v>0</v>
      </c>
      <c r="L10" t="s">
        <v>1321</v>
      </c>
      <c r="M10">
        <v>4</v>
      </c>
    </row>
    <row r="11" spans="1:13">
      <c r="A11" t="s">
        <v>23</v>
      </c>
      <c r="B11">
        <v>0</v>
      </c>
      <c r="C11">
        <v>1</v>
      </c>
      <c r="D11">
        <v>0</v>
      </c>
      <c r="E11">
        <v>0</v>
      </c>
      <c r="F11">
        <v>1</v>
      </c>
      <c r="G11">
        <v>0</v>
      </c>
      <c r="H11">
        <v>0</v>
      </c>
      <c r="I11">
        <v>0</v>
      </c>
      <c r="M11">
        <f>SUM(M3:M10)</f>
        <v>719</v>
      </c>
    </row>
    <row r="12" spans="1:13">
      <c r="A12" t="s">
        <v>24</v>
      </c>
      <c r="B12">
        <v>0</v>
      </c>
      <c r="C12">
        <v>1</v>
      </c>
      <c r="D12">
        <v>0</v>
      </c>
      <c r="E12">
        <v>0</v>
      </c>
      <c r="F12">
        <v>1</v>
      </c>
      <c r="G12">
        <v>0</v>
      </c>
      <c r="H12">
        <v>1</v>
      </c>
      <c r="I12">
        <v>0</v>
      </c>
    </row>
    <row r="13" spans="1:13">
      <c r="A13" t="s">
        <v>25</v>
      </c>
      <c r="B13">
        <v>0</v>
      </c>
      <c r="C13">
        <v>1</v>
      </c>
      <c r="D13">
        <v>0</v>
      </c>
      <c r="E13">
        <v>0</v>
      </c>
      <c r="F13">
        <v>1</v>
      </c>
      <c r="G13">
        <v>0</v>
      </c>
      <c r="H13">
        <v>0</v>
      </c>
      <c r="I13">
        <v>0</v>
      </c>
    </row>
    <row r="14" spans="1:13">
      <c r="A14" t="s">
        <v>26</v>
      </c>
      <c r="B14">
        <v>0</v>
      </c>
      <c r="C14">
        <v>0</v>
      </c>
      <c r="D14">
        <v>0</v>
      </c>
      <c r="E14">
        <v>0</v>
      </c>
      <c r="F14">
        <v>0</v>
      </c>
      <c r="G14">
        <v>0</v>
      </c>
      <c r="H14">
        <v>1</v>
      </c>
      <c r="I14">
        <v>0</v>
      </c>
    </row>
    <row r="15" spans="1:13">
      <c r="A15" t="s">
        <v>27</v>
      </c>
      <c r="B15">
        <v>0</v>
      </c>
      <c r="C15">
        <v>1</v>
      </c>
      <c r="D15">
        <v>0</v>
      </c>
      <c r="E15">
        <v>0</v>
      </c>
      <c r="F15">
        <v>1</v>
      </c>
      <c r="G15">
        <v>0</v>
      </c>
      <c r="H15">
        <v>0</v>
      </c>
      <c r="I15">
        <v>0</v>
      </c>
    </row>
    <row r="16" spans="1:13">
      <c r="A16" t="s">
        <v>28</v>
      </c>
      <c r="B16">
        <v>0</v>
      </c>
      <c r="C16">
        <v>1</v>
      </c>
      <c r="D16">
        <v>0</v>
      </c>
      <c r="E16">
        <v>0</v>
      </c>
      <c r="F16">
        <v>1</v>
      </c>
      <c r="G16">
        <v>0</v>
      </c>
      <c r="H16">
        <v>0</v>
      </c>
      <c r="I16">
        <v>0</v>
      </c>
    </row>
    <row r="17" spans="1:9">
      <c r="A17" t="s">
        <v>29</v>
      </c>
      <c r="B17">
        <v>1</v>
      </c>
      <c r="C17">
        <v>1</v>
      </c>
      <c r="D17">
        <v>0</v>
      </c>
      <c r="E17">
        <v>0</v>
      </c>
      <c r="F17">
        <v>1</v>
      </c>
      <c r="G17">
        <v>1</v>
      </c>
      <c r="H17">
        <v>0</v>
      </c>
      <c r="I17">
        <v>0</v>
      </c>
    </row>
    <row r="18" spans="1:9">
      <c r="A18" t="s">
        <v>30</v>
      </c>
      <c r="B18">
        <v>0</v>
      </c>
      <c r="C18">
        <v>1</v>
      </c>
      <c r="D18">
        <v>0</v>
      </c>
      <c r="E18">
        <v>0</v>
      </c>
      <c r="F18">
        <v>1</v>
      </c>
      <c r="G18">
        <v>0</v>
      </c>
      <c r="H18">
        <v>0</v>
      </c>
      <c r="I18">
        <v>0</v>
      </c>
    </row>
    <row r="19" spans="1:9">
      <c r="A19" t="s">
        <v>31</v>
      </c>
      <c r="B19">
        <v>0</v>
      </c>
      <c r="C19">
        <v>1</v>
      </c>
      <c r="D19">
        <v>1</v>
      </c>
      <c r="E19">
        <v>0</v>
      </c>
      <c r="F19">
        <v>1</v>
      </c>
      <c r="G19">
        <v>1</v>
      </c>
      <c r="H19">
        <v>1</v>
      </c>
      <c r="I19">
        <v>0</v>
      </c>
    </row>
    <row r="20" spans="1:9">
      <c r="A20" t="s">
        <v>32</v>
      </c>
      <c r="B20">
        <v>0</v>
      </c>
      <c r="C20">
        <v>1</v>
      </c>
      <c r="D20">
        <v>0</v>
      </c>
      <c r="E20">
        <v>1</v>
      </c>
      <c r="F20">
        <v>1</v>
      </c>
      <c r="G20">
        <v>0</v>
      </c>
      <c r="H20">
        <v>0</v>
      </c>
      <c r="I20">
        <v>0</v>
      </c>
    </row>
    <row r="21" spans="1:9">
      <c r="A21" t="s">
        <v>33</v>
      </c>
      <c r="B21">
        <v>0</v>
      </c>
      <c r="C21">
        <v>0</v>
      </c>
      <c r="D21">
        <v>0</v>
      </c>
      <c r="E21">
        <v>0</v>
      </c>
      <c r="F21">
        <v>0</v>
      </c>
      <c r="G21">
        <v>0</v>
      </c>
      <c r="H21">
        <v>0</v>
      </c>
      <c r="I21">
        <v>0</v>
      </c>
    </row>
    <row r="22" spans="1:9">
      <c r="A22" t="s">
        <v>34</v>
      </c>
      <c r="B22">
        <v>0</v>
      </c>
      <c r="C22">
        <v>0</v>
      </c>
      <c r="D22">
        <v>1</v>
      </c>
      <c r="E22">
        <v>0</v>
      </c>
      <c r="F22">
        <v>0</v>
      </c>
      <c r="G22">
        <v>0</v>
      </c>
      <c r="H22">
        <v>0</v>
      </c>
      <c r="I22">
        <v>0</v>
      </c>
    </row>
    <row r="23" spans="1:9">
      <c r="A23" t="s">
        <v>35</v>
      </c>
      <c r="B23">
        <v>0</v>
      </c>
      <c r="C23">
        <v>1</v>
      </c>
      <c r="D23">
        <v>0</v>
      </c>
      <c r="E23">
        <v>1</v>
      </c>
      <c r="F23">
        <v>1</v>
      </c>
      <c r="G23">
        <v>1</v>
      </c>
      <c r="H23">
        <v>1</v>
      </c>
      <c r="I23">
        <v>0</v>
      </c>
    </row>
    <row r="24" spans="1:9">
      <c r="A24" t="s">
        <v>35</v>
      </c>
      <c r="B24">
        <v>0</v>
      </c>
      <c r="C24">
        <v>1</v>
      </c>
      <c r="D24">
        <v>0</v>
      </c>
      <c r="E24">
        <v>1</v>
      </c>
      <c r="F24">
        <v>1</v>
      </c>
      <c r="G24">
        <v>1</v>
      </c>
      <c r="H24">
        <v>1</v>
      </c>
      <c r="I24">
        <v>0</v>
      </c>
    </row>
    <row r="25" spans="1:9">
      <c r="A25" t="s">
        <v>36</v>
      </c>
      <c r="B25">
        <v>0</v>
      </c>
      <c r="C25">
        <v>1</v>
      </c>
      <c r="D25">
        <v>0</v>
      </c>
      <c r="E25">
        <v>0</v>
      </c>
      <c r="F25">
        <v>1</v>
      </c>
      <c r="G25">
        <v>1</v>
      </c>
      <c r="H25">
        <v>0</v>
      </c>
      <c r="I25">
        <v>0</v>
      </c>
    </row>
    <row r="26" spans="1:9">
      <c r="A26" t="s">
        <v>38</v>
      </c>
      <c r="B26">
        <v>0</v>
      </c>
      <c r="C26">
        <v>1</v>
      </c>
      <c r="D26">
        <v>0</v>
      </c>
      <c r="E26">
        <v>0</v>
      </c>
      <c r="F26">
        <v>1</v>
      </c>
      <c r="G26">
        <v>0</v>
      </c>
      <c r="H26">
        <v>0</v>
      </c>
      <c r="I26">
        <v>0</v>
      </c>
    </row>
    <row r="27" spans="1:9">
      <c r="A27" t="s">
        <v>40</v>
      </c>
      <c r="B27">
        <v>0</v>
      </c>
      <c r="C27">
        <v>1</v>
      </c>
      <c r="D27">
        <v>0</v>
      </c>
      <c r="E27">
        <v>0</v>
      </c>
      <c r="F27">
        <v>1</v>
      </c>
      <c r="G27">
        <v>0</v>
      </c>
      <c r="H27">
        <v>0</v>
      </c>
      <c r="I27">
        <v>0</v>
      </c>
    </row>
    <row r="28" spans="1:9">
      <c r="A28" t="s">
        <v>42</v>
      </c>
      <c r="B28">
        <v>0</v>
      </c>
      <c r="C28">
        <v>1</v>
      </c>
      <c r="D28">
        <v>0</v>
      </c>
      <c r="E28">
        <v>0</v>
      </c>
      <c r="F28">
        <v>1</v>
      </c>
      <c r="G28">
        <v>0</v>
      </c>
      <c r="H28">
        <v>0</v>
      </c>
      <c r="I28">
        <v>0</v>
      </c>
    </row>
    <row r="29" spans="1:9">
      <c r="A29" t="s">
        <v>44</v>
      </c>
      <c r="B29">
        <v>0</v>
      </c>
      <c r="C29">
        <v>1</v>
      </c>
      <c r="D29">
        <v>0</v>
      </c>
      <c r="E29">
        <v>0</v>
      </c>
      <c r="F29">
        <v>1</v>
      </c>
      <c r="G29">
        <v>0</v>
      </c>
      <c r="H29">
        <v>0</v>
      </c>
      <c r="I29">
        <v>0</v>
      </c>
    </row>
    <row r="30" spans="1:9">
      <c r="A30" t="s">
        <v>46</v>
      </c>
      <c r="B30">
        <v>0</v>
      </c>
      <c r="C30">
        <v>1</v>
      </c>
      <c r="D30">
        <v>0</v>
      </c>
      <c r="E30">
        <v>0</v>
      </c>
      <c r="F30">
        <v>1</v>
      </c>
      <c r="G30">
        <v>0</v>
      </c>
      <c r="H30">
        <v>0</v>
      </c>
      <c r="I30">
        <v>0</v>
      </c>
    </row>
    <row r="31" spans="1:9">
      <c r="A31" t="s">
        <v>48</v>
      </c>
      <c r="B31">
        <v>0</v>
      </c>
      <c r="C31">
        <v>1</v>
      </c>
      <c r="D31">
        <v>0</v>
      </c>
      <c r="E31">
        <v>0</v>
      </c>
      <c r="F31">
        <v>1</v>
      </c>
      <c r="G31">
        <v>0</v>
      </c>
      <c r="H31">
        <v>1</v>
      </c>
      <c r="I31">
        <v>0</v>
      </c>
    </row>
    <row r="32" spans="1:9">
      <c r="A32" t="s">
        <v>50</v>
      </c>
      <c r="B32">
        <v>0</v>
      </c>
      <c r="C32">
        <v>1</v>
      </c>
      <c r="D32">
        <v>0</v>
      </c>
      <c r="E32">
        <v>0</v>
      </c>
      <c r="F32">
        <v>1</v>
      </c>
      <c r="G32">
        <v>0</v>
      </c>
      <c r="H32">
        <v>0</v>
      </c>
      <c r="I32">
        <v>0</v>
      </c>
    </row>
    <row r="33" spans="1:9">
      <c r="A33" t="s">
        <v>52</v>
      </c>
      <c r="B33">
        <v>0</v>
      </c>
      <c r="C33">
        <v>1</v>
      </c>
      <c r="D33">
        <v>0</v>
      </c>
      <c r="E33">
        <v>0</v>
      </c>
      <c r="F33">
        <v>1</v>
      </c>
      <c r="G33">
        <v>0</v>
      </c>
      <c r="H33">
        <v>0</v>
      </c>
      <c r="I33">
        <v>0</v>
      </c>
    </row>
    <row r="34" spans="1:9">
      <c r="A34" t="s">
        <v>54</v>
      </c>
      <c r="B34">
        <v>0</v>
      </c>
      <c r="C34">
        <v>1</v>
      </c>
      <c r="D34">
        <v>0</v>
      </c>
      <c r="E34">
        <v>0</v>
      </c>
      <c r="F34">
        <v>1</v>
      </c>
      <c r="G34">
        <v>0</v>
      </c>
      <c r="H34">
        <v>0</v>
      </c>
      <c r="I34">
        <v>0</v>
      </c>
    </row>
    <row r="35" spans="1:9">
      <c r="A35" t="s">
        <v>54</v>
      </c>
      <c r="B35">
        <v>0</v>
      </c>
      <c r="C35">
        <v>1</v>
      </c>
      <c r="D35">
        <v>0</v>
      </c>
      <c r="E35">
        <v>0</v>
      </c>
      <c r="F35">
        <v>1</v>
      </c>
      <c r="G35">
        <v>0</v>
      </c>
      <c r="H35">
        <v>0</v>
      </c>
      <c r="I35">
        <v>0</v>
      </c>
    </row>
    <row r="36" spans="1:9">
      <c r="A36" t="s">
        <v>56</v>
      </c>
      <c r="B36">
        <v>0</v>
      </c>
      <c r="C36">
        <v>1</v>
      </c>
      <c r="D36">
        <v>0</v>
      </c>
      <c r="E36">
        <v>0</v>
      </c>
      <c r="F36">
        <v>1</v>
      </c>
      <c r="G36">
        <v>0</v>
      </c>
      <c r="H36">
        <v>0</v>
      </c>
      <c r="I36">
        <v>0</v>
      </c>
    </row>
    <row r="37" spans="1:9">
      <c r="A37" t="s">
        <v>58</v>
      </c>
      <c r="B37">
        <v>0</v>
      </c>
      <c r="C37">
        <v>1</v>
      </c>
      <c r="D37">
        <v>1</v>
      </c>
      <c r="E37">
        <v>0</v>
      </c>
      <c r="F37">
        <v>1</v>
      </c>
      <c r="G37">
        <v>0</v>
      </c>
      <c r="H37">
        <v>0</v>
      </c>
      <c r="I37">
        <v>0</v>
      </c>
    </row>
    <row r="38" spans="1:9">
      <c r="A38" t="s">
        <v>60</v>
      </c>
      <c r="B38">
        <v>0</v>
      </c>
      <c r="C38">
        <v>1</v>
      </c>
      <c r="D38">
        <v>0</v>
      </c>
      <c r="E38">
        <v>1</v>
      </c>
      <c r="F38">
        <v>1</v>
      </c>
      <c r="G38">
        <v>0</v>
      </c>
      <c r="H38">
        <v>0</v>
      </c>
      <c r="I38">
        <v>0</v>
      </c>
    </row>
    <row r="39" spans="1:9">
      <c r="A39" t="s">
        <v>62</v>
      </c>
      <c r="B39">
        <v>0</v>
      </c>
      <c r="C39">
        <v>1</v>
      </c>
      <c r="D39">
        <v>0</v>
      </c>
      <c r="E39">
        <v>0</v>
      </c>
      <c r="F39">
        <v>1</v>
      </c>
      <c r="G39">
        <v>0</v>
      </c>
      <c r="H39">
        <v>0</v>
      </c>
      <c r="I39">
        <v>0</v>
      </c>
    </row>
    <row r="40" spans="1:9">
      <c r="A40" t="s">
        <v>64</v>
      </c>
      <c r="B40">
        <v>0</v>
      </c>
      <c r="C40">
        <v>1</v>
      </c>
      <c r="D40">
        <v>0</v>
      </c>
      <c r="E40">
        <v>0</v>
      </c>
      <c r="F40">
        <v>1</v>
      </c>
      <c r="G40">
        <v>0</v>
      </c>
      <c r="H40">
        <v>0</v>
      </c>
      <c r="I40">
        <v>0</v>
      </c>
    </row>
    <row r="41" spans="1:9">
      <c r="A41" t="s">
        <v>66</v>
      </c>
      <c r="B41">
        <v>0</v>
      </c>
      <c r="C41">
        <v>0</v>
      </c>
      <c r="D41">
        <v>0</v>
      </c>
      <c r="E41">
        <v>0</v>
      </c>
      <c r="F41">
        <v>0</v>
      </c>
      <c r="G41">
        <v>0</v>
      </c>
      <c r="H41">
        <v>0</v>
      </c>
      <c r="I41">
        <v>0</v>
      </c>
    </row>
    <row r="42" spans="1:9">
      <c r="A42" t="s">
        <v>68</v>
      </c>
      <c r="B42">
        <v>0</v>
      </c>
      <c r="C42">
        <v>1</v>
      </c>
      <c r="D42">
        <v>0</v>
      </c>
      <c r="E42">
        <v>0</v>
      </c>
      <c r="F42">
        <v>1</v>
      </c>
      <c r="G42">
        <v>0</v>
      </c>
      <c r="H42">
        <v>0</v>
      </c>
      <c r="I42">
        <v>0</v>
      </c>
    </row>
    <row r="43" spans="1:9">
      <c r="A43" t="s">
        <v>70</v>
      </c>
      <c r="B43">
        <v>0</v>
      </c>
      <c r="C43">
        <v>1</v>
      </c>
      <c r="D43">
        <v>0</v>
      </c>
      <c r="E43">
        <v>0</v>
      </c>
      <c r="F43">
        <v>1</v>
      </c>
      <c r="G43">
        <v>0</v>
      </c>
      <c r="H43">
        <v>1</v>
      </c>
      <c r="I43">
        <v>0</v>
      </c>
    </row>
    <row r="44" spans="1:9">
      <c r="A44" t="s">
        <v>72</v>
      </c>
      <c r="B44">
        <v>0</v>
      </c>
      <c r="C44">
        <v>1</v>
      </c>
      <c r="D44">
        <v>0</v>
      </c>
      <c r="E44">
        <v>0</v>
      </c>
      <c r="F44">
        <v>1</v>
      </c>
      <c r="G44">
        <v>0</v>
      </c>
      <c r="H44">
        <v>0</v>
      </c>
      <c r="I44">
        <v>0</v>
      </c>
    </row>
    <row r="45" spans="1:9">
      <c r="A45" t="s">
        <v>74</v>
      </c>
      <c r="B45">
        <v>0</v>
      </c>
      <c r="C45">
        <v>1</v>
      </c>
      <c r="D45">
        <v>0</v>
      </c>
      <c r="E45">
        <v>0</v>
      </c>
      <c r="F45">
        <v>1</v>
      </c>
      <c r="G45">
        <v>0</v>
      </c>
      <c r="H45">
        <v>0</v>
      </c>
      <c r="I45">
        <v>0</v>
      </c>
    </row>
    <row r="46" spans="1:9">
      <c r="A46" t="s">
        <v>76</v>
      </c>
      <c r="B46">
        <v>0</v>
      </c>
      <c r="C46">
        <v>1</v>
      </c>
      <c r="D46">
        <v>0</v>
      </c>
      <c r="E46">
        <v>0</v>
      </c>
      <c r="F46">
        <v>1</v>
      </c>
      <c r="G46">
        <v>0</v>
      </c>
      <c r="H46">
        <v>0</v>
      </c>
      <c r="I46">
        <v>0</v>
      </c>
    </row>
    <row r="47" spans="1:9">
      <c r="A47" t="s">
        <v>78</v>
      </c>
      <c r="B47">
        <v>0</v>
      </c>
      <c r="C47">
        <v>1</v>
      </c>
      <c r="D47">
        <v>0</v>
      </c>
      <c r="E47">
        <v>0</v>
      </c>
      <c r="F47">
        <v>1</v>
      </c>
      <c r="G47">
        <v>0</v>
      </c>
      <c r="H47">
        <v>0</v>
      </c>
      <c r="I47">
        <v>0</v>
      </c>
    </row>
    <row r="48" spans="1:9">
      <c r="A48" t="s">
        <v>80</v>
      </c>
      <c r="B48">
        <v>0</v>
      </c>
      <c r="C48">
        <v>1</v>
      </c>
      <c r="D48">
        <v>0</v>
      </c>
      <c r="E48">
        <v>1</v>
      </c>
      <c r="F48">
        <v>1</v>
      </c>
      <c r="G48">
        <v>0</v>
      </c>
      <c r="H48">
        <v>1</v>
      </c>
      <c r="I48">
        <v>0</v>
      </c>
    </row>
    <row r="49" spans="1:9">
      <c r="A49" t="s">
        <v>82</v>
      </c>
      <c r="B49">
        <v>0</v>
      </c>
      <c r="C49">
        <v>1</v>
      </c>
      <c r="D49">
        <v>0</v>
      </c>
      <c r="E49">
        <v>0</v>
      </c>
      <c r="F49">
        <v>1</v>
      </c>
      <c r="G49">
        <v>0</v>
      </c>
      <c r="H49">
        <v>0</v>
      </c>
      <c r="I49">
        <v>0</v>
      </c>
    </row>
    <row r="50" spans="1:9">
      <c r="A50" t="s">
        <v>84</v>
      </c>
      <c r="B50">
        <v>0</v>
      </c>
      <c r="C50">
        <v>1</v>
      </c>
      <c r="D50">
        <v>0</v>
      </c>
      <c r="E50">
        <v>0</v>
      </c>
      <c r="F50">
        <v>1</v>
      </c>
      <c r="G50">
        <v>0</v>
      </c>
      <c r="H50">
        <v>0</v>
      </c>
      <c r="I50">
        <v>0</v>
      </c>
    </row>
    <row r="51" spans="1:9">
      <c r="A51" t="s">
        <v>86</v>
      </c>
      <c r="B51">
        <v>0</v>
      </c>
      <c r="C51">
        <v>1</v>
      </c>
      <c r="D51">
        <v>0</v>
      </c>
      <c r="E51">
        <v>0</v>
      </c>
      <c r="F51">
        <v>1</v>
      </c>
      <c r="G51">
        <v>0</v>
      </c>
      <c r="H51">
        <v>0</v>
      </c>
      <c r="I51">
        <v>0</v>
      </c>
    </row>
    <row r="52" spans="1:9">
      <c r="A52" t="s">
        <v>88</v>
      </c>
      <c r="B52">
        <v>0</v>
      </c>
      <c r="C52">
        <v>1</v>
      </c>
      <c r="D52">
        <v>0</v>
      </c>
      <c r="E52">
        <v>0</v>
      </c>
      <c r="F52">
        <v>1</v>
      </c>
      <c r="G52">
        <v>0</v>
      </c>
      <c r="H52">
        <v>0</v>
      </c>
      <c r="I52">
        <v>0</v>
      </c>
    </row>
    <row r="53" spans="1:9">
      <c r="A53" t="s">
        <v>90</v>
      </c>
      <c r="B53">
        <v>0</v>
      </c>
      <c r="C53">
        <v>1</v>
      </c>
      <c r="D53">
        <v>0</v>
      </c>
      <c r="E53">
        <v>0</v>
      </c>
      <c r="F53">
        <v>1</v>
      </c>
      <c r="G53">
        <v>0</v>
      </c>
      <c r="H53">
        <v>0</v>
      </c>
      <c r="I53">
        <v>0</v>
      </c>
    </row>
    <row r="54" spans="1:9">
      <c r="A54" t="s">
        <v>92</v>
      </c>
      <c r="B54">
        <v>0</v>
      </c>
      <c r="C54">
        <v>1</v>
      </c>
      <c r="D54">
        <v>0</v>
      </c>
      <c r="E54">
        <v>0</v>
      </c>
      <c r="F54">
        <v>1</v>
      </c>
      <c r="G54">
        <v>0</v>
      </c>
      <c r="H54">
        <v>0</v>
      </c>
      <c r="I54">
        <v>0</v>
      </c>
    </row>
    <row r="55" spans="1:9">
      <c r="A55" t="s">
        <v>94</v>
      </c>
      <c r="B55">
        <v>0</v>
      </c>
      <c r="C55">
        <v>1</v>
      </c>
      <c r="D55">
        <v>0</v>
      </c>
      <c r="E55">
        <v>0</v>
      </c>
      <c r="F55">
        <v>1</v>
      </c>
      <c r="G55">
        <v>0</v>
      </c>
      <c r="H55">
        <v>0</v>
      </c>
      <c r="I55">
        <v>0</v>
      </c>
    </row>
    <row r="56" spans="1:9">
      <c r="A56" t="s">
        <v>96</v>
      </c>
      <c r="B56">
        <v>0</v>
      </c>
      <c r="C56">
        <v>1</v>
      </c>
      <c r="D56">
        <v>0</v>
      </c>
      <c r="E56">
        <v>0</v>
      </c>
      <c r="F56">
        <v>1</v>
      </c>
      <c r="G56">
        <v>0</v>
      </c>
      <c r="H56">
        <v>0</v>
      </c>
      <c r="I56">
        <v>0</v>
      </c>
    </row>
    <row r="57" spans="1:9">
      <c r="A57" t="s">
        <v>98</v>
      </c>
      <c r="B57">
        <v>0</v>
      </c>
      <c r="C57">
        <v>1</v>
      </c>
      <c r="D57">
        <v>0</v>
      </c>
      <c r="E57">
        <v>0</v>
      </c>
      <c r="F57">
        <v>1</v>
      </c>
      <c r="G57">
        <v>1</v>
      </c>
      <c r="H57">
        <v>0</v>
      </c>
      <c r="I57">
        <v>0</v>
      </c>
    </row>
    <row r="58" spans="1:9">
      <c r="A58" t="s">
        <v>100</v>
      </c>
      <c r="B58">
        <v>0</v>
      </c>
      <c r="C58">
        <v>1</v>
      </c>
      <c r="D58">
        <v>0</v>
      </c>
      <c r="E58">
        <v>0</v>
      </c>
      <c r="F58">
        <v>1</v>
      </c>
      <c r="G58">
        <v>0</v>
      </c>
      <c r="H58">
        <v>0</v>
      </c>
      <c r="I58">
        <v>0</v>
      </c>
    </row>
    <row r="59" spans="1:9">
      <c r="A59" t="s">
        <v>102</v>
      </c>
      <c r="B59">
        <v>0</v>
      </c>
      <c r="C59">
        <v>1</v>
      </c>
      <c r="D59">
        <v>0</v>
      </c>
      <c r="E59">
        <v>0</v>
      </c>
      <c r="F59">
        <v>1</v>
      </c>
      <c r="G59">
        <v>0</v>
      </c>
      <c r="H59">
        <v>0</v>
      </c>
      <c r="I59">
        <v>0</v>
      </c>
    </row>
    <row r="60" spans="1:9">
      <c r="A60" t="s">
        <v>104</v>
      </c>
      <c r="B60">
        <v>0</v>
      </c>
      <c r="C60">
        <v>1</v>
      </c>
      <c r="D60">
        <v>0</v>
      </c>
      <c r="E60">
        <v>1</v>
      </c>
      <c r="F60">
        <v>1</v>
      </c>
      <c r="G60">
        <v>0</v>
      </c>
      <c r="H60">
        <v>1</v>
      </c>
      <c r="I60">
        <v>0</v>
      </c>
    </row>
    <row r="61" spans="1:9">
      <c r="A61" t="s">
        <v>106</v>
      </c>
      <c r="B61">
        <v>0</v>
      </c>
      <c r="C61">
        <v>1</v>
      </c>
      <c r="D61">
        <v>0</v>
      </c>
      <c r="E61">
        <v>0</v>
      </c>
      <c r="F61">
        <v>1</v>
      </c>
      <c r="G61">
        <v>0</v>
      </c>
      <c r="H61">
        <v>1</v>
      </c>
      <c r="I61">
        <v>0</v>
      </c>
    </row>
    <row r="62" spans="1:9">
      <c r="A62" t="s">
        <v>108</v>
      </c>
      <c r="B62">
        <v>0</v>
      </c>
      <c r="C62">
        <v>1</v>
      </c>
      <c r="D62">
        <v>0</v>
      </c>
      <c r="E62">
        <v>0</v>
      </c>
      <c r="F62">
        <v>1</v>
      </c>
      <c r="G62">
        <v>0</v>
      </c>
      <c r="H62">
        <v>0</v>
      </c>
      <c r="I62">
        <v>0</v>
      </c>
    </row>
    <row r="63" spans="1:9">
      <c r="A63" t="s">
        <v>110</v>
      </c>
      <c r="B63">
        <v>0</v>
      </c>
      <c r="C63">
        <v>1</v>
      </c>
      <c r="D63">
        <v>0</v>
      </c>
      <c r="E63">
        <v>0</v>
      </c>
      <c r="F63">
        <v>1</v>
      </c>
      <c r="G63">
        <v>0</v>
      </c>
      <c r="H63">
        <v>0</v>
      </c>
      <c r="I63">
        <v>0</v>
      </c>
    </row>
    <row r="64" spans="1:9">
      <c r="A64" t="s">
        <v>112</v>
      </c>
      <c r="B64">
        <v>0</v>
      </c>
      <c r="C64">
        <v>1</v>
      </c>
      <c r="D64">
        <v>0</v>
      </c>
      <c r="E64">
        <v>0</v>
      </c>
      <c r="F64">
        <v>1</v>
      </c>
      <c r="G64">
        <v>0</v>
      </c>
      <c r="H64">
        <v>0</v>
      </c>
      <c r="I64">
        <v>0</v>
      </c>
    </row>
    <row r="65" spans="1:9">
      <c r="A65" t="s">
        <v>114</v>
      </c>
      <c r="B65">
        <v>0</v>
      </c>
      <c r="C65">
        <v>1</v>
      </c>
      <c r="D65">
        <v>0</v>
      </c>
      <c r="E65">
        <v>0</v>
      </c>
      <c r="F65">
        <v>1</v>
      </c>
      <c r="G65">
        <v>0</v>
      </c>
      <c r="H65">
        <v>0</v>
      </c>
      <c r="I65">
        <v>0</v>
      </c>
    </row>
    <row r="66" spans="1:9">
      <c r="A66" t="s">
        <v>116</v>
      </c>
      <c r="B66">
        <v>0</v>
      </c>
      <c r="C66">
        <v>1</v>
      </c>
      <c r="D66">
        <v>0</v>
      </c>
      <c r="E66">
        <v>1</v>
      </c>
      <c r="F66">
        <v>1</v>
      </c>
      <c r="G66">
        <v>0</v>
      </c>
      <c r="H66">
        <v>0</v>
      </c>
      <c r="I66">
        <v>0</v>
      </c>
    </row>
    <row r="67" spans="1:9">
      <c r="A67" t="s">
        <v>118</v>
      </c>
      <c r="B67">
        <v>0</v>
      </c>
      <c r="C67">
        <v>1</v>
      </c>
      <c r="D67">
        <v>0</v>
      </c>
      <c r="E67">
        <v>0</v>
      </c>
      <c r="F67">
        <v>1</v>
      </c>
      <c r="G67">
        <v>1</v>
      </c>
      <c r="H67">
        <v>0</v>
      </c>
      <c r="I67">
        <v>0</v>
      </c>
    </row>
    <row r="68" spans="1:9">
      <c r="A68" t="s">
        <v>120</v>
      </c>
      <c r="B68">
        <v>0</v>
      </c>
      <c r="C68">
        <v>1</v>
      </c>
      <c r="D68">
        <v>0</v>
      </c>
      <c r="E68">
        <v>0</v>
      </c>
      <c r="F68">
        <v>1</v>
      </c>
      <c r="G68">
        <v>0</v>
      </c>
      <c r="H68">
        <v>0</v>
      </c>
      <c r="I68">
        <v>0</v>
      </c>
    </row>
    <row r="69" spans="1:9">
      <c r="A69" t="s">
        <v>122</v>
      </c>
      <c r="B69">
        <v>0</v>
      </c>
      <c r="C69">
        <v>1</v>
      </c>
      <c r="D69">
        <v>0</v>
      </c>
      <c r="E69">
        <v>0</v>
      </c>
      <c r="F69">
        <v>1</v>
      </c>
      <c r="G69">
        <v>0</v>
      </c>
      <c r="H69">
        <v>0</v>
      </c>
      <c r="I69">
        <v>0</v>
      </c>
    </row>
    <row r="70" spans="1:9">
      <c r="A70" t="s">
        <v>124</v>
      </c>
      <c r="B70">
        <v>0</v>
      </c>
      <c r="C70">
        <v>1</v>
      </c>
      <c r="D70">
        <v>0</v>
      </c>
      <c r="E70">
        <v>1</v>
      </c>
      <c r="F70">
        <v>1</v>
      </c>
      <c r="G70">
        <v>1</v>
      </c>
      <c r="H70">
        <v>1</v>
      </c>
      <c r="I70">
        <v>0</v>
      </c>
    </row>
    <row r="71" spans="1:9">
      <c r="A71" t="s">
        <v>126</v>
      </c>
      <c r="B71">
        <v>0</v>
      </c>
      <c r="C71">
        <v>1</v>
      </c>
      <c r="D71">
        <v>0</v>
      </c>
      <c r="E71">
        <v>0</v>
      </c>
      <c r="F71">
        <v>1</v>
      </c>
      <c r="G71">
        <v>0</v>
      </c>
      <c r="H71">
        <v>0</v>
      </c>
      <c r="I71">
        <v>0</v>
      </c>
    </row>
    <row r="72" spans="1:9">
      <c r="A72" t="s">
        <v>128</v>
      </c>
      <c r="B72">
        <v>0</v>
      </c>
      <c r="C72">
        <v>1</v>
      </c>
      <c r="D72">
        <v>0</v>
      </c>
      <c r="E72">
        <v>0</v>
      </c>
      <c r="F72">
        <v>1</v>
      </c>
      <c r="G72">
        <v>0</v>
      </c>
      <c r="H72">
        <v>0</v>
      </c>
      <c r="I72">
        <v>0</v>
      </c>
    </row>
    <row r="73" spans="1:9">
      <c r="A73" t="s">
        <v>130</v>
      </c>
      <c r="B73">
        <v>0</v>
      </c>
      <c r="C73">
        <v>1</v>
      </c>
      <c r="D73">
        <v>0</v>
      </c>
      <c r="E73">
        <v>0</v>
      </c>
      <c r="F73">
        <v>1</v>
      </c>
      <c r="G73">
        <v>0</v>
      </c>
      <c r="H73">
        <v>0</v>
      </c>
      <c r="I73">
        <v>0</v>
      </c>
    </row>
    <row r="74" spans="1:9">
      <c r="A74" t="s">
        <v>132</v>
      </c>
      <c r="B74">
        <v>0</v>
      </c>
      <c r="C74">
        <v>1</v>
      </c>
      <c r="D74">
        <v>0</v>
      </c>
      <c r="E74">
        <v>1</v>
      </c>
      <c r="F74">
        <v>1</v>
      </c>
      <c r="G74">
        <v>0</v>
      </c>
      <c r="H74">
        <v>0</v>
      </c>
      <c r="I74">
        <v>0</v>
      </c>
    </row>
    <row r="75" spans="1:9">
      <c r="A75" t="s">
        <v>134</v>
      </c>
      <c r="B75">
        <v>0</v>
      </c>
      <c r="C75">
        <v>1</v>
      </c>
      <c r="D75">
        <v>0</v>
      </c>
      <c r="E75">
        <v>0</v>
      </c>
      <c r="F75">
        <v>1</v>
      </c>
      <c r="G75">
        <v>0</v>
      </c>
      <c r="H75">
        <v>0</v>
      </c>
      <c r="I75">
        <v>0</v>
      </c>
    </row>
    <row r="76" spans="1:9">
      <c r="A76" t="s">
        <v>136</v>
      </c>
      <c r="B76">
        <v>0</v>
      </c>
      <c r="C76">
        <v>1</v>
      </c>
      <c r="D76">
        <v>0</v>
      </c>
      <c r="E76">
        <v>0</v>
      </c>
      <c r="F76">
        <v>1</v>
      </c>
      <c r="G76">
        <v>0</v>
      </c>
      <c r="H76">
        <v>0</v>
      </c>
      <c r="I76">
        <v>0</v>
      </c>
    </row>
    <row r="77" spans="1:9">
      <c r="A77" t="s">
        <v>138</v>
      </c>
      <c r="B77">
        <v>0</v>
      </c>
      <c r="C77">
        <v>1</v>
      </c>
      <c r="D77">
        <v>0</v>
      </c>
      <c r="E77">
        <v>0</v>
      </c>
      <c r="F77">
        <v>1</v>
      </c>
      <c r="G77">
        <v>0</v>
      </c>
      <c r="H77">
        <v>0</v>
      </c>
      <c r="I77">
        <v>0</v>
      </c>
    </row>
    <row r="78" spans="1:9">
      <c r="A78" t="s">
        <v>140</v>
      </c>
      <c r="B78">
        <v>0</v>
      </c>
      <c r="C78">
        <v>1</v>
      </c>
      <c r="D78">
        <v>0</v>
      </c>
      <c r="E78">
        <v>0</v>
      </c>
      <c r="F78">
        <v>1</v>
      </c>
      <c r="G78">
        <v>0</v>
      </c>
      <c r="H78">
        <v>0</v>
      </c>
      <c r="I78">
        <v>0</v>
      </c>
    </row>
    <row r="79" spans="1:9">
      <c r="A79" t="s">
        <v>142</v>
      </c>
      <c r="B79">
        <v>0</v>
      </c>
      <c r="C79">
        <v>1</v>
      </c>
      <c r="D79">
        <v>0</v>
      </c>
      <c r="E79">
        <v>0</v>
      </c>
      <c r="F79">
        <v>1</v>
      </c>
      <c r="G79">
        <v>0</v>
      </c>
      <c r="H79">
        <v>0</v>
      </c>
      <c r="I79">
        <v>0</v>
      </c>
    </row>
    <row r="80" spans="1:9">
      <c r="A80" t="s">
        <v>144</v>
      </c>
      <c r="B80">
        <v>0</v>
      </c>
      <c r="C80">
        <v>1</v>
      </c>
      <c r="D80">
        <v>0</v>
      </c>
      <c r="E80">
        <v>0</v>
      </c>
      <c r="F80">
        <v>1</v>
      </c>
      <c r="G80">
        <v>0</v>
      </c>
      <c r="H80">
        <v>0</v>
      </c>
      <c r="I80">
        <v>0</v>
      </c>
    </row>
    <row r="81" spans="1:9">
      <c r="A81" t="s">
        <v>146</v>
      </c>
      <c r="B81">
        <v>0</v>
      </c>
      <c r="C81">
        <v>1</v>
      </c>
      <c r="D81">
        <v>0</v>
      </c>
      <c r="E81">
        <v>0</v>
      </c>
      <c r="F81">
        <v>1</v>
      </c>
      <c r="G81">
        <v>0</v>
      </c>
      <c r="H81">
        <v>1</v>
      </c>
      <c r="I81">
        <v>0</v>
      </c>
    </row>
    <row r="82" spans="1:9">
      <c r="A82" t="s">
        <v>148</v>
      </c>
      <c r="B82">
        <v>0</v>
      </c>
      <c r="C82">
        <v>1</v>
      </c>
      <c r="D82">
        <v>0</v>
      </c>
      <c r="E82">
        <v>0</v>
      </c>
      <c r="F82">
        <v>1</v>
      </c>
      <c r="G82">
        <v>0</v>
      </c>
      <c r="H82">
        <v>0</v>
      </c>
      <c r="I82">
        <v>0</v>
      </c>
    </row>
    <row r="83" spans="1:9">
      <c r="A83" t="s">
        <v>150</v>
      </c>
      <c r="B83">
        <v>0</v>
      </c>
      <c r="C83">
        <v>1</v>
      </c>
      <c r="D83">
        <v>0</v>
      </c>
      <c r="E83">
        <v>0</v>
      </c>
      <c r="F83">
        <v>1</v>
      </c>
      <c r="G83">
        <v>0</v>
      </c>
      <c r="H83">
        <v>0</v>
      </c>
      <c r="I83">
        <v>0</v>
      </c>
    </row>
    <row r="84" spans="1:9">
      <c r="A84" t="s">
        <v>152</v>
      </c>
      <c r="B84">
        <v>0</v>
      </c>
      <c r="C84">
        <v>0</v>
      </c>
      <c r="D84">
        <v>0</v>
      </c>
      <c r="E84">
        <v>0</v>
      </c>
      <c r="F84">
        <v>1</v>
      </c>
      <c r="G84">
        <v>0</v>
      </c>
      <c r="H84">
        <v>0</v>
      </c>
      <c r="I84">
        <v>0</v>
      </c>
    </row>
    <row r="85" spans="1:9">
      <c r="A85" t="s">
        <v>154</v>
      </c>
      <c r="B85">
        <v>0</v>
      </c>
      <c r="C85">
        <v>1</v>
      </c>
      <c r="D85">
        <v>0</v>
      </c>
      <c r="E85">
        <v>0</v>
      </c>
      <c r="F85">
        <v>1</v>
      </c>
      <c r="G85">
        <v>0</v>
      </c>
      <c r="H85">
        <v>0</v>
      </c>
      <c r="I85">
        <v>0</v>
      </c>
    </row>
    <row r="86" spans="1:9">
      <c r="A86" t="s">
        <v>156</v>
      </c>
      <c r="B86">
        <v>0</v>
      </c>
      <c r="C86">
        <v>1</v>
      </c>
      <c r="D86">
        <v>0</v>
      </c>
      <c r="E86">
        <v>0</v>
      </c>
      <c r="F86">
        <v>1</v>
      </c>
      <c r="G86">
        <v>0</v>
      </c>
      <c r="H86">
        <v>0</v>
      </c>
      <c r="I86">
        <v>0</v>
      </c>
    </row>
    <row r="87" spans="1:9">
      <c r="A87" t="s">
        <v>158</v>
      </c>
      <c r="B87">
        <v>0</v>
      </c>
      <c r="C87">
        <v>1</v>
      </c>
      <c r="D87">
        <v>0</v>
      </c>
      <c r="E87">
        <v>0</v>
      </c>
      <c r="F87">
        <v>1</v>
      </c>
      <c r="G87">
        <v>0</v>
      </c>
      <c r="H87">
        <v>0</v>
      </c>
      <c r="I87">
        <v>0</v>
      </c>
    </row>
    <row r="88" spans="1:9">
      <c r="A88" t="s">
        <v>160</v>
      </c>
      <c r="B88">
        <v>0</v>
      </c>
      <c r="C88">
        <v>1</v>
      </c>
      <c r="D88">
        <v>0</v>
      </c>
      <c r="E88">
        <v>1</v>
      </c>
      <c r="F88">
        <v>1</v>
      </c>
      <c r="G88">
        <v>1</v>
      </c>
      <c r="H88">
        <v>0</v>
      </c>
      <c r="I88">
        <v>0</v>
      </c>
    </row>
    <row r="89" spans="1:9">
      <c r="A89" t="s">
        <v>162</v>
      </c>
      <c r="B89">
        <v>0</v>
      </c>
      <c r="C89">
        <v>1</v>
      </c>
      <c r="D89">
        <v>0</v>
      </c>
      <c r="E89">
        <v>0</v>
      </c>
      <c r="F89">
        <v>1</v>
      </c>
      <c r="G89">
        <v>0</v>
      </c>
      <c r="H89">
        <v>0</v>
      </c>
      <c r="I89">
        <v>0</v>
      </c>
    </row>
    <row r="90" spans="1:9">
      <c r="A90" t="s">
        <v>164</v>
      </c>
      <c r="B90">
        <v>0</v>
      </c>
      <c r="C90">
        <v>1</v>
      </c>
      <c r="D90">
        <v>0</v>
      </c>
      <c r="E90">
        <v>0</v>
      </c>
      <c r="F90">
        <v>1</v>
      </c>
      <c r="G90">
        <v>1</v>
      </c>
      <c r="H90">
        <v>1</v>
      </c>
      <c r="I90">
        <v>0</v>
      </c>
    </row>
    <row r="91" spans="1:9">
      <c r="A91" t="s">
        <v>166</v>
      </c>
      <c r="B91">
        <v>0</v>
      </c>
      <c r="C91">
        <v>1</v>
      </c>
      <c r="D91">
        <v>0</v>
      </c>
      <c r="E91">
        <v>0</v>
      </c>
      <c r="F91">
        <v>1</v>
      </c>
      <c r="G91">
        <v>0</v>
      </c>
      <c r="H91">
        <v>0</v>
      </c>
      <c r="I91">
        <v>0</v>
      </c>
    </row>
    <row r="92" spans="1:9">
      <c r="A92" t="s">
        <v>168</v>
      </c>
      <c r="B92">
        <v>0</v>
      </c>
      <c r="C92">
        <v>1</v>
      </c>
      <c r="D92">
        <v>0</v>
      </c>
      <c r="E92">
        <v>0</v>
      </c>
      <c r="F92">
        <v>1</v>
      </c>
      <c r="G92">
        <v>0</v>
      </c>
      <c r="H92">
        <v>0</v>
      </c>
      <c r="I92">
        <v>0</v>
      </c>
    </row>
    <row r="93" spans="1:9">
      <c r="A93" t="s">
        <v>170</v>
      </c>
      <c r="B93">
        <v>0</v>
      </c>
      <c r="C93">
        <v>1</v>
      </c>
      <c r="D93">
        <v>0</v>
      </c>
      <c r="E93">
        <v>0</v>
      </c>
      <c r="F93">
        <v>1</v>
      </c>
      <c r="G93">
        <v>1</v>
      </c>
      <c r="H93">
        <v>0</v>
      </c>
      <c r="I93">
        <v>0</v>
      </c>
    </row>
    <row r="94" spans="1:9">
      <c r="A94" t="s">
        <v>172</v>
      </c>
      <c r="B94">
        <v>0</v>
      </c>
      <c r="C94">
        <v>1</v>
      </c>
      <c r="D94">
        <v>0</v>
      </c>
      <c r="E94">
        <v>0</v>
      </c>
      <c r="F94">
        <v>1</v>
      </c>
      <c r="G94">
        <v>0</v>
      </c>
      <c r="H94">
        <v>0</v>
      </c>
      <c r="I94">
        <v>0</v>
      </c>
    </row>
    <row r="95" spans="1:9">
      <c r="A95" t="s">
        <v>174</v>
      </c>
      <c r="B95">
        <v>0</v>
      </c>
      <c r="C95">
        <v>1</v>
      </c>
      <c r="D95">
        <v>0</v>
      </c>
      <c r="E95">
        <v>0</v>
      </c>
      <c r="F95">
        <v>1</v>
      </c>
      <c r="G95">
        <v>0</v>
      </c>
      <c r="H95">
        <v>0</v>
      </c>
      <c r="I95">
        <v>0</v>
      </c>
    </row>
    <row r="96" spans="1:9">
      <c r="A96" t="s">
        <v>176</v>
      </c>
      <c r="B96">
        <v>0</v>
      </c>
      <c r="C96">
        <v>1</v>
      </c>
      <c r="D96">
        <v>0</v>
      </c>
      <c r="E96">
        <v>0</v>
      </c>
      <c r="F96">
        <v>1</v>
      </c>
      <c r="G96">
        <v>0</v>
      </c>
      <c r="H96">
        <v>0</v>
      </c>
      <c r="I96">
        <v>0</v>
      </c>
    </row>
    <row r="97" spans="1:9">
      <c r="A97" t="s">
        <v>178</v>
      </c>
      <c r="B97">
        <v>0</v>
      </c>
      <c r="C97">
        <v>1</v>
      </c>
      <c r="D97">
        <v>0</v>
      </c>
      <c r="E97">
        <v>0</v>
      </c>
      <c r="F97">
        <v>1</v>
      </c>
      <c r="G97">
        <v>0</v>
      </c>
      <c r="H97">
        <v>0</v>
      </c>
      <c r="I97">
        <v>0</v>
      </c>
    </row>
    <row r="98" spans="1:9">
      <c r="A98" t="s">
        <v>180</v>
      </c>
      <c r="B98">
        <v>0</v>
      </c>
      <c r="C98">
        <v>1</v>
      </c>
      <c r="D98">
        <v>0</v>
      </c>
      <c r="E98">
        <v>0</v>
      </c>
      <c r="F98">
        <v>1</v>
      </c>
      <c r="G98">
        <v>0</v>
      </c>
      <c r="H98">
        <v>0</v>
      </c>
      <c r="I98">
        <v>0</v>
      </c>
    </row>
    <row r="99" spans="1:9">
      <c r="A99" t="s">
        <v>182</v>
      </c>
      <c r="B99">
        <v>0</v>
      </c>
      <c r="C99">
        <v>1</v>
      </c>
      <c r="D99">
        <v>0</v>
      </c>
      <c r="E99">
        <v>0</v>
      </c>
      <c r="F99">
        <v>1</v>
      </c>
      <c r="G99">
        <v>0</v>
      </c>
      <c r="H99">
        <v>0</v>
      </c>
      <c r="I99">
        <v>0</v>
      </c>
    </row>
    <row r="100" spans="1:9">
      <c r="A100" t="s">
        <v>184</v>
      </c>
      <c r="B100">
        <v>0</v>
      </c>
      <c r="C100">
        <v>1</v>
      </c>
      <c r="D100">
        <v>0</v>
      </c>
      <c r="E100">
        <v>0</v>
      </c>
      <c r="F100">
        <v>1</v>
      </c>
      <c r="G100">
        <v>0</v>
      </c>
      <c r="H100">
        <v>0</v>
      </c>
      <c r="I100">
        <v>0</v>
      </c>
    </row>
    <row r="101" spans="1:9">
      <c r="A101" t="s">
        <v>186</v>
      </c>
      <c r="B101">
        <v>0</v>
      </c>
      <c r="C101">
        <v>1</v>
      </c>
      <c r="D101">
        <v>0</v>
      </c>
      <c r="E101">
        <v>1</v>
      </c>
      <c r="F101">
        <v>1</v>
      </c>
      <c r="G101">
        <v>0</v>
      </c>
      <c r="H101">
        <v>1</v>
      </c>
      <c r="I101">
        <v>0</v>
      </c>
    </row>
    <row r="102" spans="1:9">
      <c r="A102" t="s">
        <v>188</v>
      </c>
      <c r="B102">
        <v>0</v>
      </c>
      <c r="C102">
        <v>1</v>
      </c>
      <c r="D102">
        <v>0</v>
      </c>
      <c r="E102">
        <v>0</v>
      </c>
      <c r="F102">
        <v>1</v>
      </c>
      <c r="G102">
        <v>0</v>
      </c>
      <c r="H102">
        <v>0</v>
      </c>
      <c r="I102">
        <v>0</v>
      </c>
    </row>
    <row r="103" spans="1:9">
      <c r="A103" t="s">
        <v>190</v>
      </c>
      <c r="B103">
        <v>0</v>
      </c>
      <c r="C103">
        <v>1</v>
      </c>
      <c r="D103">
        <v>0</v>
      </c>
      <c r="E103">
        <v>0</v>
      </c>
      <c r="F103">
        <v>1</v>
      </c>
      <c r="G103">
        <v>0</v>
      </c>
      <c r="H103">
        <v>0</v>
      </c>
      <c r="I103">
        <v>0</v>
      </c>
    </row>
    <row r="104" spans="1:9">
      <c r="A104" t="s">
        <v>192</v>
      </c>
      <c r="B104">
        <v>0</v>
      </c>
      <c r="C104">
        <v>1</v>
      </c>
      <c r="D104">
        <v>0</v>
      </c>
      <c r="E104">
        <v>0</v>
      </c>
      <c r="F104">
        <v>1</v>
      </c>
      <c r="G104">
        <v>0</v>
      </c>
      <c r="H104">
        <v>0</v>
      </c>
      <c r="I104">
        <v>0</v>
      </c>
    </row>
    <row r="105" spans="1:9">
      <c r="A105" t="s">
        <v>194</v>
      </c>
      <c r="B105">
        <v>0</v>
      </c>
      <c r="C105">
        <v>1</v>
      </c>
      <c r="D105">
        <v>0</v>
      </c>
      <c r="E105">
        <v>0</v>
      </c>
      <c r="F105">
        <v>1</v>
      </c>
      <c r="G105">
        <v>0</v>
      </c>
      <c r="H105">
        <v>0</v>
      </c>
      <c r="I105">
        <v>0</v>
      </c>
    </row>
    <row r="106" spans="1:9">
      <c r="A106" t="s">
        <v>196</v>
      </c>
      <c r="B106">
        <v>0</v>
      </c>
      <c r="C106">
        <v>1</v>
      </c>
      <c r="D106">
        <v>0</v>
      </c>
      <c r="E106">
        <v>0</v>
      </c>
      <c r="F106">
        <v>1</v>
      </c>
      <c r="G106">
        <v>0</v>
      </c>
      <c r="H106">
        <v>0</v>
      </c>
      <c r="I106">
        <v>0</v>
      </c>
    </row>
    <row r="107" spans="1:9">
      <c r="A107" t="s">
        <v>198</v>
      </c>
      <c r="B107">
        <v>0</v>
      </c>
      <c r="C107">
        <v>1</v>
      </c>
      <c r="D107">
        <v>0</v>
      </c>
      <c r="E107">
        <v>1</v>
      </c>
      <c r="F107">
        <v>1</v>
      </c>
      <c r="G107">
        <v>0</v>
      </c>
      <c r="H107">
        <v>0</v>
      </c>
      <c r="I107">
        <v>0</v>
      </c>
    </row>
    <row r="108" spans="1:9">
      <c r="A108" t="s">
        <v>200</v>
      </c>
      <c r="B108">
        <v>0</v>
      </c>
      <c r="C108">
        <v>1</v>
      </c>
      <c r="D108">
        <v>0</v>
      </c>
      <c r="E108">
        <v>0</v>
      </c>
      <c r="F108">
        <v>1</v>
      </c>
      <c r="G108">
        <v>0</v>
      </c>
      <c r="H108">
        <v>0</v>
      </c>
      <c r="I108">
        <v>0</v>
      </c>
    </row>
    <row r="109" spans="1:9">
      <c r="A109" t="s">
        <v>202</v>
      </c>
      <c r="B109">
        <v>0</v>
      </c>
      <c r="C109">
        <v>1</v>
      </c>
      <c r="D109">
        <v>0</v>
      </c>
      <c r="E109">
        <v>0</v>
      </c>
      <c r="F109">
        <v>1</v>
      </c>
      <c r="G109">
        <v>0</v>
      </c>
      <c r="H109">
        <v>0</v>
      </c>
      <c r="I109">
        <v>0</v>
      </c>
    </row>
    <row r="110" spans="1:9">
      <c r="A110" t="s">
        <v>204</v>
      </c>
      <c r="B110">
        <v>0</v>
      </c>
      <c r="C110">
        <v>1</v>
      </c>
      <c r="D110">
        <v>0</v>
      </c>
      <c r="E110">
        <v>0</v>
      </c>
      <c r="F110">
        <v>1</v>
      </c>
      <c r="G110">
        <v>0</v>
      </c>
      <c r="H110">
        <v>0</v>
      </c>
      <c r="I110">
        <v>0</v>
      </c>
    </row>
    <row r="111" spans="1:9">
      <c r="A111" t="s">
        <v>206</v>
      </c>
      <c r="B111">
        <v>0</v>
      </c>
      <c r="C111">
        <v>1</v>
      </c>
      <c r="D111">
        <v>0</v>
      </c>
      <c r="E111">
        <v>0</v>
      </c>
      <c r="F111">
        <v>1</v>
      </c>
      <c r="G111">
        <v>0</v>
      </c>
      <c r="H111">
        <v>0</v>
      </c>
      <c r="I111">
        <v>0</v>
      </c>
    </row>
    <row r="112" spans="1:9">
      <c r="A112" t="s">
        <v>208</v>
      </c>
      <c r="B112">
        <v>0</v>
      </c>
      <c r="C112">
        <v>1</v>
      </c>
      <c r="D112">
        <v>0</v>
      </c>
      <c r="E112">
        <v>0</v>
      </c>
      <c r="F112">
        <v>1</v>
      </c>
      <c r="G112">
        <v>0</v>
      </c>
      <c r="H112">
        <v>0</v>
      </c>
      <c r="I112">
        <v>0</v>
      </c>
    </row>
    <row r="113" spans="1:9">
      <c r="A113" t="s">
        <v>210</v>
      </c>
      <c r="B113">
        <v>0</v>
      </c>
      <c r="C113">
        <v>1</v>
      </c>
      <c r="D113">
        <v>0</v>
      </c>
      <c r="E113">
        <v>0</v>
      </c>
      <c r="F113">
        <v>1</v>
      </c>
      <c r="G113">
        <v>0</v>
      </c>
      <c r="H113">
        <v>1</v>
      </c>
      <c r="I113">
        <v>0</v>
      </c>
    </row>
    <row r="114" spans="1:9">
      <c r="A114" t="s">
        <v>212</v>
      </c>
      <c r="B114">
        <v>0</v>
      </c>
      <c r="C114">
        <v>1</v>
      </c>
      <c r="D114">
        <v>0</v>
      </c>
      <c r="E114">
        <v>0</v>
      </c>
      <c r="F114">
        <v>1</v>
      </c>
      <c r="G114">
        <v>0</v>
      </c>
      <c r="H114">
        <v>0</v>
      </c>
      <c r="I114">
        <v>0</v>
      </c>
    </row>
    <row r="115" spans="1:9">
      <c r="A115" t="s">
        <v>214</v>
      </c>
      <c r="B115">
        <v>0</v>
      </c>
      <c r="C115">
        <v>1</v>
      </c>
      <c r="D115">
        <v>0</v>
      </c>
      <c r="E115">
        <v>0</v>
      </c>
      <c r="F115">
        <v>1</v>
      </c>
      <c r="G115">
        <v>0</v>
      </c>
      <c r="H115">
        <v>0</v>
      </c>
      <c r="I115">
        <v>0</v>
      </c>
    </row>
    <row r="116" spans="1:9">
      <c r="A116" t="s">
        <v>216</v>
      </c>
      <c r="B116">
        <v>0</v>
      </c>
      <c r="C116">
        <v>1</v>
      </c>
      <c r="D116">
        <v>0</v>
      </c>
      <c r="E116">
        <v>1</v>
      </c>
      <c r="F116">
        <v>1</v>
      </c>
      <c r="G116">
        <v>0</v>
      </c>
      <c r="H116">
        <v>1</v>
      </c>
      <c r="I116">
        <v>0</v>
      </c>
    </row>
    <row r="117" spans="1:9">
      <c r="A117" t="s">
        <v>218</v>
      </c>
      <c r="B117">
        <v>0</v>
      </c>
      <c r="C117">
        <v>1</v>
      </c>
      <c r="D117">
        <v>0</v>
      </c>
      <c r="E117">
        <v>0</v>
      </c>
      <c r="F117">
        <v>1</v>
      </c>
      <c r="G117">
        <v>0</v>
      </c>
      <c r="H117">
        <v>0</v>
      </c>
      <c r="I117">
        <v>0</v>
      </c>
    </row>
    <row r="118" spans="1:9">
      <c r="A118" t="s">
        <v>220</v>
      </c>
      <c r="B118">
        <v>0</v>
      </c>
      <c r="C118">
        <v>1</v>
      </c>
      <c r="D118">
        <v>0</v>
      </c>
      <c r="E118">
        <v>0</v>
      </c>
      <c r="F118">
        <v>1</v>
      </c>
      <c r="G118">
        <v>0</v>
      </c>
      <c r="H118">
        <v>0</v>
      </c>
      <c r="I118">
        <v>0</v>
      </c>
    </row>
    <row r="119" spans="1:9">
      <c r="A119" t="s">
        <v>222</v>
      </c>
      <c r="B119">
        <v>0</v>
      </c>
      <c r="C119">
        <v>1</v>
      </c>
      <c r="D119">
        <v>0</v>
      </c>
      <c r="E119">
        <v>0</v>
      </c>
      <c r="F119">
        <v>1</v>
      </c>
      <c r="G119">
        <v>0</v>
      </c>
      <c r="H119">
        <v>0</v>
      </c>
      <c r="I119">
        <v>0</v>
      </c>
    </row>
    <row r="120" spans="1:9">
      <c r="A120" t="s">
        <v>224</v>
      </c>
      <c r="B120">
        <v>0</v>
      </c>
      <c r="C120">
        <v>1</v>
      </c>
      <c r="D120">
        <v>0</v>
      </c>
      <c r="E120">
        <v>0</v>
      </c>
      <c r="F120">
        <v>1</v>
      </c>
      <c r="G120">
        <v>0</v>
      </c>
      <c r="H120">
        <v>0</v>
      </c>
      <c r="I120">
        <v>0</v>
      </c>
    </row>
    <row r="121" spans="1:9">
      <c r="A121" t="s">
        <v>226</v>
      </c>
      <c r="B121">
        <v>0</v>
      </c>
      <c r="C121">
        <v>1</v>
      </c>
      <c r="D121">
        <v>0</v>
      </c>
      <c r="E121">
        <v>0</v>
      </c>
      <c r="F121">
        <v>1</v>
      </c>
      <c r="G121">
        <v>0</v>
      </c>
      <c r="H121">
        <v>0</v>
      </c>
      <c r="I121">
        <v>0</v>
      </c>
    </row>
    <row r="122" spans="1:9">
      <c r="A122" t="s">
        <v>228</v>
      </c>
      <c r="B122">
        <v>0</v>
      </c>
      <c r="C122">
        <v>1</v>
      </c>
      <c r="D122">
        <v>0</v>
      </c>
      <c r="E122">
        <v>0</v>
      </c>
      <c r="F122">
        <v>1</v>
      </c>
      <c r="G122">
        <v>0</v>
      </c>
      <c r="H122">
        <v>0</v>
      </c>
      <c r="I122">
        <v>0</v>
      </c>
    </row>
    <row r="123" spans="1:9">
      <c r="A123" t="s">
        <v>230</v>
      </c>
      <c r="B123">
        <v>0</v>
      </c>
      <c r="C123">
        <v>1</v>
      </c>
      <c r="D123">
        <v>0</v>
      </c>
      <c r="E123">
        <v>0</v>
      </c>
      <c r="F123">
        <v>1</v>
      </c>
      <c r="G123">
        <v>0</v>
      </c>
      <c r="H123">
        <v>0</v>
      </c>
      <c r="I123">
        <v>0</v>
      </c>
    </row>
    <row r="124" spans="1:9">
      <c r="A124" t="s">
        <v>232</v>
      </c>
      <c r="B124">
        <v>0</v>
      </c>
      <c r="C124">
        <v>1</v>
      </c>
      <c r="D124">
        <v>0</v>
      </c>
      <c r="E124">
        <v>0</v>
      </c>
      <c r="F124">
        <v>1</v>
      </c>
      <c r="G124">
        <v>0</v>
      </c>
      <c r="H124">
        <v>0</v>
      </c>
      <c r="I124">
        <v>0</v>
      </c>
    </row>
    <row r="125" spans="1:9">
      <c r="A125" t="s">
        <v>234</v>
      </c>
      <c r="B125">
        <v>0</v>
      </c>
      <c r="C125">
        <v>1</v>
      </c>
      <c r="D125">
        <v>0</v>
      </c>
      <c r="E125">
        <v>1</v>
      </c>
      <c r="F125">
        <v>1</v>
      </c>
      <c r="G125">
        <v>0</v>
      </c>
      <c r="H125">
        <v>1</v>
      </c>
      <c r="I125">
        <v>0</v>
      </c>
    </row>
    <row r="126" spans="1:9">
      <c r="A126" t="s">
        <v>235</v>
      </c>
      <c r="B126">
        <v>0</v>
      </c>
      <c r="C126">
        <v>1</v>
      </c>
      <c r="D126">
        <v>0</v>
      </c>
      <c r="E126">
        <v>0</v>
      </c>
      <c r="F126">
        <v>1</v>
      </c>
      <c r="G126">
        <v>0</v>
      </c>
      <c r="H126">
        <v>0</v>
      </c>
      <c r="I126">
        <v>0</v>
      </c>
    </row>
    <row r="127" spans="1:9">
      <c r="A127" t="s">
        <v>237</v>
      </c>
      <c r="B127">
        <v>0</v>
      </c>
      <c r="C127">
        <v>1</v>
      </c>
      <c r="D127">
        <v>0</v>
      </c>
      <c r="E127">
        <v>0</v>
      </c>
      <c r="F127">
        <v>1</v>
      </c>
      <c r="G127">
        <v>0</v>
      </c>
      <c r="H127">
        <v>0</v>
      </c>
      <c r="I127">
        <v>0</v>
      </c>
    </row>
    <row r="128" spans="1:9">
      <c r="A128" t="s">
        <v>239</v>
      </c>
      <c r="B128">
        <v>0</v>
      </c>
      <c r="C128">
        <v>1</v>
      </c>
      <c r="D128">
        <v>0</v>
      </c>
      <c r="E128">
        <v>0</v>
      </c>
      <c r="F128">
        <v>1</v>
      </c>
      <c r="G128">
        <v>0</v>
      </c>
      <c r="H128">
        <v>0</v>
      </c>
      <c r="I128">
        <v>0</v>
      </c>
    </row>
    <row r="129" spans="1:9">
      <c r="A129" t="s">
        <v>241</v>
      </c>
      <c r="B129">
        <v>0</v>
      </c>
      <c r="C129">
        <v>1</v>
      </c>
      <c r="D129">
        <v>0</v>
      </c>
      <c r="E129">
        <v>0</v>
      </c>
      <c r="F129">
        <v>1</v>
      </c>
      <c r="G129">
        <v>0</v>
      </c>
      <c r="H129">
        <v>0</v>
      </c>
      <c r="I129">
        <v>0</v>
      </c>
    </row>
    <row r="130" spans="1:9">
      <c r="A130" t="s">
        <v>243</v>
      </c>
      <c r="B130">
        <v>0</v>
      </c>
      <c r="C130">
        <v>1</v>
      </c>
      <c r="D130">
        <v>0</v>
      </c>
      <c r="E130">
        <v>0</v>
      </c>
      <c r="F130">
        <v>1</v>
      </c>
      <c r="G130">
        <v>0</v>
      </c>
      <c r="H130">
        <v>0</v>
      </c>
      <c r="I130">
        <v>0</v>
      </c>
    </row>
    <row r="131" spans="1:9">
      <c r="A131" t="s">
        <v>245</v>
      </c>
      <c r="B131">
        <v>0</v>
      </c>
      <c r="C131">
        <v>1</v>
      </c>
      <c r="D131">
        <v>0</v>
      </c>
      <c r="E131">
        <v>1</v>
      </c>
      <c r="F131">
        <v>1</v>
      </c>
      <c r="G131">
        <v>1</v>
      </c>
      <c r="H131">
        <v>0</v>
      </c>
      <c r="I131">
        <v>0</v>
      </c>
    </row>
    <row r="132" spans="1:9">
      <c r="A132" t="s">
        <v>247</v>
      </c>
      <c r="B132">
        <v>0</v>
      </c>
      <c r="C132">
        <v>1</v>
      </c>
      <c r="D132">
        <v>0</v>
      </c>
      <c r="E132">
        <v>0</v>
      </c>
      <c r="F132">
        <v>1</v>
      </c>
      <c r="G132">
        <v>0</v>
      </c>
      <c r="H132">
        <v>0</v>
      </c>
      <c r="I132">
        <v>0</v>
      </c>
    </row>
    <row r="133" spans="1:9">
      <c r="A133" t="s">
        <v>249</v>
      </c>
      <c r="B133">
        <v>0</v>
      </c>
      <c r="C133">
        <v>1</v>
      </c>
      <c r="D133">
        <v>0</v>
      </c>
      <c r="E133">
        <v>1</v>
      </c>
      <c r="F133">
        <v>1</v>
      </c>
      <c r="G133">
        <v>0</v>
      </c>
      <c r="H133">
        <v>1</v>
      </c>
      <c r="I133">
        <v>0</v>
      </c>
    </row>
    <row r="134" spans="1:9">
      <c r="A134" t="s">
        <v>251</v>
      </c>
      <c r="B134">
        <v>0</v>
      </c>
      <c r="C134">
        <v>1</v>
      </c>
      <c r="D134">
        <v>0</v>
      </c>
      <c r="E134">
        <v>0</v>
      </c>
      <c r="F134">
        <v>1</v>
      </c>
      <c r="G134">
        <v>0</v>
      </c>
      <c r="H134">
        <v>0</v>
      </c>
      <c r="I134">
        <v>0</v>
      </c>
    </row>
    <row r="135" spans="1:9">
      <c r="A135" t="s">
        <v>253</v>
      </c>
      <c r="B135">
        <v>0</v>
      </c>
      <c r="C135">
        <v>1</v>
      </c>
      <c r="D135">
        <v>0</v>
      </c>
      <c r="E135">
        <v>0</v>
      </c>
      <c r="F135">
        <v>1</v>
      </c>
      <c r="G135">
        <v>0</v>
      </c>
      <c r="H135">
        <v>0</v>
      </c>
      <c r="I135">
        <v>0</v>
      </c>
    </row>
    <row r="136" spans="1:9">
      <c r="A136" t="s">
        <v>255</v>
      </c>
      <c r="B136">
        <v>0</v>
      </c>
      <c r="C136">
        <v>1</v>
      </c>
      <c r="D136">
        <v>0</v>
      </c>
      <c r="E136">
        <v>0</v>
      </c>
      <c r="F136">
        <v>1</v>
      </c>
      <c r="G136">
        <v>0</v>
      </c>
      <c r="H136">
        <v>0</v>
      </c>
      <c r="I136">
        <v>0</v>
      </c>
    </row>
    <row r="137" spans="1:9">
      <c r="A137" t="s">
        <v>257</v>
      </c>
      <c r="B137">
        <v>0</v>
      </c>
      <c r="C137">
        <v>1</v>
      </c>
      <c r="D137">
        <v>0</v>
      </c>
      <c r="E137">
        <v>0</v>
      </c>
      <c r="F137">
        <v>1</v>
      </c>
      <c r="G137">
        <v>0</v>
      </c>
      <c r="H137">
        <v>0</v>
      </c>
      <c r="I137">
        <v>0</v>
      </c>
    </row>
    <row r="138" spans="1:9">
      <c r="A138" t="s">
        <v>259</v>
      </c>
      <c r="B138">
        <v>0</v>
      </c>
      <c r="C138">
        <v>1</v>
      </c>
      <c r="D138">
        <v>0</v>
      </c>
      <c r="E138">
        <v>0</v>
      </c>
      <c r="F138">
        <v>1</v>
      </c>
      <c r="G138">
        <v>0</v>
      </c>
      <c r="H138">
        <v>1</v>
      </c>
      <c r="I138">
        <v>0</v>
      </c>
    </row>
    <row r="139" spans="1:9">
      <c r="A139" t="s">
        <v>261</v>
      </c>
      <c r="B139">
        <v>0</v>
      </c>
      <c r="C139">
        <v>1</v>
      </c>
      <c r="D139">
        <v>0</v>
      </c>
      <c r="E139">
        <v>1</v>
      </c>
      <c r="F139">
        <v>1</v>
      </c>
      <c r="G139">
        <v>0</v>
      </c>
      <c r="H139">
        <v>0</v>
      </c>
      <c r="I139">
        <v>0</v>
      </c>
    </row>
    <row r="140" spans="1:9">
      <c r="A140" t="s">
        <v>263</v>
      </c>
      <c r="B140">
        <v>0</v>
      </c>
      <c r="C140">
        <v>1</v>
      </c>
      <c r="D140">
        <v>0</v>
      </c>
      <c r="E140">
        <v>0</v>
      </c>
      <c r="F140">
        <v>1</v>
      </c>
      <c r="G140">
        <v>0</v>
      </c>
      <c r="H140">
        <v>0</v>
      </c>
      <c r="I140">
        <v>0</v>
      </c>
    </row>
    <row r="141" spans="1:9">
      <c r="A141" t="s">
        <v>265</v>
      </c>
      <c r="B141">
        <v>1</v>
      </c>
      <c r="C141">
        <v>0</v>
      </c>
      <c r="D141">
        <v>0</v>
      </c>
      <c r="E141">
        <v>0</v>
      </c>
      <c r="F141">
        <v>1</v>
      </c>
      <c r="G141">
        <v>1</v>
      </c>
      <c r="H141">
        <v>0</v>
      </c>
      <c r="I141">
        <v>0</v>
      </c>
    </row>
    <row r="142" spans="1:9">
      <c r="A142" t="s">
        <v>267</v>
      </c>
      <c r="B142">
        <v>0</v>
      </c>
      <c r="C142">
        <v>1</v>
      </c>
      <c r="D142">
        <v>0</v>
      </c>
      <c r="E142">
        <v>0</v>
      </c>
      <c r="F142">
        <v>1</v>
      </c>
      <c r="G142">
        <v>0</v>
      </c>
      <c r="H142">
        <v>0</v>
      </c>
      <c r="I142">
        <v>0</v>
      </c>
    </row>
    <row r="143" spans="1:9">
      <c r="A143" t="s">
        <v>269</v>
      </c>
      <c r="B143">
        <v>0</v>
      </c>
      <c r="C143">
        <v>1</v>
      </c>
      <c r="D143">
        <v>0</v>
      </c>
      <c r="E143">
        <v>1</v>
      </c>
      <c r="F143">
        <v>1</v>
      </c>
      <c r="G143">
        <v>0</v>
      </c>
      <c r="H143">
        <v>1</v>
      </c>
      <c r="I143">
        <v>0</v>
      </c>
    </row>
    <row r="144" spans="1:9">
      <c r="A144" t="s">
        <v>271</v>
      </c>
      <c r="B144">
        <v>0</v>
      </c>
      <c r="C144">
        <v>1</v>
      </c>
      <c r="D144">
        <v>0</v>
      </c>
      <c r="E144">
        <v>1</v>
      </c>
      <c r="F144">
        <v>1</v>
      </c>
      <c r="G144">
        <v>0</v>
      </c>
      <c r="H144">
        <v>1</v>
      </c>
      <c r="I144">
        <v>0</v>
      </c>
    </row>
    <row r="145" spans="1:9">
      <c r="A145" t="s">
        <v>273</v>
      </c>
      <c r="B145">
        <v>0</v>
      </c>
      <c r="C145">
        <v>1</v>
      </c>
      <c r="D145">
        <v>0</v>
      </c>
      <c r="E145">
        <v>0</v>
      </c>
      <c r="F145">
        <v>1</v>
      </c>
      <c r="G145">
        <v>0</v>
      </c>
      <c r="H145">
        <v>0</v>
      </c>
      <c r="I145">
        <v>0</v>
      </c>
    </row>
    <row r="146" spans="1:9">
      <c r="A146" t="s">
        <v>275</v>
      </c>
      <c r="B146">
        <v>0</v>
      </c>
      <c r="C146">
        <v>1</v>
      </c>
      <c r="D146">
        <v>0</v>
      </c>
      <c r="E146">
        <v>1</v>
      </c>
      <c r="F146">
        <v>1</v>
      </c>
      <c r="G146">
        <v>1</v>
      </c>
      <c r="H146">
        <v>1</v>
      </c>
      <c r="I146">
        <v>0</v>
      </c>
    </row>
    <row r="147" spans="1:9">
      <c r="A147" t="s">
        <v>277</v>
      </c>
      <c r="B147">
        <v>0</v>
      </c>
      <c r="C147">
        <v>1</v>
      </c>
      <c r="D147">
        <v>0</v>
      </c>
      <c r="E147">
        <v>0</v>
      </c>
      <c r="F147">
        <v>1</v>
      </c>
      <c r="G147">
        <v>0</v>
      </c>
      <c r="H147">
        <v>0</v>
      </c>
      <c r="I147">
        <v>0</v>
      </c>
    </row>
    <row r="148" spans="1:9">
      <c r="A148" t="s">
        <v>279</v>
      </c>
      <c r="B148">
        <v>0</v>
      </c>
      <c r="C148">
        <v>1</v>
      </c>
      <c r="D148">
        <v>0</v>
      </c>
      <c r="E148">
        <v>0</v>
      </c>
      <c r="F148">
        <v>1</v>
      </c>
      <c r="G148">
        <v>0</v>
      </c>
      <c r="H148">
        <v>0</v>
      </c>
      <c r="I148">
        <v>0</v>
      </c>
    </row>
    <row r="149" spans="1:9">
      <c r="A149" t="s">
        <v>281</v>
      </c>
      <c r="B149">
        <v>0</v>
      </c>
      <c r="C149">
        <v>1</v>
      </c>
      <c r="D149">
        <v>0</v>
      </c>
      <c r="E149">
        <v>0</v>
      </c>
      <c r="F149">
        <v>1</v>
      </c>
      <c r="G149">
        <v>0</v>
      </c>
      <c r="H149">
        <v>0</v>
      </c>
      <c r="I149">
        <v>0</v>
      </c>
    </row>
    <row r="150" spans="1:9">
      <c r="A150" t="s">
        <v>283</v>
      </c>
      <c r="B150">
        <v>0</v>
      </c>
      <c r="C150">
        <v>1</v>
      </c>
      <c r="D150">
        <v>0</v>
      </c>
      <c r="E150">
        <v>0</v>
      </c>
      <c r="F150">
        <v>1</v>
      </c>
      <c r="G150">
        <v>0</v>
      </c>
      <c r="H150">
        <v>0</v>
      </c>
      <c r="I150">
        <v>0</v>
      </c>
    </row>
    <row r="151" spans="1:9">
      <c r="A151" t="s">
        <v>285</v>
      </c>
      <c r="B151">
        <v>0</v>
      </c>
      <c r="C151">
        <v>1</v>
      </c>
      <c r="D151">
        <v>0</v>
      </c>
      <c r="E151">
        <v>0</v>
      </c>
      <c r="F151">
        <v>1</v>
      </c>
      <c r="G151">
        <v>0</v>
      </c>
      <c r="H151">
        <v>0</v>
      </c>
      <c r="I151">
        <v>0</v>
      </c>
    </row>
    <row r="152" spans="1:9">
      <c r="A152" t="s">
        <v>287</v>
      </c>
      <c r="B152">
        <v>0</v>
      </c>
      <c r="C152">
        <v>1</v>
      </c>
      <c r="D152">
        <v>0</v>
      </c>
      <c r="E152">
        <v>0</v>
      </c>
      <c r="F152">
        <v>1</v>
      </c>
      <c r="G152">
        <v>0</v>
      </c>
      <c r="H152">
        <v>0</v>
      </c>
      <c r="I152">
        <v>0</v>
      </c>
    </row>
    <row r="153" spans="1:9">
      <c r="A153" t="s">
        <v>289</v>
      </c>
      <c r="B153">
        <v>0</v>
      </c>
      <c r="C153">
        <v>1</v>
      </c>
      <c r="D153">
        <v>0</v>
      </c>
      <c r="E153">
        <v>0</v>
      </c>
      <c r="F153">
        <v>1</v>
      </c>
      <c r="G153">
        <v>0</v>
      </c>
      <c r="H153">
        <v>1</v>
      </c>
      <c r="I153">
        <v>0</v>
      </c>
    </row>
    <row r="154" spans="1:9">
      <c r="A154" t="s">
        <v>291</v>
      </c>
      <c r="B154">
        <v>0</v>
      </c>
      <c r="C154">
        <v>1</v>
      </c>
      <c r="D154">
        <v>0</v>
      </c>
      <c r="E154">
        <v>0</v>
      </c>
      <c r="F154">
        <v>1</v>
      </c>
      <c r="G154">
        <v>0</v>
      </c>
      <c r="H154">
        <v>1</v>
      </c>
      <c r="I154">
        <v>0</v>
      </c>
    </row>
    <row r="155" spans="1:9">
      <c r="A155" t="s">
        <v>293</v>
      </c>
      <c r="B155">
        <v>0</v>
      </c>
      <c r="C155">
        <v>1</v>
      </c>
      <c r="D155">
        <v>0</v>
      </c>
      <c r="E155">
        <v>0</v>
      </c>
      <c r="F155">
        <v>1</v>
      </c>
      <c r="G155">
        <v>0</v>
      </c>
      <c r="H155">
        <v>0</v>
      </c>
      <c r="I155">
        <v>0</v>
      </c>
    </row>
    <row r="156" spans="1:9">
      <c r="A156" t="s">
        <v>295</v>
      </c>
      <c r="B156">
        <v>0</v>
      </c>
      <c r="C156">
        <v>1</v>
      </c>
      <c r="D156">
        <v>0</v>
      </c>
      <c r="E156">
        <v>0</v>
      </c>
      <c r="F156">
        <v>1</v>
      </c>
      <c r="G156">
        <v>0</v>
      </c>
      <c r="H156">
        <v>0</v>
      </c>
      <c r="I156">
        <v>0</v>
      </c>
    </row>
    <row r="157" spans="1:9">
      <c r="A157" t="s">
        <v>297</v>
      </c>
      <c r="B157">
        <v>0</v>
      </c>
      <c r="C157">
        <v>1</v>
      </c>
      <c r="D157">
        <v>0</v>
      </c>
      <c r="E157">
        <v>1</v>
      </c>
      <c r="F157">
        <v>1</v>
      </c>
      <c r="G157">
        <v>0</v>
      </c>
      <c r="H157">
        <v>1</v>
      </c>
      <c r="I157">
        <v>0</v>
      </c>
    </row>
    <row r="158" spans="1:9">
      <c r="A158" t="s">
        <v>299</v>
      </c>
      <c r="B158">
        <v>0</v>
      </c>
      <c r="C158">
        <v>0</v>
      </c>
      <c r="D158">
        <v>0</v>
      </c>
      <c r="E158">
        <v>0</v>
      </c>
      <c r="F158">
        <v>0</v>
      </c>
      <c r="G158">
        <v>1</v>
      </c>
      <c r="H158">
        <v>0</v>
      </c>
      <c r="I158">
        <v>0</v>
      </c>
    </row>
    <row r="159" spans="1:9">
      <c r="A159" t="s">
        <v>300</v>
      </c>
      <c r="B159">
        <v>1</v>
      </c>
      <c r="C159">
        <v>1</v>
      </c>
      <c r="D159">
        <v>0</v>
      </c>
      <c r="E159">
        <v>0</v>
      </c>
      <c r="F159">
        <v>0</v>
      </c>
      <c r="G159">
        <v>1</v>
      </c>
      <c r="H159">
        <v>1</v>
      </c>
      <c r="I159">
        <v>0</v>
      </c>
    </row>
    <row r="160" spans="1:9">
      <c r="A160" t="s">
        <v>302</v>
      </c>
      <c r="B160">
        <v>1</v>
      </c>
      <c r="C160">
        <v>1</v>
      </c>
      <c r="D160">
        <v>0</v>
      </c>
      <c r="E160">
        <v>0</v>
      </c>
      <c r="F160">
        <v>0</v>
      </c>
      <c r="G160">
        <v>1</v>
      </c>
      <c r="H160">
        <v>1</v>
      </c>
      <c r="I160">
        <v>0</v>
      </c>
    </row>
    <row r="161" spans="1:9">
      <c r="A161" t="s">
        <v>304</v>
      </c>
      <c r="B161">
        <v>1</v>
      </c>
      <c r="C161">
        <v>0</v>
      </c>
      <c r="D161">
        <v>0</v>
      </c>
      <c r="E161">
        <v>1</v>
      </c>
      <c r="F161">
        <v>0</v>
      </c>
      <c r="G161">
        <v>1</v>
      </c>
      <c r="H161">
        <v>1</v>
      </c>
      <c r="I161">
        <v>0</v>
      </c>
    </row>
    <row r="162" spans="1:9">
      <c r="A162" t="s">
        <v>306</v>
      </c>
      <c r="B162">
        <v>0</v>
      </c>
      <c r="C162">
        <v>0</v>
      </c>
      <c r="D162">
        <v>0</v>
      </c>
      <c r="E162">
        <v>0</v>
      </c>
      <c r="F162">
        <v>0</v>
      </c>
      <c r="G162">
        <v>0</v>
      </c>
      <c r="H162">
        <v>0</v>
      </c>
      <c r="I162">
        <v>0</v>
      </c>
    </row>
    <row r="163" spans="1:9">
      <c r="A163" t="s">
        <v>308</v>
      </c>
      <c r="B163">
        <v>1</v>
      </c>
      <c r="C163">
        <v>1</v>
      </c>
      <c r="D163">
        <v>0</v>
      </c>
      <c r="E163">
        <v>0</v>
      </c>
      <c r="F163">
        <v>0</v>
      </c>
      <c r="G163">
        <v>1</v>
      </c>
      <c r="H163">
        <v>0</v>
      </c>
      <c r="I163">
        <v>0</v>
      </c>
    </row>
    <row r="164" spans="1:9">
      <c r="A164" t="s">
        <v>310</v>
      </c>
      <c r="B164">
        <v>0</v>
      </c>
      <c r="C164">
        <v>0</v>
      </c>
      <c r="D164">
        <v>0</v>
      </c>
      <c r="E164">
        <v>1</v>
      </c>
      <c r="F164">
        <v>0</v>
      </c>
      <c r="G164">
        <v>0</v>
      </c>
      <c r="H164">
        <v>0</v>
      </c>
      <c r="I164">
        <v>0</v>
      </c>
    </row>
    <row r="165" spans="1:9">
      <c r="A165" t="s">
        <v>312</v>
      </c>
      <c r="B165">
        <v>0</v>
      </c>
      <c r="C165">
        <v>0</v>
      </c>
      <c r="D165">
        <v>0</v>
      </c>
      <c r="E165">
        <v>0</v>
      </c>
      <c r="F165">
        <v>0</v>
      </c>
      <c r="G165">
        <v>0</v>
      </c>
      <c r="H165">
        <v>0</v>
      </c>
      <c r="I165">
        <v>0</v>
      </c>
    </row>
    <row r="166" spans="1:9">
      <c r="A166" t="s">
        <v>314</v>
      </c>
      <c r="B166">
        <v>0</v>
      </c>
      <c r="C166">
        <v>0</v>
      </c>
      <c r="D166">
        <v>0</v>
      </c>
      <c r="E166">
        <v>0</v>
      </c>
      <c r="F166">
        <v>0</v>
      </c>
      <c r="G166">
        <v>0</v>
      </c>
      <c r="H166">
        <v>1</v>
      </c>
      <c r="I166">
        <v>0</v>
      </c>
    </row>
    <row r="167" spans="1:9">
      <c r="A167" t="s">
        <v>316</v>
      </c>
      <c r="B167">
        <v>0</v>
      </c>
      <c r="C167">
        <v>0</v>
      </c>
      <c r="D167">
        <v>0</v>
      </c>
      <c r="E167">
        <v>0</v>
      </c>
      <c r="F167">
        <v>0</v>
      </c>
      <c r="G167">
        <v>0</v>
      </c>
      <c r="H167">
        <v>0</v>
      </c>
      <c r="I167">
        <v>0</v>
      </c>
    </row>
    <row r="168" spans="1:9">
      <c r="A168" t="s">
        <v>318</v>
      </c>
      <c r="B168">
        <v>0</v>
      </c>
      <c r="C168">
        <v>0</v>
      </c>
      <c r="D168">
        <v>0</v>
      </c>
      <c r="E168">
        <v>0</v>
      </c>
      <c r="F168">
        <v>0</v>
      </c>
      <c r="G168">
        <v>0</v>
      </c>
      <c r="H168">
        <v>1</v>
      </c>
      <c r="I168">
        <v>0</v>
      </c>
    </row>
    <row r="169" spans="1:9">
      <c r="A169" t="s">
        <v>320</v>
      </c>
      <c r="B169">
        <v>0</v>
      </c>
      <c r="C169">
        <v>0</v>
      </c>
      <c r="D169">
        <v>0</v>
      </c>
      <c r="E169">
        <v>0</v>
      </c>
      <c r="F169">
        <v>0</v>
      </c>
      <c r="G169">
        <v>0</v>
      </c>
      <c r="H169">
        <v>0</v>
      </c>
      <c r="I169">
        <v>0</v>
      </c>
    </row>
    <row r="170" spans="1:9">
      <c r="A170" t="s">
        <v>322</v>
      </c>
      <c r="B170">
        <v>0</v>
      </c>
      <c r="C170">
        <v>1</v>
      </c>
      <c r="D170">
        <v>0</v>
      </c>
      <c r="E170">
        <v>0</v>
      </c>
      <c r="F170">
        <v>0</v>
      </c>
      <c r="G170">
        <v>1</v>
      </c>
      <c r="H170">
        <v>0</v>
      </c>
      <c r="I170">
        <v>0</v>
      </c>
    </row>
    <row r="171" spans="1:9">
      <c r="A171" t="s">
        <v>324</v>
      </c>
      <c r="B171">
        <v>0</v>
      </c>
      <c r="C171">
        <v>0</v>
      </c>
      <c r="D171">
        <v>0</v>
      </c>
      <c r="E171">
        <v>0</v>
      </c>
      <c r="F171">
        <v>0</v>
      </c>
      <c r="G171">
        <v>0</v>
      </c>
      <c r="H171">
        <v>0</v>
      </c>
      <c r="I171">
        <v>0</v>
      </c>
    </row>
    <row r="172" spans="1:9">
      <c r="A172" t="s">
        <v>326</v>
      </c>
      <c r="B172">
        <v>0</v>
      </c>
      <c r="C172">
        <v>0</v>
      </c>
      <c r="D172">
        <v>1</v>
      </c>
      <c r="E172">
        <v>0</v>
      </c>
      <c r="F172">
        <v>0</v>
      </c>
      <c r="G172">
        <v>0</v>
      </c>
      <c r="H172">
        <v>0</v>
      </c>
      <c r="I172">
        <v>0</v>
      </c>
    </row>
    <row r="173" spans="1:9">
      <c r="A173" t="s">
        <v>328</v>
      </c>
      <c r="B173">
        <v>0</v>
      </c>
      <c r="C173">
        <v>0</v>
      </c>
      <c r="D173">
        <v>0</v>
      </c>
      <c r="E173">
        <v>0</v>
      </c>
      <c r="F173">
        <v>0</v>
      </c>
      <c r="G173">
        <v>0</v>
      </c>
      <c r="H173">
        <v>0</v>
      </c>
      <c r="I173">
        <v>0</v>
      </c>
    </row>
    <row r="174" spans="1:9">
      <c r="A174" t="s">
        <v>330</v>
      </c>
      <c r="B174">
        <v>0</v>
      </c>
      <c r="C174">
        <v>0</v>
      </c>
      <c r="D174">
        <v>0</v>
      </c>
      <c r="E174">
        <v>0</v>
      </c>
      <c r="F174">
        <v>0</v>
      </c>
      <c r="G174">
        <v>0</v>
      </c>
      <c r="H174">
        <v>0</v>
      </c>
      <c r="I174">
        <v>0</v>
      </c>
    </row>
    <row r="175" spans="1:9">
      <c r="A175" t="s">
        <v>332</v>
      </c>
      <c r="B175">
        <v>0</v>
      </c>
      <c r="C175">
        <v>0</v>
      </c>
      <c r="D175">
        <v>0</v>
      </c>
      <c r="E175">
        <v>0</v>
      </c>
      <c r="F175">
        <v>0</v>
      </c>
      <c r="G175">
        <v>0</v>
      </c>
      <c r="H175">
        <v>0</v>
      </c>
      <c r="I175">
        <v>0</v>
      </c>
    </row>
    <row r="176" spans="1:9">
      <c r="A176" t="s">
        <v>334</v>
      </c>
      <c r="B176">
        <v>0</v>
      </c>
      <c r="C176">
        <v>0</v>
      </c>
      <c r="D176">
        <v>0</v>
      </c>
      <c r="E176">
        <v>0</v>
      </c>
      <c r="F176">
        <v>0</v>
      </c>
      <c r="G176">
        <v>0</v>
      </c>
      <c r="H176">
        <v>0</v>
      </c>
      <c r="I176">
        <v>0</v>
      </c>
    </row>
    <row r="177" spans="1:9">
      <c r="A177" t="s">
        <v>336</v>
      </c>
      <c r="B177">
        <v>0</v>
      </c>
      <c r="C177">
        <v>0</v>
      </c>
      <c r="D177">
        <v>0</v>
      </c>
      <c r="E177">
        <v>0</v>
      </c>
      <c r="F177">
        <v>0</v>
      </c>
      <c r="G177">
        <v>0</v>
      </c>
      <c r="H177">
        <v>0</v>
      </c>
      <c r="I177">
        <v>0</v>
      </c>
    </row>
    <row r="178" spans="1:9">
      <c r="A178" t="s">
        <v>338</v>
      </c>
      <c r="B178">
        <v>0</v>
      </c>
      <c r="C178">
        <v>0</v>
      </c>
      <c r="D178">
        <v>0</v>
      </c>
      <c r="E178">
        <v>0</v>
      </c>
      <c r="F178">
        <v>0</v>
      </c>
      <c r="G178">
        <v>0</v>
      </c>
      <c r="H178">
        <v>1</v>
      </c>
      <c r="I178">
        <v>0</v>
      </c>
    </row>
    <row r="179" spans="1:9">
      <c r="A179" t="s">
        <v>340</v>
      </c>
      <c r="B179">
        <v>0</v>
      </c>
      <c r="C179">
        <v>0</v>
      </c>
      <c r="D179">
        <v>0</v>
      </c>
      <c r="E179">
        <v>0</v>
      </c>
      <c r="F179">
        <v>0</v>
      </c>
      <c r="G179">
        <v>0</v>
      </c>
      <c r="H179">
        <v>1</v>
      </c>
      <c r="I179">
        <v>0</v>
      </c>
    </row>
    <row r="180" spans="1:9">
      <c r="A180" t="s">
        <v>342</v>
      </c>
      <c r="B180">
        <v>0</v>
      </c>
      <c r="C180">
        <v>1</v>
      </c>
      <c r="D180">
        <v>0</v>
      </c>
      <c r="E180">
        <v>0</v>
      </c>
      <c r="F180">
        <v>0</v>
      </c>
      <c r="G180">
        <v>0</v>
      </c>
      <c r="H180">
        <v>0</v>
      </c>
      <c r="I180">
        <v>0</v>
      </c>
    </row>
    <row r="181" spans="1:9">
      <c r="A181" t="s">
        <v>344</v>
      </c>
      <c r="B181">
        <v>0</v>
      </c>
      <c r="C181">
        <v>0</v>
      </c>
      <c r="D181">
        <v>0</v>
      </c>
      <c r="E181">
        <v>1</v>
      </c>
      <c r="F181">
        <v>0</v>
      </c>
      <c r="G181">
        <v>0</v>
      </c>
      <c r="H181">
        <v>0</v>
      </c>
      <c r="I181">
        <v>0</v>
      </c>
    </row>
    <row r="182" spans="1:9">
      <c r="A182" t="s">
        <v>346</v>
      </c>
      <c r="B182">
        <v>0</v>
      </c>
      <c r="C182">
        <v>0</v>
      </c>
      <c r="D182">
        <v>0</v>
      </c>
      <c r="E182">
        <v>1</v>
      </c>
      <c r="F182">
        <v>0</v>
      </c>
      <c r="G182">
        <v>0</v>
      </c>
      <c r="H182">
        <v>0</v>
      </c>
      <c r="I182">
        <v>0</v>
      </c>
    </row>
    <row r="183" spans="1:9">
      <c r="A183" t="s">
        <v>348</v>
      </c>
      <c r="B183">
        <v>0</v>
      </c>
      <c r="C183">
        <v>0</v>
      </c>
      <c r="D183">
        <v>0</v>
      </c>
      <c r="E183">
        <v>0</v>
      </c>
      <c r="F183">
        <v>0</v>
      </c>
      <c r="G183">
        <v>0</v>
      </c>
      <c r="H183">
        <v>0</v>
      </c>
      <c r="I183">
        <v>0</v>
      </c>
    </row>
    <row r="184" spans="1:9">
      <c r="A184" t="s">
        <v>350</v>
      </c>
      <c r="B184">
        <v>0</v>
      </c>
      <c r="C184">
        <v>1</v>
      </c>
      <c r="D184">
        <v>0</v>
      </c>
      <c r="E184">
        <v>0</v>
      </c>
      <c r="F184">
        <v>0</v>
      </c>
      <c r="G184">
        <v>0</v>
      </c>
      <c r="H184">
        <v>0</v>
      </c>
      <c r="I184">
        <v>0</v>
      </c>
    </row>
    <row r="185" spans="1:9">
      <c r="A185" t="s">
        <v>352</v>
      </c>
      <c r="B185">
        <v>0</v>
      </c>
      <c r="C185">
        <v>0</v>
      </c>
      <c r="D185">
        <v>0</v>
      </c>
      <c r="E185">
        <v>0</v>
      </c>
      <c r="F185">
        <v>0</v>
      </c>
      <c r="G185">
        <v>0</v>
      </c>
      <c r="H185">
        <v>0</v>
      </c>
      <c r="I185">
        <v>0</v>
      </c>
    </row>
    <row r="186" spans="1:9">
      <c r="A186" t="s">
        <v>354</v>
      </c>
      <c r="B186">
        <v>0</v>
      </c>
      <c r="C186">
        <v>0</v>
      </c>
      <c r="D186">
        <v>0</v>
      </c>
      <c r="E186">
        <v>0</v>
      </c>
      <c r="F186">
        <v>0</v>
      </c>
      <c r="G186">
        <v>0</v>
      </c>
      <c r="H186">
        <v>0</v>
      </c>
      <c r="I186">
        <v>0</v>
      </c>
    </row>
    <row r="187" spans="1:9">
      <c r="A187" t="s">
        <v>356</v>
      </c>
      <c r="B187">
        <v>0</v>
      </c>
      <c r="C187">
        <v>1</v>
      </c>
      <c r="D187">
        <v>0</v>
      </c>
      <c r="E187">
        <v>0</v>
      </c>
      <c r="F187">
        <v>1</v>
      </c>
      <c r="G187">
        <v>0</v>
      </c>
      <c r="H187">
        <v>0</v>
      </c>
      <c r="I187">
        <v>0</v>
      </c>
    </row>
    <row r="188" spans="1:9">
      <c r="A188" t="s">
        <v>358</v>
      </c>
      <c r="B188">
        <v>0</v>
      </c>
      <c r="C188">
        <v>0</v>
      </c>
      <c r="D188">
        <v>0</v>
      </c>
      <c r="E188">
        <v>1</v>
      </c>
      <c r="F188">
        <v>0</v>
      </c>
      <c r="G188">
        <v>0</v>
      </c>
      <c r="H188">
        <v>1</v>
      </c>
      <c r="I188">
        <v>0</v>
      </c>
    </row>
    <row r="189" spans="1:9">
      <c r="A189" t="s">
        <v>360</v>
      </c>
      <c r="B189">
        <v>0</v>
      </c>
      <c r="C189">
        <v>0</v>
      </c>
      <c r="D189">
        <v>0</v>
      </c>
      <c r="E189">
        <v>0</v>
      </c>
      <c r="F189">
        <v>0</v>
      </c>
      <c r="G189">
        <v>0</v>
      </c>
      <c r="H189">
        <v>0</v>
      </c>
      <c r="I189">
        <v>0</v>
      </c>
    </row>
    <row r="190" spans="1:9">
      <c r="A190" t="s">
        <v>362</v>
      </c>
      <c r="B190">
        <v>0</v>
      </c>
      <c r="C190">
        <v>0</v>
      </c>
      <c r="D190">
        <v>0</v>
      </c>
      <c r="E190">
        <v>0</v>
      </c>
      <c r="F190">
        <v>0</v>
      </c>
      <c r="G190">
        <v>0</v>
      </c>
      <c r="H190">
        <v>0</v>
      </c>
      <c r="I190">
        <v>0</v>
      </c>
    </row>
    <row r="191" spans="1:9">
      <c r="A191" t="s">
        <v>364</v>
      </c>
      <c r="B191">
        <v>0</v>
      </c>
      <c r="C191">
        <v>0</v>
      </c>
      <c r="D191">
        <v>1</v>
      </c>
      <c r="E191">
        <v>1</v>
      </c>
      <c r="F191">
        <v>0</v>
      </c>
      <c r="G191">
        <v>0</v>
      </c>
      <c r="H191">
        <v>0</v>
      </c>
      <c r="I191">
        <v>0</v>
      </c>
    </row>
    <row r="192" spans="1:9">
      <c r="A192" t="s">
        <v>366</v>
      </c>
      <c r="B192">
        <v>0</v>
      </c>
      <c r="C192">
        <v>1</v>
      </c>
      <c r="D192">
        <v>1</v>
      </c>
      <c r="E192">
        <v>0</v>
      </c>
      <c r="F192">
        <v>0</v>
      </c>
      <c r="G192">
        <v>0</v>
      </c>
      <c r="H192">
        <v>1</v>
      </c>
      <c r="I192">
        <v>0</v>
      </c>
    </row>
    <row r="193" spans="1:9">
      <c r="A193" t="s">
        <v>368</v>
      </c>
      <c r="B193">
        <v>0</v>
      </c>
      <c r="C193">
        <v>0</v>
      </c>
      <c r="D193">
        <v>0</v>
      </c>
      <c r="E193">
        <v>0</v>
      </c>
      <c r="F193">
        <v>0</v>
      </c>
      <c r="G193">
        <v>0</v>
      </c>
      <c r="H193">
        <v>0</v>
      </c>
      <c r="I193">
        <v>0</v>
      </c>
    </row>
    <row r="194" spans="1:9">
      <c r="A194" t="s">
        <v>370</v>
      </c>
      <c r="B194">
        <v>0</v>
      </c>
      <c r="C194">
        <v>0</v>
      </c>
      <c r="D194">
        <v>0</v>
      </c>
      <c r="E194">
        <v>0</v>
      </c>
      <c r="F194">
        <v>0</v>
      </c>
      <c r="G194">
        <v>0</v>
      </c>
      <c r="H194">
        <v>0</v>
      </c>
      <c r="I194">
        <v>0</v>
      </c>
    </row>
    <row r="195" spans="1:9">
      <c r="A195" t="s">
        <v>372</v>
      </c>
      <c r="B195">
        <v>0</v>
      </c>
      <c r="C195">
        <v>1</v>
      </c>
      <c r="D195">
        <v>0</v>
      </c>
      <c r="E195">
        <v>1</v>
      </c>
      <c r="F195">
        <v>0</v>
      </c>
      <c r="G195">
        <v>0</v>
      </c>
      <c r="H195">
        <v>1</v>
      </c>
      <c r="I195">
        <v>0</v>
      </c>
    </row>
    <row r="196" spans="1:9">
      <c r="A196" t="s">
        <v>373</v>
      </c>
      <c r="B196">
        <v>0</v>
      </c>
      <c r="C196">
        <v>1</v>
      </c>
      <c r="D196">
        <v>0</v>
      </c>
      <c r="E196">
        <v>1</v>
      </c>
      <c r="F196">
        <v>0</v>
      </c>
      <c r="G196">
        <v>0</v>
      </c>
      <c r="H196">
        <v>0</v>
      </c>
      <c r="I196">
        <v>0</v>
      </c>
    </row>
    <row r="197" spans="1:9">
      <c r="A197" t="s">
        <v>375</v>
      </c>
      <c r="B197">
        <v>0</v>
      </c>
      <c r="C197">
        <v>0</v>
      </c>
      <c r="D197">
        <v>0</v>
      </c>
      <c r="E197">
        <v>0</v>
      </c>
      <c r="F197">
        <v>0</v>
      </c>
      <c r="G197">
        <v>0</v>
      </c>
      <c r="H197">
        <v>0</v>
      </c>
      <c r="I197">
        <v>0</v>
      </c>
    </row>
    <row r="198" spans="1:9">
      <c r="A198" t="s">
        <v>377</v>
      </c>
      <c r="B198">
        <v>0</v>
      </c>
      <c r="C198">
        <v>0</v>
      </c>
      <c r="D198">
        <v>0</v>
      </c>
      <c r="E198">
        <v>1</v>
      </c>
      <c r="F198">
        <v>0</v>
      </c>
      <c r="G198">
        <v>0</v>
      </c>
      <c r="H198">
        <v>0</v>
      </c>
      <c r="I198">
        <v>0</v>
      </c>
    </row>
    <row r="199" spans="1:9">
      <c r="A199" t="s">
        <v>379</v>
      </c>
      <c r="B199">
        <v>0</v>
      </c>
      <c r="C199">
        <v>1</v>
      </c>
      <c r="D199">
        <v>0</v>
      </c>
      <c r="E199">
        <v>1</v>
      </c>
      <c r="F199">
        <v>1</v>
      </c>
      <c r="G199">
        <v>0</v>
      </c>
      <c r="H199">
        <v>1</v>
      </c>
      <c r="I199">
        <v>0</v>
      </c>
    </row>
    <row r="200" spans="1:9">
      <c r="A200" t="s">
        <v>380</v>
      </c>
      <c r="B200">
        <v>0</v>
      </c>
      <c r="C200">
        <v>0</v>
      </c>
      <c r="D200">
        <v>0</v>
      </c>
      <c r="E200">
        <v>0</v>
      </c>
      <c r="F200">
        <v>0</v>
      </c>
      <c r="G200">
        <v>1</v>
      </c>
      <c r="H200">
        <v>1</v>
      </c>
      <c r="I200">
        <v>0</v>
      </c>
    </row>
    <row r="201" spans="1:9">
      <c r="A201" t="s">
        <v>382</v>
      </c>
      <c r="B201">
        <v>0</v>
      </c>
      <c r="C201">
        <v>0</v>
      </c>
      <c r="D201">
        <v>1</v>
      </c>
      <c r="E201">
        <v>0</v>
      </c>
      <c r="F201">
        <v>0</v>
      </c>
      <c r="G201">
        <v>1</v>
      </c>
      <c r="H201">
        <v>1</v>
      </c>
      <c r="I201">
        <v>0</v>
      </c>
    </row>
    <row r="202" spans="1:9">
      <c r="A202" t="s">
        <v>384</v>
      </c>
      <c r="B202">
        <v>0</v>
      </c>
      <c r="C202">
        <v>1</v>
      </c>
      <c r="D202">
        <v>0</v>
      </c>
      <c r="E202">
        <v>1</v>
      </c>
      <c r="F202">
        <v>0</v>
      </c>
      <c r="G202">
        <v>0</v>
      </c>
      <c r="H202">
        <v>0</v>
      </c>
      <c r="I202">
        <v>0</v>
      </c>
    </row>
    <row r="203" spans="1:9">
      <c r="A203" t="s">
        <v>386</v>
      </c>
      <c r="B203">
        <v>0</v>
      </c>
      <c r="C203">
        <v>1</v>
      </c>
      <c r="D203">
        <v>0</v>
      </c>
      <c r="E203">
        <v>0</v>
      </c>
      <c r="F203">
        <v>0</v>
      </c>
      <c r="G203">
        <v>0</v>
      </c>
      <c r="H203">
        <v>0</v>
      </c>
      <c r="I203">
        <v>0</v>
      </c>
    </row>
    <row r="204" spans="1:9">
      <c r="A204" t="s">
        <v>388</v>
      </c>
      <c r="B204">
        <v>0</v>
      </c>
      <c r="C204">
        <v>0</v>
      </c>
      <c r="D204">
        <v>0</v>
      </c>
      <c r="E204">
        <v>0</v>
      </c>
      <c r="F204">
        <v>0</v>
      </c>
      <c r="G204">
        <v>0</v>
      </c>
      <c r="H204">
        <v>0</v>
      </c>
      <c r="I204">
        <v>0</v>
      </c>
    </row>
    <row r="205" spans="1:9">
      <c r="A205" t="s">
        <v>390</v>
      </c>
      <c r="B205">
        <v>0</v>
      </c>
      <c r="C205">
        <v>1</v>
      </c>
      <c r="D205">
        <v>0</v>
      </c>
      <c r="E205">
        <v>1</v>
      </c>
      <c r="F205">
        <v>0</v>
      </c>
      <c r="G205">
        <v>0</v>
      </c>
      <c r="H205">
        <v>0</v>
      </c>
      <c r="I205">
        <v>0</v>
      </c>
    </row>
    <row r="206" spans="1:9">
      <c r="A206" t="s">
        <v>392</v>
      </c>
      <c r="B206">
        <v>0</v>
      </c>
      <c r="C206">
        <v>0</v>
      </c>
      <c r="D206">
        <v>0</v>
      </c>
      <c r="E206">
        <v>0</v>
      </c>
      <c r="F206">
        <v>0</v>
      </c>
      <c r="G206">
        <v>0</v>
      </c>
      <c r="H206">
        <v>0</v>
      </c>
      <c r="I206">
        <v>0</v>
      </c>
    </row>
    <row r="207" spans="1:9">
      <c r="A207" t="s">
        <v>394</v>
      </c>
      <c r="B207">
        <v>0</v>
      </c>
      <c r="C207">
        <v>1</v>
      </c>
      <c r="D207">
        <v>0</v>
      </c>
      <c r="E207">
        <v>1</v>
      </c>
      <c r="F207">
        <v>1</v>
      </c>
      <c r="G207">
        <v>0</v>
      </c>
      <c r="H207">
        <v>0</v>
      </c>
      <c r="I207">
        <v>0</v>
      </c>
    </row>
    <row r="208" spans="1:9">
      <c r="A208" t="s">
        <v>396</v>
      </c>
      <c r="B208">
        <v>0</v>
      </c>
      <c r="C208">
        <v>0</v>
      </c>
      <c r="D208">
        <v>0</v>
      </c>
      <c r="E208">
        <v>1</v>
      </c>
      <c r="F208">
        <v>1</v>
      </c>
      <c r="G208">
        <v>1</v>
      </c>
      <c r="H208">
        <v>1</v>
      </c>
      <c r="I208">
        <v>0</v>
      </c>
    </row>
    <row r="209" spans="1:9">
      <c r="A209" t="s">
        <v>398</v>
      </c>
      <c r="B209">
        <v>0</v>
      </c>
      <c r="C209">
        <v>0</v>
      </c>
      <c r="D209">
        <v>0</v>
      </c>
      <c r="E209">
        <v>0</v>
      </c>
      <c r="F209">
        <v>0</v>
      </c>
      <c r="G209">
        <v>0</v>
      </c>
      <c r="H209">
        <v>0</v>
      </c>
      <c r="I209">
        <v>0</v>
      </c>
    </row>
    <row r="210" spans="1:9">
      <c r="A210" t="s">
        <v>400</v>
      </c>
      <c r="B210">
        <v>0</v>
      </c>
      <c r="C210">
        <v>0</v>
      </c>
      <c r="D210">
        <v>0</v>
      </c>
      <c r="E210">
        <v>0</v>
      </c>
      <c r="F210">
        <v>0</v>
      </c>
      <c r="G210">
        <v>1</v>
      </c>
      <c r="H210">
        <v>1</v>
      </c>
      <c r="I210">
        <v>0</v>
      </c>
    </row>
    <row r="211" spans="1:9">
      <c r="A211" t="s">
        <v>402</v>
      </c>
      <c r="B211">
        <v>0</v>
      </c>
      <c r="C211">
        <v>0</v>
      </c>
      <c r="D211">
        <v>1</v>
      </c>
      <c r="E211">
        <v>0</v>
      </c>
      <c r="F211">
        <v>0</v>
      </c>
      <c r="G211">
        <v>0</v>
      </c>
      <c r="H211">
        <v>0</v>
      </c>
      <c r="I211">
        <v>0</v>
      </c>
    </row>
    <row r="212" spans="1:9">
      <c r="A212" t="s">
        <v>404</v>
      </c>
      <c r="B212">
        <v>0</v>
      </c>
      <c r="C212">
        <v>0</v>
      </c>
      <c r="D212">
        <v>1</v>
      </c>
      <c r="E212">
        <v>0</v>
      </c>
      <c r="F212">
        <v>0</v>
      </c>
      <c r="G212">
        <v>0</v>
      </c>
      <c r="H212">
        <v>1</v>
      </c>
      <c r="I212">
        <v>0</v>
      </c>
    </row>
    <row r="213" spans="1:9">
      <c r="A213" t="s">
        <v>406</v>
      </c>
      <c r="B213">
        <v>0</v>
      </c>
      <c r="C213">
        <v>0</v>
      </c>
      <c r="D213">
        <v>0</v>
      </c>
      <c r="E213">
        <v>0</v>
      </c>
      <c r="F213">
        <v>0</v>
      </c>
      <c r="G213">
        <v>1</v>
      </c>
      <c r="H213">
        <v>1</v>
      </c>
      <c r="I213">
        <v>0</v>
      </c>
    </row>
    <row r="214" spans="1:9">
      <c r="A214" t="s">
        <v>408</v>
      </c>
      <c r="B214">
        <v>0</v>
      </c>
      <c r="C214">
        <v>1</v>
      </c>
      <c r="D214">
        <v>0</v>
      </c>
      <c r="E214">
        <v>0</v>
      </c>
      <c r="F214">
        <v>1</v>
      </c>
      <c r="G214">
        <v>0</v>
      </c>
      <c r="H214">
        <v>0</v>
      </c>
      <c r="I214">
        <v>0</v>
      </c>
    </row>
    <row r="215" spans="1:9">
      <c r="A215" t="s">
        <v>410</v>
      </c>
      <c r="B215">
        <v>0</v>
      </c>
      <c r="C215">
        <v>0</v>
      </c>
      <c r="D215">
        <v>0</v>
      </c>
      <c r="E215">
        <v>0</v>
      </c>
      <c r="F215">
        <v>0</v>
      </c>
      <c r="G215">
        <v>0</v>
      </c>
      <c r="H215">
        <v>1</v>
      </c>
      <c r="I215">
        <v>0</v>
      </c>
    </row>
    <row r="216" spans="1:9">
      <c r="A216" t="s">
        <v>412</v>
      </c>
      <c r="B216">
        <v>0</v>
      </c>
      <c r="C216">
        <v>0</v>
      </c>
      <c r="D216">
        <v>0</v>
      </c>
      <c r="E216">
        <v>0</v>
      </c>
      <c r="F216">
        <v>0</v>
      </c>
      <c r="G216">
        <v>0</v>
      </c>
      <c r="H216">
        <v>0</v>
      </c>
      <c r="I216">
        <v>0</v>
      </c>
    </row>
    <row r="217" spans="1:9">
      <c r="A217" t="s">
        <v>414</v>
      </c>
      <c r="B217">
        <v>0</v>
      </c>
      <c r="C217">
        <v>1</v>
      </c>
      <c r="D217">
        <v>0</v>
      </c>
      <c r="E217">
        <v>1</v>
      </c>
      <c r="F217">
        <v>0</v>
      </c>
      <c r="G217">
        <v>0</v>
      </c>
      <c r="H217">
        <v>0</v>
      </c>
      <c r="I217">
        <v>0</v>
      </c>
    </row>
    <row r="218" spans="1:9">
      <c r="A218" t="s">
        <v>416</v>
      </c>
      <c r="B218">
        <v>0</v>
      </c>
      <c r="C218">
        <v>1</v>
      </c>
      <c r="D218">
        <v>0</v>
      </c>
      <c r="E218">
        <v>1</v>
      </c>
      <c r="F218">
        <v>0</v>
      </c>
      <c r="G218">
        <v>0</v>
      </c>
      <c r="H218">
        <v>0</v>
      </c>
      <c r="I218">
        <v>0</v>
      </c>
    </row>
    <row r="219" spans="1:9">
      <c r="A219" t="s">
        <v>418</v>
      </c>
      <c r="B219">
        <v>0</v>
      </c>
      <c r="C219">
        <v>1</v>
      </c>
      <c r="D219">
        <v>0</v>
      </c>
      <c r="E219">
        <v>1</v>
      </c>
      <c r="F219">
        <v>0</v>
      </c>
      <c r="G219">
        <v>0</v>
      </c>
      <c r="H219">
        <v>0</v>
      </c>
      <c r="I219">
        <v>0</v>
      </c>
    </row>
    <row r="220" spans="1:9">
      <c r="A220" t="s">
        <v>420</v>
      </c>
      <c r="B220">
        <v>0</v>
      </c>
      <c r="C220">
        <v>1</v>
      </c>
      <c r="D220">
        <v>0</v>
      </c>
      <c r="E220">
        <v>0</v>
      </c>
      <c r="F220">
        <v>0</v>
      </c>
      <c r="G220">
        <v>0</v>
      </c>
      <c r="H220">
        <v>0</v>
      </c>
      <c r="I220">
        <v>0</v>
      </c>
    </row>
    <row r="221" spans="1:9">
      <c r="A221" t="s">
        <v>422</v>
      </c>
      <c r="B221">
        <v>0</v>
      </c>
      <c r="C221">
        <v>0</v>
      </c>
      <c r="D221">
        <v>0</v>
      </c>
      <c r="E221">
        <v>1</v>
      </c>
      <c r="F221">
        <v>0</v>
      </c>
      <c r="G221">
        <v>1</v>
      </c>
      <c r="H221">
        <v>0</v>
      </c>
      <c r="I221">
        <v>0</v>
      </c>
    </row>
    <row r="222" spans="1:9">
      <c r="A222" t="s">
        <v>424</v>
      </c>
      <c r="B222">
        <v>0</v>
      </c>
      <c r="C222">
        <v>0</v>
      </c>
      <c r="D222">
        <v>0</v>
      </c>
      <c r="E222">
        <v>0</v>
      </c>
      <c r="F222">
        <v>0</v>
      </c>
      <c r="G222">
        <v>0</v>
      </c>
      <c r="H222">
        <v>0</v>
      </c>
      <c r="I222">
        <v>0</v>
      </c>
    </row>
    <row r="223" spans="1:9">
      <c r="A223" t="s">
        <v>426</v>
      </c>
      <c r="B223">
        <v>0</v>
      </c>
      <c r="C223">
        <v>0</v>
      </c>
      <c r="D223">
        <v>0</v>
      </c>
      <c r="E223">
        <v>0</v>
      </c>
      <c r="F223">
        <v>0</v>
      </c>
      <c r="G223">
        <v>0</v>
      </c>
      <c r="H223">
        <v>0</v>
      </c>
      <c r="I223">
        <v>0</v>
      </c>
    </row>
    <row r="224" spans="1:9">
      <c r="A224" t="s">
        <v>428</v>
      </c>
      <c r="B224">
        <v>0</v>
      </c>
      <c r="C224">
        <v>0</v>
      </c>
      <c r="D224">
        <v>0</v>
      </c>
      <c r="E224">
        <v>0</v>
      </c>
      <c r="F224">
        <v>0</v>
      </c>
      <c r="G224">
        <v>0</v>
      </c>
      <c r="H224">
        <v>0</v>
      </c>
      <c r="I224">
        <v>0</v>
      </c>
    </row>
    <row r="225" spans="1:9">
      <c r="A225" t="s">
        <v>430</v>
      </c>
      <c r="B225">
        <v>0</v>
      </c>
      <c r="C225">
        <v>0</v>
      </c>
      <c r="D225">
        <v>0</v>
      </c>
      <c r="E225">
        <v>0</v>
      </c>
      <c r="F225">
        <v>0</v>
      </c>
      <c r="G225">
        <v>0</v>
      </c>
      <c r="H225">
        <v>0</v>
      </c>
      <c r="I225">
        <v>0</v>
      </c>
    </row>
    <row r="226" spans="1:9">
      <c r="A226" t="s">
        <v>432</v>
      </c>
      <c r="B226">
        <v>0</v>
      </c>
      <c r="C226">
        <v>0</v>
      </c>
      <c r="D226">
        <v>0</v>
      </c>
      <c r="E226">
        <v>0</v>
      </c>
      <c r="F226">
        <v>0</v>
      </c>
      <c r="G226">
        <v>0</v>
      </c>
      <c r="H226">
        <v>0</v>
      </c>
      <c r="I226">
        <v>0</v>
      </c>
    </row>
    <row r="227" spans="1:9">
      <c r="A227" t="s">
        <v>434</v>
      </c>
      <c r="B227">
        <v>0</v>
      </c>
      <c r="C227">
        <v>1</v>
      </c>
      <c r="D227">
        <v>1</v>
      </c>
      <c r="E227">
        <v>0</v>
      </c>
      <c r="F227">
        <v>0</v>
      </c>
      <c r="G227">
        <v>0</v>
      </c>
      <c r="H227">
        <v>0</v>
      </c>
      <c r="I227">
        <v>0</v>
      </c>
    </row>
    <row r="228" spans="1:9">
      <c r="A228" t="s">
        <v>436</v>
      </c>
      <c r="B228">
        <v>0</v>
      </c>
      <c r="C228">
        <v>1</v>
      </c>
      <c r="D228">
        <v>0</v>
      </c>
      <c r="E228">
        <v>1</v>
      </c>
      <c r="F228">
        <v>0</v>
      </c>
      <c r="G228">
        <v>0</v>
      </c>
      <c r="H228">
        <v>0</v>
      </c>
      <c r="I228">
        <v>0</v>
      </c>
    </row>
    <row r="229" spans="1:9">
      <c r="A229" t="s">
        <v>438</v>
      </c>
      <c r="B229">
        <v>0</v>
      </c>
      <c r="C229">
        <v>0</v>
      </c>
      <c r="D229">
        <v>0</v>
      </c>
      <c r="E229">
        <v>0</v>
      </c>
      <c r="F229">
        <v>0</v>
      </c>
      <c r="G229">
        <v>0</v>
      </c>
      <c r="H229">
        <v>0</v>
      </c>
      <c r="I229">
        <v>0</v>
      </c>
    </row>
    <row r="230" spans="1:9">
      <c r="A230" t="s">
        <v>440</v>
      </c>
      <c r="B230">
        <v>0</v>
      </c>
      <c r="C230">
        <v>0</v>
      </c>
      <c r="D230">
        <v>0</v>
      </c>
      <c r="E230">
        <v>1</v>
      </c>
      <c r="F230">
        <v>0</v>
      </c>
      <c r="G230">
        <v>0</v>
      </c>
      <c r="H230">
        <v>0</v>
      </c>
      <c r="I230">
        <v>0</v>
      </c>
    </row>
    <row r="231" spans="1:9">
      <c r="A231" t="s">
        <v>442</v>
      </c>
      <c r="B231">
        <v>0</v>
      </c>
      <c r="C231">
        <v>0</v>
      </c>
      <c r="D231">
        <v>0</v>
      </c>
      <c r="E231">
        <v>0</v>
      </c>
      <c r="F231">
        <v>0</v>
      </c>
      <c r="G231">
        <v>0</v>
      </c>
      <c r="H231">
        <v>0</v>
      </c>
      <c r="I231">
        <v>0</v>
      </c>
    </row>
    <row r="232" spans="1:9">
      <c r="A232" t="s">
        <v>444</v>
      </c>
      <c r="B232">
        <v>0</v>
      </c>
      <c r="C232">
        <v>0</v>
      </c>
      <c r="D232">
        <v>0</v>
      </c>
      <c r="E232">
        <v>0</v>
      </c>
      <c r="F232">
        <v>0</v>
      </c>
      <c r="G232">
        <v>0</v>
      </c>
      <c r="H232">
        <v>0</v>
      </c>
      <c r="I232">
        <v>0</v>
      </c>
    </row>
    <row r="233" spans="1:9">
      <c r="A233" t="s">
        <v>446</v>
      </c>
      <c r="B233">
        <v>0</v>
      </c>
      <c r="C233">
        <v>0</v>
      </c>
      <c r="D233">
        <v>0</v>
      </c>
      <c r="E233">
        <v>0</v>
      </c>
      <c r="F233">
        <v>0</v>
      </c>
      <c r="G233">
        <v>0</v>
      </c>
      <c r="H233">
        <v>0</v>
      </c>
      <c r="I233">
        <v>0</v>
      </c>
    </row>
    <row r="234" spans="1:9">
      <c r="A234" t="s">
        <v>448</v>
      </c>
      <c r="B234">
        <v>0</v>
      </c>
      <c r="C234">
        <v>0</v>
      </c>
      <c r="D234">
        <v>0</v>
      </c>
      <c r="E234">
        <v>0</v>
      </c>
      <c r="F234">
        <v>0</v>
      </c>
      <c r="G234">
        <v>0</v>
      </c>
      <c r="H234">
        <v>0</v>
      </c>
      <c r="I234">
        <v>0</v>
      </c>
    </row>
    <row r="235" spans="1:9">
      <c r="A235" t="s">
        <v>449</v>
      </c>
      <c r="B235">
        <v>0</v>
      </c>
      <c r="C235">
        <v>1</v>
      </c>
      <c r="D235">
        <v>0</v>
      </c>
      <c r="E235">
        <v>1</v>
      </c>
      <c r="F235">
        <v>1</v>
      </c>
      <c r="G235">
        <v>0</v>
      </c>
      <c r="H235">
        <v>1</v>
      </c>
      <c r="I235">
        <v>1</v>
      </c>
    </row>
    <row r="236" spans="1:9">
      <c r="A236" t="s">
        <v>451</v>
      </c>
      <c r="B236">
        <v>0</v>
      </c>
      <c r="C236">
        <v>0</v>
      </c>
      <c r="D236">
        <v>0</v>
      </c>
      <c r="E236">
        <v>0</v>
      </c>
      <c r="F236">
        <v>1</v>
      </c>
      <c r="G236">
        <v>0</v>
      </c>
      <c r="H236">
        <v>0</v>
      </c>
      <c r="I236">
        <v>0</v>
      </c>
    </row>
    <row r="237" spans="1:9">
      <c r="A237" t="s">
        <v>453</v>
      </c>
      <c r="B237">
        <v>0</v>
      </c>
      <c r="C237">
        <v>0</v>
      </c>
      <c r="D237">
        <v>0</v>
      </c>
      <c r="E237">
        <v>0</v>
      </c>
      <c r="F237">
        <v>0</v>
      </c>
      <c r="G237">
        <v>0</v>
      </c>
      <c r="H237">
        <v>0</v>
      </c>
      <c r="I237">
        <v>0</v>
      </c>
    </row>
    <row r="238" spans="1:9">
      <c r="A238" t="s">
        <v>455</v>
      </c>
      <c r="B238">
        <v>0</v>
      </c>
      <c r="C238">
        <v>0</v>
      </c>
      <c r="D238">
        <v>0</v>
      </c>
      <c r="E238">
        <v>0</v>
      </c>
      <c r="F238">
        <v>0</v>
      </c>
      <c r="G238">
        <v>0</v>
      </c>
      <c r="H238">
        <v>0</v>
      </c>
      <c r="I238">
        <v>0</v>
      </c>
    </row>
    <row r="239" spans="1:9">
      <c r="A239" t="s">
        <v>457</v>
      </c>
      <c r="B239">
        <v>0</v>
      </c>
      <c r="C239">
        <v>0</v>
      </c>
      <c r="D239">
        <v>0</v>
      </c>
      <c r="E239">
        <v>0</v>
      </c>
      <c r="F239">
        <v>0</v>
      </c>
      <c r="G239">
        <v>0</v>
      </c>
      <c r="H239">
        <v>0</v>
      </c>
      <c r="I239">
        <v>0</v>
      </c>
    </row>
    <row r="240" spans="1:9">
      <c r="A240" t="s">
        <v>459</v>
      </c>
      <c r="B240">
        <v>0</v>
      </c>
      <c r="C240">
        <v>0</v>
      </c>
      <c r="D240">
        <v>0</v>
      </c>
      <c r="E240">
        <v>0</v>
      </c>
      <c r="F240">
        <v>0</v>
      </c>
      <c r="G240">
        <v>0</v>
      </c>
      <c r="H240">
        <v>0</v>
      </c>
      <c r="I240">
        <v>0</v>
      </c>
    </row>
    <row r="241" spans="1:9">
      <c r="A241" t="s">
        <v>461</v>
      </c>
      <c r="B241">
        <v>0</v>
      </c>
      <c r="C241">
        <v>0</v>
      </c>
      <c r="D241">
        <v>0</v>
      </c>
      <c r="E241">
        <v>0</v>
      </c>
      <c r="F241">
        <v>0</v>
      </c>
      <c r="G241">
        <v>0</v>
      </c>
      <c r="H241">
        <v>0</v>
      </c>
      <c r="I241">
        <v>0</v>
      </c>
    </row>
    <row r="242" spans="1:9">
      <c r="A242" t="s">
        <v>463</v>
      </c>
      <c r="B242">
        <v>0</v>
      </c>
      <c r="C242">
        <v>0</v>
      </c>
      <c r="D242">
        <v>0</v>
      </c>
      <c r="E242">
        <v>0</v>
      </c>
      <c r="F242">
        <v>1</v>
      </c>
      <c r="G242">
        <v>0</v>
      </c>
      <c r="H242">
        <v>0</v>
      </c>
      <c r="I242">
        <v>0</v>
      </c>
    </row>
    <row r="243" spans="1:9">
      <c r="A243" t="s">
        <v>465</v>
      </c>
      <c r="B243">
        <v>0</v>
      </c>
      <c r="C243">
        <v>0</v>
      </c>
      <c r="D243">
        <v>1</v>
      </c>
      <c r="E243">
        <v>0</v>
      </c>
      <c r="F243">
        <v>1</v>
      </c>
      <c r="G243">
        <v>0</v>
      </c>
      <c r="H243">
        <v>0</v>
      </c>
      <c r="I243">
        <v>0</v>
      </c>
    </row>
    <row r="244" spans="1:9">
      <c r="A244" t="s">
        <v>467</v>
      </c>
      <c r="B244">
        <v>0</v>
      </c>
      <c r="C244">
        <v>0</v>
      </c>
      <c r="D244">
        <v>0</v>
      </c>
      <c r="E244">
        <v>0</v>
      </c>
      <c r="F244">
        <v>1</v>
      </c>
      <c r="G244">
        <v>1</v>
      </c>
      <c r="H244">
        <v>0</v>
      </c>
      <c r="I244">
        <v>0</v>
      </c>
    </row>
    <row r="245" spans="1:9">
      <c r="A245" t="s">
        <v>469</v>
      </c>
      <c r="B245">
        <v>0</v>
      </c>
      <c r="C245">
        <v>0</v>
      </c>
      <c r="D245">
        <v>0</v>
      </c>
      <c r="E245">
        <v>0</v>
      </c>
      <c r="F245">
        <v>0</v>
      </c>
      <c r="G245">
        <v>0</v>
      </c>
      <c r="H245">
        <v>0</v>
      </c>
      <c r="I245">
        <v>0</v>
      </c>
    </row>
    <row r="246" spans="1:9">
      <c r="A246" t="s">
        <v>471</v>
      </c>
      <c r="B246">
        <v>0</v>
      </c>
      <c r="C246">
        <v>0</v>
      </c>
      <c r="D246">
        <v>1</v>
      </c>
      <c r="E246">
        <v>0</v>
      </c>
      <c r="F246">
        <v>1</v>
      </c>
      <c r="G246">
        <v>1</v>
      </c>
      <c r="H246">
        <v>0</v>
      </c>
      <c r="I246">
        <v>0</v>
      </c>
    </row>
    <row r="247" spans="1:9">
      <c r="A247" t="s">
        <v>473</v>
      </c>
      <c r="B247">
        <v>0</v>
      </c>
      <c r="C247">
        <v>0</v>
      </c>
      <c r="D247">
        <v>0</v>
      </c>
      <c r="E247">
        <v>0</v>
      </c>
      <c r="F247">
        <v>0</v>
      </c>
      <c r="G247">
        <v>1</v>
      </c>
      <c r="H247">
        <v>0</v>
      </c>
      <c r="I247">
        <v>0</v>
      </c>
    </row>
    <row r="248" spans="1:9">
      <c r="A248" t="s">
        <v>475</v>
      </c>
      <c r="B248">
        <v>0</v>
      </c>
      <c r="C248">
        <v>0</v>
      </c>
      <c r="D248">
        <v>0</v>
      </c>
      <c r="E248">
        <v>0</v>
      </c>
      <c r="F248">
        <v>1</v>
      </c>
      <c r="G248">
        <v>0</v>
      </c>
      <c r="H248">
        <v>0</v>
      </c>
      <c r="I248">
        <v>1</v>
      </c>
    </row>
    <row r="249" spans="1:9">
      <c r="A249" t="s">
        <v>477</v>
      </c>
      <c r="B249">
        <v>0</v>
      </c>
      <c r="C249">
        <v>0</v>
      </c>
      <c r="D249">
        <v>0</v>
      </c>
      <c r="E249">
        <v>0</v>
      </c>
      <c r="F249">
        <v>0</v>
      </c>
      <c r="G249">
        <v>0</v>
      </c>
      <c r="H249">
        <v>0</v>
      </c>
      <c r="I249">
        <v>0</v>
      </c>
    </row>
    <row r="250" spans="1:9">
      <c r="A250" t="s">
        <v>479</v>
      </c>
      <c r="B250">
        <v>0</v>
      </c>
      <c r="C250">
        <v>0</v>
      </c>
      <c r="D250">
        <v>0</v>
      </c>
      <c r="E250">
        <v>0</v>
      </c>
      <c r="F250">
        <v>0</v>
      </c>
      <c r="G250">
        <v>0</v>
      </c>
      <c r="H250">
        <v>0</v>
      </c>
      <c r="I250">
        <v>0</v>
      </c>
    </row>
    <row r="251" spans="1:9">
      <c r="A251" t="s">
        <v>481</v>
      </c>
      <c r="B251">
        <v>0</v>
      </c>
      <c r="C251">
        <v>0</v>
      </c>
      <c r="D251">
        <v>0</v>
      </c>
      <c r="E251">
        <v>0</v>
      </c>
      <c r="F251">
        <v>1</v>
      </c>
      <c r="G251">
        <v>1</v>
      </c>
      <c r="H251">
        <v>0</v>
      </c>
      <c r="I251">
        <v>0</v>
      </c>
    </row>
    <row r="252" spans="1:9">
      <c r="A252" t="s">
        <v>483</v>
      </c>
      <c r="B252">
        <v>0</v>
      </c>
      <c r="C252">
        <v>0</v>
      </c>
      <c r="D252">
        <v>0</v>
      </c>
      <c r="E252">
        <v>0</v>
      </c>
      <c r="F252">
        <v>1</v>
      </c>
      <c r="G252">
        <v>1</v>
      </c>
      <c r="H252">
        <v>0</v>
      </c>
      <c r="I252">
        <v>0</v>
      </c>
    </row>
    <row r="253" spans="1:9">
      <c r="A253" t="s">
        <v>485</v>
      </c>
      <c r="B253">
        <v>0</v>
      </c>
      <c r="C253">
        <v>0</v>
      </c>
      <c r="D253">
        <v>0</v>
      </c>
      <c r="E253">
        <v>0</v>
      </c>
      <c r="F253">
        <v>1</v>
      </c>
      <c r="G253">
        <v>0</v>
      </c>
      <c r="H253">
        <v>0</v>
      </c>
      <c r="I253">
        <v>0</v>
      </c>
    </row>
    <row r="254" spans="1:9">
      <c r="A254" t="s">
        <v>487</v>
      </c>
      <c r="B254">
        <v>0</v>
      </c>
      <c r="C254">
        <v>0</v>
      </c>
      <c r="D254">
        <v>0</v>
      </c>
      <c r="E254">
        <v>0</v>
      </c>
      <c r="F254">
        <v>0</v>
      </c>
      <c r="G254">
        <v>0</v>
      </c>
      <c r="H254">
        <v>0</v>
      </c>
      <c r="I254">
        <v>0</v>
      </c>
    </row>
    <row r="255" spans="1:9">
      <c r="A255" t="s">
        <v>489</v>
      </c>
      <c r="B255">
        <v>0</v>
      </c>
      <c r="C255">
        <v>0</v>
      </c>
      <c r="D255">
        <v>0</v>
      </c>
      <c r="E255">
        <v>0</v>
      </c>
      <c r="F255">
        <v>0</v>
      </c>
      <c r="G255">
        <v>0</v>
      </c>
      <c r="H255">
        <v>0</v>
      </c>
      <c r="I255">
        <v>0</v>
      </c>
    </row>
    <row r="256" spans="1:9">
      <c r="A256" t="s">
        <v>491</v>
      </c>
      <c r="B256">
        <v>0</v>
      </c>
      <c r="C256">
        <v>0</v>
      </c>
      <c r="D256">
        <v>0</v>
      </c>
      <c r="E256">
        <v>0</v>
      </c>
      <c r="F256">
        <v>0</v>
      </c>
      <c r="G256">
        <v>0</v>
      </c>
      <c r="H256">
        <v>0</v>
      </c>
      <c r="I256">
        <v>0</v>
      </c>
    </row>
    <row r="257" spans="1:9">
      <c r="A257" t="s">
        <v>493</v>
      </c>
      <c r="B257">
        <v>0</v>
      </c>
      <c r="C257">
        <v>0</v>
      </c>
      <c r="D257">
        <v>0</v>
      </c>
      <c r="E257">
        <v>0</v>
      </c>
      <c r="F257">
        <v>1</v>
      </c>
      <c r="G257">
        <v>0</v>
      </c>
      <c r="H257">
        <v>0</v>
      </c>
      <c r="I257">
        <v>0</v>
      </c>
    </row>
    <row r="258" spans="1:9">
      <c r="A258" t="s">
        <v>495</v>
      </c>
      <c r="B258">
        <v>0</v>
      </c>
      <c r="C258">
        <v>0</v>
      </c>
      <c r="D258">
        <v>0</v>
      </c>
      <c r="E258">
        <v>0</v>
      </c>
      <c r="F258">
        <v>0</v>
      </c>
      <c r="G258">
        <v>0</v>
      </c>
      <c r="H258">
        <v>0</v>
      </c>
      <c r="I258">
        <v>0</v>
      </c>
    </row>
    <row r="259" spans="1:9">
      <c r="A259" t="s">
        <v>497</v>
      </c>
      <c r="B259">
        <v>0</v>
      </c>
      <c r="C259">
        <v>0</v>
      </c>
      <c r="D259">
        <v>0</v>
      </c>
      <c r="E259">
        <v>0</v>
      </c>
      <c r="F259">
        <v>0</v>
      </c>
      <c r="G259">
        <v>0</v>
      </c>
      <c r="H259">
        <v>0</v>
      </c>
      <c r="I259">
        <v>0</v>
      </c>
    </row>
    <row r="260" spans="1:9">
      <c r="A260" t="s">
        <v>499</v>
      </c>
      <c r="B260">
        <v>0</v>
      </c>
      <c r="C260">
        <v>0</v>
      </c>
      <c r="D260">
        <v>1</v>
      </c>
      <c r="E260">
        <v>0</v>
      </c>
      <c r="F260">
        <v>0</v>
      </c>
      <c r="G260">
        <v>0</v>
      </c>
      <c r="H260">
        <v>0</v>
      </c>
      <c r="I260">
        <v>0</v>
      </c>
    </row>
    <row r="261" spans="1:9">
      <c r="A261" t="s">
        <v>501</v>
      </c>
      <c r="B261">
        <v>0</v>
      </c>
      <c r="C261">
        <v>0</v>
      </c>
      <c r="D261">
        <v>0</v>
      </c>
      <c r="E261">
        <v>0</v>
      </c>
      <c r="F261">
        <v>0</v>
      </c>
      <c r="G261">
        <v>0</v>
      </c>
      <c r="H261">
        <v>0</v>
      </c>
      <c r="I261">
        <v>0</v>
      </c>
    </row>
    <row r="262" spans="1:9">
      <c r="A262" t="s">
        <v>503</v>
      </c>
      <c r="B262">
        <v>0</v>
      </c>
      <c r="C262">
        <v>0</v>
      </c>
      <c r="D262">
        <v>0</v>
      </c>
      <c r="E262">
        <v>0</v>
      </c>
      <c r="F262">
        <v>0</v>
      </c>
      <c r="G262">
        <v>0</v>
      </c>
      <c r="H262">
        <v>0</v>
      </c>
      <c r="I262">
        <v>0</v>
      </c>
    </row>
    <row r="263" spans="1:9">
      <c r="A263" t="s">
        <v>505</v>
      </c>
      <c r="B263">
        <v>0</v>
      </c>
      <c r="C263">
        <v>0</v>
      </c>
      <c r="D263">
        <v>0</v>
      </c>
      <c r="E263">
        <v>0</v>
      </c>
      <c r="F263">
        <v>0</v>
      </c>
      <c r="G263">
        <v>0</v>
      </c>
      <c r="H263">
        <v>1</v>
      </c>
      <c r="I263">
        <v>0</v>
      </c>
    </row>
    <row r="264" spans="1:9">
      <c r="A264" t="s">
        <v>507</v>
      </c>
      <c r="B264">
        <v>0</v>
      </c>
      <c r="C264">
        <v>0</v>
      </c>
      <c r="D264">
        <v>0</v>
      </c>
      <c r="E264">
        <v>0</v>
      </c>
      <c r="F264">
        <v>0</v>
      </c>
      <c r="G264">
        <v>0</v>
      </c>
      <c r="H264">
        <v>0</v>
      </c>
      <c r="I264">
        <v>0</v>
      </c>
    </row>
    <row r="265" spans="1:9">
      <c r="A265" t="s">
        <v>509</v>
      </c>
      <c r="B265">
        <v>0</v>
      </c>
      <c r="C265">
        <v>0</v>
      </c>
      <c r="D265">
        <v>0</v>
      </c>
      <c r="E265">
        <v>0</v>
      </c>
      <c r="F265">
        <v>0</v>
      </c>
      <c r="G265">
        <v>0</v>
      </c>
      <c r="H265">
        <v>0</v>
      </c>
      <c r="I265">
        <v>0</v>
      </c>
    </row>
    <row r="266" spans="1:9">
      <c r="A266" t="s">
        <v>511</v>
      </c>
      <c r="B266">
        <v>0</v>
      </c>
      <c r="C266">
        <v>0</v>
      </c>
      <c r="D266">
        <v>0</v>
      </c>
      <c r="E266">
        <v>0</v>
      </c>
      <c r="F266">
        <v>1</v>
      </c>
      <c r="G266">
        <v>0</v>
      </c>
      <c r="H266">
        <v>1</v>
      </c>
      <c r="I266">
        <v>0</v>
      </c>
    </row>
    <row r="267" spans="1:9">
      <c r="A267" t="s">
        <v>513</v>
      </c>
      <c r="B267">
        <v>0</v>
      </c>
      <c r="C267">
        <v>0</v>
      </c>
      <c r="D267">
        <v>0</v>
      </c>
      <c r="E267">
        <v>0</v>
      </c>
      <c r="F267">
        <v>0</v>
      </c>
      <c r="G267">
        <v>0</v>
      </c>
      <c r="H267">
        <v>0</v>
      </c>
      <c r="I267">
        <v>0</v>
      </c>
    </row>
    <row r="268" spans="1:9">
      <c r="A268" t="s">
        <v>515</v>
      </c>
      <c r="B268">
        <v>0</v>
      </c>
      <c r="C268">
        <v>0</v>
      </c>
      <c r="D268">
        <v>1</v>
      </c>
      <c r="E268">
        <v>0</v>
      </c>
      <c r="F268">
        <v>1</v>
      </c>
      <c r="G268">
        <v>0</v>
      </c>
      <c r="H268">
        <v>0</v>
      </c>
      <c r="I268">
        <v>0</v>
      </c>
    </row>
    <row r="269" spans="1:9">
      <c r="A269" t="s">
        <v>517</v>
      </c>
      <c r="B269">
        <v>0</v>
      </c>
      <c r="C269">
        <v>0</v>
      </c>
      <c r="D269">
        <v>0</v>
      </c>
      <c r="E269">
        <v>0</v>
      </c>
      <c r="F269">
        <v>0</v>
      </c>
      <c r="G269">
        <v>1</v>
      </c>
      <c r="H269">
        <v>1</v>
      </c>
      <c r="I269">
        <v>0</v>
      </c>
    </row>
    <row r="270" spans="1:9">
      <c r="A270" t="s">
        <v>519</v>
      </c>
      <c r="B270">
        <v>1</v>
      </c>
      <c r="C270">
        <v>1</v>
      </c>
      <c r="D270">
        <v>0</v>
      </c>
      <c r="E270">
        <v>1</v>
      </c>
      <c r="F270">
        <v>1</v>
      </c>
      <c r="G270">
        <v>0</v>
      </c>
      <c r="H270">
        <v>1</v>
      </c>
      <c r="I270">
        <v>0</v>
      </c>
    </row>
    <row r="271" spans="1:9">
      <c r="A271" t="s">
        <v>521</v>
      </c>
      <c r="B271">
        <v>0</v>
      </c>
      <c r="C271">
        <v>1</v>
      </c>
      <c r="D271">
        <v>0</v>
      </c>
      <c r="E271">
        <v>1</v>
      </c>
      <c r="F271">
        <v>0</v>
      </c>
      <c r="G271">
        <v>0</v>
      </c>
      <c r="H271">
        <v>1</v>
      </c>
      <c r="I271">
        <v>0</v>
      </c>
    </row>
    <row r="272" spans="1:9">
      <c r="A272" t="s">
        <v>523</v>
      </c>
      <c r="B272">
        <v>0</v>
      </c>
      <c r="C272">
        <v>0</v>
      </c>
      <c r="D272">
        <v>0</v>
      </c>
      <c r="E272">
        <v>0</v>
      </c>
      <c r="F272">
        <v>1</v>
      </c>
      <c r="G272">
        <v>0</v>
      </c>
      <c r="H272">
        <v>1</v>
      </c>
      <c r="I272">
        <v>0</v>
      </c>
    </row>
    <row r="273" spans="1:9">
      <c r="A273" t="s">
        <v>525</v>
      </c>
      <c r="B273">
        <v>0</v>
      </c>
      <c r="C273">
        <v>0</v>
      </c>
      <c r="D273">
        <v>0</v>
      </c>
      <c r="E273">
        <v>0</v>
      </c>
      <c r="F273">
        <v>0</v>
      </c>
      <c r="G273">
        <v>0</v>
      </c>
      <c r="H273">
        <v>0</v>
      </c>
      <c r="I273">
        <v>0</v>
      </c>
    </row>
    <row r="274" spans="1:9">
      <c r="A274" t="s">
        <v>527</v>
      </c>
      <c r="B274">
        <v>0</v>
      </c>
      <c r="C274">
        <v>0</v>
      </c>
      <c r="D274">
        <v>0</v>
      </c>
      <c r="E274">
        <v>0</v>
      </c>
      <c r="F274">
        <v>1</v>
      </c>
      <c r="G274">
        <v>0</v>
      </c>
      <c r="H274">
        <v>0</v>
      </c>
      <c r="I274">
        <v>0</v>
      </c>
    </row>
    <row r="275" spans="1:9">
      <c r="A275" t="s">
        <v>529</v>
      </c>
      <c r="B275">
        <v>0</v>
      </c>
      <c r="C275">
        <v>0</v>
      </c>
      <c r="D275">
        <v>0</v>
      </c>
      <c r="E275">
        <v>0</v>
      </c>
      <c r="F275">
        <v>0</v>
      </c>
      <c r="G275">
        <v>0</v>
      </c>
      <c r="H275">
        <v>0</v>
      </c>
      <c r="I275">
        <v>0</v>
      </c>
    </row>
    <row r="276" spans="1:9">
      <c r="A276" t="s">
        <v>531</v>
      </c>
      <c r="B276">
        <v>0</v>
      </c>
      <c r="C276">
        <v>0</v>
      </c>
      <c r="D276">
        <v>0</v>
      </c>
      <c r="E276">
        <v>0</v>
      </c>
      <c r="F276">
        <v>0</v>
      </c>
      <c r="G276">
        <v>0</v>
      </c>
      <c r="H276">
        <v>0</v>
      </c>
      <c r="I276">
        <v>0</v>
      </c>
    </row>
    <row r="277" spans="1:9">
      <c r="A277" t="s">
        <v>533</v>
      </c>
      <c r="B277">
        <v>0</v>
      </c>
      <c r="C277">
        <v>0</v>
      </c>
      <c r="D277">
        <v>0</v>
      </c>
      <c r="E277">
        <v>0</v>
      </c>
      <c r="F277">
        <v>0</v>
      </c>
      <c r="G277">
        <v>0</v>
      </c>
      <c r="H277">
        <v>0</v>
      </c>
      <c r="I277">
        <v>0</v>
      </c>
    </row>
    <row r="278" spans="1:9">
      <c r="A278" t="s">
        <v>535</v>
      </c>
      <c r="B278">
        <v>0</v>
      </c>
      <c r="C278">
        <v>0</v>
      </c>
      <c r="D278">
        <v>0</v>
      </c>
      <c r="E278">
        <v>0</v>
      </c>
      <c r="F278">
        <v>0</v>
      </c>
      <c r="G278">
        <v>0</v>
      </c>
      <c r="H278">
        <v>0</v>
      </c>
      <c r="I278">
        <v>0</v>
      </c>
    </row>
    <row r="279" spans="1:9">
      <c r="A279" t="s">
        <v>537</v>
      </c>
      <c r="B279">
        <v>0</v>
      </c>
      <c r="C279">
        <v>0</v>
      </c>
      <c r="D279">
        <v>0</v>
      </c>
      <c r="E279">
        <v>0</v>
      </c>
      <c r="F279">
        <v>0</v>
      </c>
      <c r="G279">
        <v>0</v>
      </c>
      <c r="H279">
        <v>0</v>
      </c>
      <c r="I279">
        <v>0</v>
      </c>
    </row>
    <row r="280" spans="1:9">
      <c r="A280" t="s">
        <v>539</v>
      </c>
      <c r="B280">
        <v>0</v>
      </c>
      <c r="C280">
        <v>0</v>
      </c>
      <c r="D280">
        <v>0</v>
      </c>
      <c r="E280">
        <v>0</v>
      </c>
      <c r="F280">
        <v>0</v>
      </c>
      <c r="G280">
        <v>0</v>
      </c>
      <c r="H280">
        <v>0</v>
      </c>
      <c r="I280">
        <v>0</v>
      </c>
    </row>
    <row r="281" spans="1:9">
      <c r="A281" t="s">
        <v>541</v>
      </c>
      <c r="B281">
        <v>0</v>
      </c>
      <c r="C281">
        <v>0</v>
      </c>
      <c r="D281">
        <v>0</v>
      </c>
      <c r="E281">
        <v>0</v>
      </c>
      <c r="F281">
        <v>0</v>
      </c>
      <c r="G281">
        <v>0</v>
      </c>
      <c r="H281">
        <v>0</v>
      </c>
      <c r="I281">
        <v>0</v>
      </c>
    </row>
    <row r="282" spans="1:9">
      <c r="A282" t="s">
        <v>543</v>
      </c>
      <c r="B282">
        <v>0</v>
      </c>
      <c r="C282">
        <v>0</v>
      </c>
      <c r="D282">
        <v>1</v>
      </c>
      <c r="E282">
        <v>0</v>
      </c>
      <c r="F282">
        <v>0</v>
      </c>
      <c r="G282">
        <v>0</v>
      </c>
      <c r="H282">
        <v>0</v>
      </c>
      <c r="I282">
        <v>0</v>
      </c>
    </row>
    <row r="283" spans="1:9">
      <c r="A283" t="s">
        <v>545</v>
      </c>
      <c r="B283">
        <v>0</v>
      </c>
      <c r="C283">
        <v>0</v>
      </c>
      <c r="D283">
        <v>1</v>
      </c>
      <c r="E283">
        <v>0</v>
      </c>
      <c r="F283">
        <v>0</v>
      </c>
      <c r="G283">
        <v>0</v>
      </c>
      <c r="H283">
        <v>0</v>
      </c>
      <c r="I283">
        <v>0</v>
      </c>
    </row>
    <row r="284" spans="1:9">
      <c r="A284" t="s">
        <v>547</v>
      </c>
      <c r="B284">
        <v>0</v>
      </c>
      <c r="C284">
        <v>0</v>
      </c>
      <c r="D284">
        <v>0</v>
      </c>
      <c r="E284">
        <v>0</v>
      </c>
      <c r="F284">
        <v>1</v>
      </c>
      <c r="G284">
        <v>0</v>
      </c>
      <c r="H284">
        <v>0</v>
      </c>
      <c r="I284">
        <v>0</v>
      </c>
    </row>
    <row r="285" spans="1:9">
      <c r="A285" t="s">
        <v>549</v>
      </c>
      <c r="B285">
        <v>0</v>
      </c>
      <c r="C285">
        <v>0</v>
      </c>
      <c r="D285">
        <v>0</v>
      </c>
      <c r="E285">
        <v>0</v>
      </c>
      <c r="F285">
        <v>0</v>
      </c>
      <c r="G285">
        <v>0</v>
      </c>
      <c r="H285">
        <v>0</v>
      </c>
      <c r="I285">
        <v>0</v>
      </c>
    </row>
    <row r="286" spans="1:9">
      <c r="A286" t="s">
        <v>551</v>
      </c>
      <c r="B286">
        <v>0</v>
      </c>
      <c r="C286">
        <v>0</v>
      </c>
      <c r="D286">
        <v>0</v>
      </c>
      <c r="E286">
        <v>0</v>
      </c>
      <c r="F286">
        <v>0</v>
      </c>
      <c r="G286">
        <v>0</v>
      </c>
      <c r="H286">
        <v>0</v>
      </c>
      <c r="I286">
        <v>0</v>
      </c>
    </row>
    <row r="287" spans="1:9">
      <c r="A287" t="s">
        <v>553</v>
      </c>
      <c r="B287">
        <v>0</v>
      </c>
      <c r="C287">
        <v>0</v>
      </c>
      <c r="D287">
        <v>0</v>
      </c>
      <c r="E287">
        <v>0</v>
      </c>
      <c r="F287">
        <v>0</v>
      </c>
      <c r="G287">
        <v>0</v>
      </c>
      <c r="H287">
        <v>0</v>
      </c>
      <c r="I287">
        <v>0</v>
      </c>
    </row>
    <row r="288" spans="1:9">
      <c r="A288" t="s">
        <v>555</v>
      </c>
      <c r="B288">
        <v>0</v>
      </c>
      <c r="C288">
        <v>0</v>
      </c>
      <c r="D288">
        <v>0</v>
      </c>
      <c r="E288">
        <v>0</v>
      </c>
      <c r="F288">
        <v>0</v>
      </c>
      <c r="G288">
        <v>0</v>
      </c>
      <c r="H288">
        <v>0</v>
      </c>
      <c r="I288">
        <v>0</v>
      </c>
    </row>
    <row r="289" spans="1:9">
      <c r="A289" t="s">
        <v>557</v>
      </c>
      <c r="B289">
        <v>0</v>
      </c>
      <c r="C289">
        <v>0</v>
      </c>
      <c r="D289">
        <v>0</v>
      </c>
      <c r="E289">
        <v>0</v>
      </c>
      <c r="F289">
        <v>1</v>
      </c>
      <c r="G289">
        <v>0</v>
      </c>
      <c r="H289">
        <v>0</v>
      </c>
      <c r="I289">
        <v>0</v>
      </c>
    </row>
    <row r="290" spans="1:9">
      <c r="A290" t="s">
        <v>559</v>
      </c>
      <c r="B290">
        <v>0</v>
      </c>
      <c r="C290">
        <v>1</v>
      </c>
      <c r="D290">
        <v>0</v>
      </c>
      <c r="E290">
        <v>0</v>
      </c>
      <c r="F290">
        <v>0</v>
      </c>
      <c r="G290">
        <v>1</v>
      </c>
      <c r="H290">
        <v>0</v>
      </c>
      <c r="I290">
        <v>0</v>
      </c>
    </row>
    <row r="291" spans="1:9">
      <c r="A291" t="s">
        <v>561</v>
      </c>
      <c r="B291">
        <v>0</v>
      </c>
      <c r="C291">
        <v>0</v>
      </c>
      <c r="D291">
        <v>0</v>
      </c>
      <c r="E291">
        <v>0</v>
      </c>
      <c r="F291">
        <v>0</v>
      </c>
      <c r="G291">
        <v>0</v>
      </c>
      <c r="H291">
        <v>0</v>
      </c>
      <c r="I291">
        <v>0</v>
      </c>
    </row>
    <row r="292" spans="1:9">
      <c r="A292" t="s">
        <v>563</v>
      </c>
      <c r="B292">
        <v>0</v>
      </c>
      <c r="C292">
        <v>1</v>
      </c>
      <c r="D292">
        <v>0</v>
      </c>
      <c r="E292">
        <v>0</v>
      </c>
      <c r="F292">
        <v>1</v>
      </c>
      <c r="G292">
        <v>0</v>
      </c>
      <c r="H292">
        <v>0</v>
      </c>
      <c r="I292">
        <v>0</v>
      </c>
    </row>
    <row r="293" spans="1:9">
      <c r="A293" t="s">
        <v>565</v>
      </c>
      <c r="B293">
        <v>0</v>
      </c>
      <c r="C293">
        <v>0</v>
      </c>
      <c r="D293">
        <v>1</v>
      </c>
      <c r="E293">
        <v>0</v>
      </c>
      <c r="F293">
        <v>1</v>
      </c>
      <c r="G293">
        <v>0</v>
      </c>
      <c r="H293">
        <v>1</v>
      </c>
      <c r="I293">
        <v>0</v>
      </c>
    </row>
    <row r="294" spans="1:9">
      <c r="A294" t="s">
        <v>567</v>
      </c>
      <c r="B294">
        <v>0</v>
      </c>
      <c r="C294">
        <v>1</v>
      </c>
      <c r="D294">
        <v>0</v>
      </c>
      <c r="E294">
        <v>1</v>
      </c>
      <c r="F294">
        <v>1</v>
      </c>
      <c r="G294">
        <v>0</v>
      </c>
      <c r="H294">
        <v>1</v>
      </c>
      <c r="I294">
        <v>1</v>
      </c>
    </row>
    <row r="295" spans="1:9">
      <c r="A295" t="s">
        <v>569</v>
      </c>
      <c r="B295">
        <v>0</v>
      </c>
      <c r="C295">
        <v>0</v>
      </c>
      <c r="D295">
        <v>0</v>
      </c>
      <c r="E295">
        <v>0</v>
      </c>
      <c r="F295">
        <v>0</v>
      </c>
      <c r="G295">
        <v>1</v>
      </c>
      <c r="H295">
        <v>1</v>
      </c>
      <c r="I295">
        <v>1</v>
      </c>
    </row>
    <row r="296" spans="1:9">
      <c r="A296" t="s">
        <v>571</v>
      </c>
      <c r="B296">
        <v>0</v>
      </c>
      <c r="C296">
        <v>0</v>
      </c>
      <c r="D296">
        <v>0</v>
      </c>
      <c r="E296">
        <v>0</v>
      </c>
      <c r="F296">
        <v>1</v>
      </c>
      <c r="G296">
        <v>0</v>
      </c>
      <c r="H296">
        <v>0</v>
      </c>
      <c r="I296">
        <v>0</v>
      </c>
    </row>
    <row r="297" spans="1:9">
      <c r="A297" t="s">
        <v>573</v>
      </c>
      <c r="B297">
        <v>0</v>
      </c>
      <c r="C297">
        <v>0</v>
      </c>
      <c r="D297">
        <v>0</v>
      </c>
      <c r="E297">
        <v>0</v>
      </c>
      <c r="F297">
        <v>0</v>
      </c>
      <c r="G297">
        <v>0</v>
      </c>
      <c r="H297">
        <v>1</v>
      </c>
      <c r="I297">
        <v>0</v>
      </c>
    </row>
    <row r="298" spans="1:9">
      <c r="A298" t="s">
        <v>575</v>
      </c>
      <c r="B298">
        <v>0</v>
      </c>
      <c r="C298">
        <v>0</v>
      </c>
      <c r="D298">
        <v>0</v>
      </c>
      <c r="E298">
        <v>0</v>
      </c>
      <c r="F298">
        <v>0</v>
      </c>
      <c r="G298">
        <v>1</v>
      </c>
      <c r="H298">
        <v>0</v>
      </c>
      <c r="I298">
        <v>0</v>
      </c>
    </row>
    <row r="299" spans="1:9">
      <c r="A299" t="s">
        <v>577</v>
      </c>
      <c r="B299">
        <v>0</v>
      </c>
      <c r="C299">
        <v>0</v>
      </c>
      <c r="D299">
        <v>0</v>
      </c>
      <c r="E299">
        <v>0</v>
      </c>
      <c r="F299">
        <v>0</v>
      </c>
      <c r="G299">
        <v>0</v>
      </c>
      <c r="H299">
        <v>0</v>
      </c>
      <c r="I299">
        <v>0</v>
      </c>
    </row>
    <row r="300" spans="1:9">
      <c r="A300" t="s">
        <v>579</v>
      </c>
      <c r="B300">
        <v>0</v>
      </c>
      <c r="C300">
        <v>0</v>
      </c>
      <c r="D300">
        <v>0</v>
      </c>
      <c r="E300">
        <v>1</v>
      </c>
      <c r="F300">
        <v>0</v>
      </c>
      <c r="G300">
        <v>1</v>
      </c>
      <c r="H300">
        <v>0</v>
      </c>
      <c r="I300">
        <v>0</v>
      </c>
    </row>
    <row r="301" spans="1:9">
      <c r="A301" t="s">
        <v>581</v>
      </c>
      <c r="B301">
        <v>0</v>
      </c>
      <c r="C301">
        <v>0</v>
      </c>
      <c r="D301">
        <v>0</v>
      </c>
      <c r="E301">
        <v>0</v>
      </c>
      <c r="F301">
        <v>1</v>
      </c>
      <c r="G301">
        <v>0</v>
      </c>
      <c r="H301">
        <v>0</v>
      </c>
      <c r="I301">
        <v>0</v>
      </c>
    </row>
    <row r="302" spans="1:9">
      <c r="A302" t="s">
        <v>583</v>
      </c>
      <c r="B302">
        <v>0</v>
      </c>
      <c r="C302">
        <v>0</v>
      </c>
      <c r="D302">
        <v>0</v>
      </c>
      <c r="E302">
        <v>0</v>
      </c>
      <c r="F302">
        <v>0</v>
      </c>
      <c r="G302">
        <v>0</v>
      </c>
      <c r="H302">
        <v>0</v>
      </c>
      <c r="I302">
        <v>0</v>
      </c>
    </row>
    <row r="303" spans="1:9">
      <c r="A303" t="s">
        <v>585</v>
      </c>
      <c r="B303">
        <v>0</v>
      </c>
      <c r="C303">
        <v>0</v>
      </c>
      <c r="D303">
        <v>0</v>
      </c>
      <c r="E303">
        <v>0</v>
      </c>
      <c r="F303">
        <v>0</v>
      </c>
      <c r="G303">
        <v>0</v>
      </c>
      <c r="H303">
        <v>0</v>
      </c>
      <c r="I303">
        <v>0</v>
      </c>
    </row>
    <row r="304" spans="1:9">
      <c r="A304" t="s">
        <v>587</v>
      </c>
      <c r="B304">
        <v>0</v>
      </c>
      <c r="C304">
        <v>0</v>
      </c>
      <c r="D304">
        <v>0</v>
      </c>
      <c r="E304">
        <v>0</v>
      </c>
      <c r="F304">
        <v>1</v>
      </c>
      <c r="G304">
        <v>0</v>
      </c>
      <c r="H304">
        <v>1</v>
      </c>
      <c r="I304">
        <v>0</v>
      </c>
    </row>
    <row r="305" spans="1:9">
      <c r="A305" t="s">
        <v>589</v>
      </c>
      <c r="B305">
        <v>0</v>
      </c>
      <c r="C305">
        <v>0</v>
      </c>
      <c r="D305">
        <v>0</v>
      </c>
      <c r="E305">
        <v>0</v>
      </c>
      <c r="F305">
        <v>0</v>
      </c>
      <c r="G305">
        <v>0</v>
      </c>
      <c r="H305">
        <v>0</v>
      </c>
      <c r="I305">
        <v>0</v>
      </c>
    </row>
    <row r="306" spans="1:9">
      <c r="A306" t="s">
        <v>591</v>
      </c>
      <c r="B306">
        <v>0</v>
      </c>
      <c r="C306">
        <v>0</v>
      </c>
      <c r="D306">
        <v>0</v>
      </c>
      <c r="E306">
        <v>1</v>
      </c>
      <c r="F306">
        <v>1</v>
      </c>
      <c r="G306">
        <v>0</v>
      </c>
      <c r="H306">
        <v>0</v>
      </c>
      <c r="I306">
        <v>0</v>
      </c>
    </row>
    <row r="307" spans="1:9">
      <c r="A307" t="s">
        <v>593</v>
      </c>
      <c r="B307">
        <v>0</v>
      </c>
      <c r="C307">
        <v>0</v>
      </c>
      <c r="D307">
        <v>0</v>
      </c>
      <c r="E307">
        <v>1</v>
      </c>
      <c r="F307">
        <v>1</v>
      </c>
      <c r="G307">
        <v>0</v>
      </c>
      <c r="H307">
        <v>0</v>
      </c>
      <c r="I307">
        <v>0</v>
      </c>
    </row>
    <row r="308" spans="1:9">
      <c r="A308" t="s">
        <v>595</v>
      </c>
      <c r="B308">
        <v>0</v>
      </c>
      <c r="C308">
        <v>0</v>
      </c>
      <c r="D308">
        <v>1</v>
      </c>
      <c r="E308">
        <v>1</v>
      </c>
      <c r="F308">
        <v>1</v>
      </c>
      <c r="G308">
        <v>0</v>
      </c>
      <c r="H308">
        <v>0</v>
      </c>
      <c r="I308">
        <v>0</v>
      </c>
    </row>
    <row r="309" spans="1:9">
      <c r="A309" t="s">
        <v>597</v>
      </c>
      <c r="B309">
        <v>0</v>
      </c>
      <c r="C309">
        <v>0</v>
      </c>
      <c r="D309">
        <v>0</v>
      </c>
      <c r="E309">
        <v>0</v>
      </c>
      <c r="F309">
        <v>0</v>
      </c>
      <c r="G309">
        <v>0</v>
      </c>
      <c r="H309">
        <v>0</v>
      </c>
      <c r="I309">
        <v>0</v>
      </c>
    </row>
    <row r="310" spans="1:9">
      <c r="A310" t="s">
        <v>599</v>
      </c>
      <c r="B310">
        <v>0</v>
      </c>
      <c r="C310">
        <v>0</v>
      </c>
      <c r="D310">
        <v>1</v>
      </c>
      <c r="E310">
        <v>1</v>
      </c>
      <c r="F310">
        <v>1</v>
      </c>
      <c r="G310">
        <v>0</v>
      </c>
      <c r="H310">
        <v>1</v>
      </c>
      <c r="I310">
        <v>0</v>
      </c>
    </row>
    <row r="311" spans="1:9">
      <c r="A311" t="s">
        <v>601</v>
      </c>
      <c r="B311">
        <v>0</v>
      </c>
      <c r="C311">
        <v>0</v>
      </c>
      <c r="D311">
        <v>0</v>
      </c>
      <c r="E311">
        <v>1</v>
      </c>
      <c r="F311">
        <v>0</v>
      </c>
      <c r="G311">
        <v>1</v>
      </c>
      <c r="H311">
        <v>1</v>
      </c>
      <c r="I311">
        <v>0</v>
      </c>
    </row>
    <row r="312" spans="1:9">
      <c r="A312" t="s">
        <v>603</v>
      </c>
      <c r="B312">
        <v>0</v>
      </c>
      <c r="C312">
        <v>0</v>
      </c>
      <c r="D312">
        <v>1</v>
      </c>
      <c r="E312">
        <v>0</v>
      </c>
      <c r="F312">
        <v>0</v>
      </c>
      <c r="G312">
        <v>0</v>
      </c>
      <c r="H312">
        <v>0</v>
      </c>
      <c r="I312">
        <v>0</v>
      </c>
    </row>
    <row r="313" spans="1:9">
      <c r="A313" t="s">
        <v>605</v>
      </c>
      <c r="B313">
        <v>0</v>
      </c>
      <c r="C313">
        <v>0</v>
      </c>
      <c r="D313">
        <v>0</v>
      </c>
      <c r="E313">
        <v>0</v>
      </c>
      <c r="F313">
        <v>0</v>
      </c>
      <c r="G313">
        <v>0</v>
      </c>
      <c r="H313">
        <v>0</v>
      </c>
      <c r="I313">
        <v>0</v>
      </c>
    </row>
    <row r="314" spans="1:9">
      <c r="A314" t="s">
        <v>607</v>
      </c>
      <c r="B314">
        <v>0</v>
      </c>
      <c r="C314">
        <v>0</v>
      </c>
      <c r="D314">
        <v>0</v>
      </c>
      <c r="E314">
        <v>0</v>
      </c>
      <c r="F314">
        <v>0</v>
      </c>
      <c r="G314">
        <v>0</v>
      </c>
      <c r="H314">
        <v>0</v>
      </c>
      <c r="I314">
        <v>0</v>
      </c>
    </row>
    <row r="315" spans="1:9">
      <c r="A315" t="s">
        <v>609</v>
      </c>
      <c r="B315">
        <v>0</v>
      </c>
      <c r="C315">
        <v>0</v>
      </c>
      <c r="D315">
        <v>0</v>
      </c>
      <c r="E315">
        <v>0</v>
      </c>
      <c r="F315">
        <v>0</v>
      </c>
      <c r="G315">
        <v>0</v>
      </c>
      <c r="H315">
        <v>0</v>
      </c>
      <c r="I315">
        <v>0</v>
      </c>
    </row>
    <row r="316" spans="1:9">
      <c r="A316" t="s">
        <v>611</v>
      </c>
      <c r="B316">
        <v>0</v>
      </c>
      <c r="C316">
        <v>0</v>
      </c>
      <c r="D316">
        <v>0</v>
      </c>
      <c r="E316">
        <v>0</v>
      </c>
      <c r="F316">
        <v>0</v>
      </c>
      <c r="G316">
        <v>0</v>
      </c>
      <c r="H316">
        <v>0</v>
      </c>
      <c r="I316">
        <v>0</v>
      </c>
    </row>
    <row r="317" spans="1:9">
      <c r="A317" t="s">
        <v>613</v>
      </c>
      <c r="B317">
        <v>0</v>
      </c>
      <c r="C317">
        <v>0</v>
      </c>
      <c r="D317">
        <v>0</v>
      </c>
      <c r="E317">
        <v>0</v>
      </c>
      <c r="F317">
        <v>0</v>
      </c>
      <c r="G317">
        <v>0</v>
      </c>
      <c r="H317">
        <v>0</v>
      </c>
      <c r="I317">
        <v>0</v>
      </c>
    </row>
    <row r="318" spans="1:9">
      <c r="A318" t="s">
        <v>615</v>
      </c>
      <c r="B318">
        <v>0</v>
      </c>
      <c r="C318">
        <v>0</v>
      </c>
      <c r="D318">
        <v>0</v>
      </c>
      <c r="E318">
        <v>0</v>
      </c>
      <c r="F318">
        <v>0</v>
      </c>
      <c r="G318">
        <v>0</v>
      </c>
      <c r="H318">
        <v>0</v>
      </c>
      <c r="I318">
        <v>0</v>
      </c>
    </row>
    <row r="319" spans="1:9">
      <c r="A319" t="s">
        <v>617</v>
      </c>
      <c r="B319">
        <v>0</v>
      </c>
      <c r="C319">
        <v>0</v>
      </c>
      <c r="D319">
        <v>0</v>
      </c>
      <c r="E319">
        <v>0</v>
      </c>
      <c r="F319">
        <v>0</v>
      </c>
      <c r="G319">
        <v>0</v>
      </c>
      <c r="H319">
        <v>0</v>
      </c>
      <c r="I319">
        <v>0</v>
      </c>
    </row>
    <row r="320" spans="1:9">
      <c r="A320" t="s">
        <v>619</v>
      </c>
      <c r="B320">
        <v>0</v>
      </c>
      <c r="C320">
        <v>0</v>
      </c>
      <c r="D320">
        <v>0</v>
      </c>
      <c r="E320">
        <v>0</v>
      </c>
      <c r="F320">
        <v>0</v>
      </c>
      <c r="G320">
        <v>0</v>
      </c>
      <c r="H320">
        <v>0</v>
      </c>
      <c r="I320">
        <v>0</v>
      </c>
    </row>
    <row r="321" spans="1:9">
      <c r="A321" t="s">
        <v>621</v>
      </c>
      <c r="B321">
        <v>0</v>
      </c>
      <c r="C321">
        <v>0</v>
      </c>
      <c r="D321">
        <v>0</v>
      </c>
      <c r="E321">
        <v>0</v>
      </c>
      <c r="F321">
        <v>1</v>
      </c>
      <c r="G321">
        <v>0</v>
      </c>
      <c r="H321">
        <v>1</v>
      </c>
      <c r="I321">
        <v>0</v>
      </c>
    </row>
    <row r="322" spans="1:9">
      <c r="A322" t="s">
        <v>623</v>
      </c>
      <c r="B322">
        <v>0</v>
      </c>
      <c r="C322">
        <v>0</v>
      </c>
      <c r="D322">
        <v>0</v>
      </c>
      <c r="E322">
        <v>0</v>
      </c>
      <c r="F322">
        <v>0</v>
      </c>
      <c r="G322">
        <v>0</v>
      </c>
      <c r="H322">
        <v>0</v>
      </c>
      <c r="I322">
        <v>0</v>
      </c>
    </row>
    <row r="323" spans="1:9">
      <c r="A323" t="s">
        <v>625</v>
      </c>
      <c r="B323">
        <v>0</v>
      </c>
      <c r="C323">
        <v>0</v>
      </c>
      <c r="D323">
        <v>0</v>
      </c>
      <c r="E323">
        <v>0</v>
      </c>
      <c r="F323">
        <v>0</v>
      </c>
      <c r="G323">
        <v>0</v>
      </c>
      <c r="H323">
        <v>0</v>
      </c>
      <c r="I323">
        <v>0</v>
      </c>
    </row>
    <row r="324" spans="1:9">
      <c r="A324" t="s">
        <v>627</v>
      </c>
      <c r="B324">
        <v>0</v>
      </c>
      <c r="C324">
        <v>0</v>
      </c>
      <c r="D324">
        <v>0</v>
      </c>
      <c r="E324">
        <v>0</v>
      </c>
      <c r="F324">
        <v>0</v>
      </c>
      <c r="G324">
        <v>0</v>
      </c>
      <c r="H324">
        <v>0</v>
      </c>
      <c r="I324">
        <v>0</v>
      </c>
    </row>
    <row r="325" spans="1:9">
      <c r="A325" t="s">
        <v>629</v>
      </c>
      <c r="B325">
        <v>0</v>
      </c>
      <c r="C325">
        <v>0</v>
      </c>
      <c r="D325">
        <v>0</v>
      </c>
      <c r="E325">
        <v>0</v>
      </c>
      <c r="F325">
        <v>0</v>
      </c>
      <c r="G325">
        <v>0</v>
      </c>
      <c r="H325">
        <v>0</v>
      </c>
      <c r="I325">
        <v>0</v>
      </c>
    </row>
    <row r="326" spans="1:9">
      <c r="A326" t="s">
        <v>631</v>
      </c>
      <c r="B326">
        <v>0</v>
      </c>
      <c r="C326">
        <v>0</v>
      </c>
      <c r="D326">
        <v>1</v>
      </c>
      <c r="E326">
        <v>0</v>
      </c>
      <c r="F326">
        <v>0</v>
      </c>
      <c r="G326">
        <v>0</v>
      </c>
      <c r="H326">
        <v>0</v>
      </c>
      <c r="I326">
        <v>0</v>
      </c>
    </row>
    <row r="327" spans="1:9">
      <c r="A327" t="s">
        <v>633</v>
      </c>
      <c r="B327">
        <v>0</v>
      </c>
      <c r="C327">
        <v>0</v>
      </c>
      <c r="D327">
        <v>0</v>
      </c>
      <c r="E327">
        <v>0</v>
      </c>
      <c r="F327">
        <v>0</v>
      </c>
      <c r="G327">
        <v>0</v>
      </c>
      <c r="H327">
        <v>0</v>
      </c>
      <c r="I327">
        <v>0</v>
      </c>
    </row>
    <row r="328" spans="1:9">
      <c r="A328" t="s">
        <v>635</v>
      </c>
      <c r="B328">
        <v>0</v>
      </c>
      <c r="C328">
        <v>0</v>
      </c>
      <c r="D328">
        <v>1</v>
      </c>
      <c r="E328">
        <v>0</v>
      </c>
      <c r="F328">
        <v>0</v>
      </c>
      <c r="G328">
        <v>0</v>
      </c>
      <c r="H328">
        <v>0</v>
      </c>
      <c r="I328">
        <v>0</v>
      </c>
    </row>
    <row r="329" spans="1:9">
      <c r="A329" t="s">
        <v>637</v>
      </c>
      <c r="B329">
        <v>0</v>
      </c>
      <c r="C329">
        <v>0</v>
      </c>
      <c r="D329">
        <v>0</v>
      </c>
      <c r="E329">
        <v>0</v>
      </c>
      <c r="F329">
        <v>0</v>
      </c>
      <c r="G329">
        <v>0</v>
      </c>
      <c r="H329">
        <v>0</v>
      </c>
      <c r="I329">
        <v>0</v>
      </c>
    </row>
    <row r="330" spans="1:9">
      <c r="A330" t="s">
        <v>639</v>
      </c>
      <c r="B330">
        <v>0</v>
      </c>
      <c r="C330">
        <v>0</v>
      </c>
      <c r="D330">
        <v>0</v>
      </c>
      <c r="E330">
        <v>0</v>
      </c>
      <c r="F330">
        <v>1</v>
      </c>
      <c r="G330">
        <v>0</v>
      </c>
      <c r="H330">
        <v>0</v>
      </c>
      <c r="I330">
        <v>0</v>
      </c>
    </row>
    <row r="331" spans="1:9">
      <c r="A331" t="s">
        <v>641</v>
      </c>
      <c r="B331">
        <v>0</v>
      </c>
      <c r="C331">
        <v>0</v>
      </c>
      <c r="D331">
        <v>0</v>
      </c>
      <c r="E331">
        <v>0</v>
      </c>
      <c r="F331">
        <v>1</v>
      </c>
      <c r="G331">
        <v>0</v>
      </c>
      <c r="H331">
        <v>0</v>
      </c>
      <c r="I331">
        <v>0</v>
      </c>
    </row>
    <row r="332" spans="1:9">
      <c r="A332" t="s">
        <v>643</v>
      </c>
      <c r="B332">
        <v>1</v>
      </c>
      <c r="C332">
        <v>0</v>
      </c>
      <c r="D332">
        <v>0</v>
      </c>
      <c r="E332">
        <v>0</v>
      </c>
      <c r="F332">
        <v>0</v>
      </c>
      <c r="G332">
        <v>1</v>
      </c>
      <c r="H332">
        <v>0</v>
      </c>
      <c r="I332">
        <v>0</v>
      </c>
    </row>
    <row r="333" spans="1:9">
      <c r="A333" t="s">
        <v>645</v>
      </c>
      <c r="B333">
        <v>0</v>
      </c>
      <c r="C333">
        <v>1</v>
      </c>
      <c r="D333">
        <v>0</v>
      </c>
      <c r="E333">
        <v>1</v>
      </c>
      <c r="F333">
        <v>0</v>
      </c>
      <c r="G333">
        <v>0</v>
      </c>
      <c r="H333">
        <v>0</v>
      </c>
      <c r="I333">
        <v>0</v>
      </c>
    </row>
    <row r="334" spans="1:9">
      <c r="A334" t="s">
        <v>647</v>
      </c>
      <c r="B334">
        <v>0</v>
      </c>
      <c r="C334">
        <v>0</v>
      </c>
      <c r="D334">
        <v>0</v>
      </c>
      <c r="E334">
        <v>0</v>
      </c>
      <c r="F334">
        <v>0</v>
      </c>
      <c r="G334">
        <v>0</v>
      </c>
      <c r="H334">
        <v>0</v>
      </c>
      <c r="I334">
        <v>0</v>
      </c>
    </row>
    <row r="335" spans="1:9">
      <c r="A335" t="s">
        <v>649</v>
      </c>
      <c r="B335">
        <v>0</v>
      </c>
      <c r="C335">
        <v>1</v>
      </c>
      <c r="D335">
        <v>0</v>
      </c>
      <c r="E335">
        <v>1</v>
      </c>
      <c r="F335">
        <v>0</v>
      </c>
      <c r="G335">
        <v>1</v>
      </c>
      <c r="H335">
        <v>1</v>
      </c>
      <c r="I335">
        <v>0</v>
      </c>
    </row>
    <row r="336" spans="1:9">
      <c r="A336" t="s">
        <v>651</v>
      </c>
      <c r="B336">
        <v>0</v>
      </c>
      <c r="C336">
        <v>1</v>
      </c>
      <c r="D336">
        <v>0</v>
      </c>
      <c r="E336">
        <v>1</v>
      </c>
      <c r="F336">
        <v>0</v>
      </c>
      <c r="G336">
        <v>1</v>
      </c>
      <c r="H336">
        <v>0</v>
      </c>
      <c r="I336">
        <v>0</v>
      </c>
    </row>
    <row r="337" spans="1:9">
      <c r="A337" t="s">
        <v>653</v>
      </c>
      <c r="B337">
        <v>0</v>
      </c>
      <c r="C337">
        <v>0</v>
      </c>
      <c r="D337">
        <v>0</v>
      </c>
      <c r="E337">
        <v>0</v>
      </c>
      <c r="F337">
        <v>0</v>
      </c>
      <c r="G337">
        <v>1</v>
      </c>
      <c r="H337">
        <v>0</v>
      </c>
      <c r="I337">
        <v>0</v>
      </c>
    </row>
    <row r="338" spans="1:9">
      <c r="A338" t="s">
        <v>655</v>
      </c>
      <c r="B338">
        <v>0</v>
      </c>
      <c r="C338">
        <v>0</v>
      </c>
      <c r="D338">
        <v>0</v>
      </c>
      <c r="E338">
        <v>1</v>
      </c>
      <c r="F338">
        <v>0</v>
      </c>
      <c r="G338">
        <v>0</v>
      </c>
      <c r="H338">
        <v>0</v>
      </c>
      <c r="I338">
        <v>0</v>
      </c>
    </row>
    <row r="339" spans="1:9">
      <c r="A339" t="s">
        <v>657</v>
      </c>
      <c r="B339">
        <v>0</v>
      </c>
      <c r="C339">
        <v>0</v>
      </c>
      <c r="D339">
        <v>0</v>
      </c>
      <c r="E339">
        <v>1</v>
      </c>
      <c r="F339">
        <v>0</v>
      </c>
      <c r="G339">
        <v>0</v>
      </c>
      <c r="H339">
        <v>0</v>
      </c>
      <c r="I339">
        <v>0</v>
      </c>
    </row>
    <row r="340" spans="1:9">
      <c r="A340" t="s">
        <v>659</v>
      </c>
      <c r="B340">
        <v>0</v>
      </c>
      <c r="C340">
        <v>0</v>
      </c>
      <c r="D340">
        <v>0</v>
      </c>
      <c r="E340">
        <v>1</v>
      </c>
      <c r="F340">
        <v>0</v>
      </c>
      <c r="G340">
        <v>0</v>
      </c>
      <c r="H340">
        <v>0</v>
      </c>
      <c r="I340">
        <v>0</v>
      </c>
    </row>
    <row r="341" spans="1:9">
      <c r="A341" t="s">
        <v>661</v>
      </c>
      <c r="B341">
        <v>1</v>
      </c>
      <c r="C341">
        <v>0</v>
      </c>
      <c r="D341">
        <v>0</v>
      </c>
      <c r="E341">
        <v>1</v>
      </c>
      <c r="F341">
        <v>0</v>
      </c>
      <c r="G341">
        <v>1</v>
      </c>
      <c r="H341">
        <v>0</v>
      </c>
      <c r="I341">
        <v>0</v>
      </c>
    </row>
    <row r="342" spans="1:9">
      <c r="A342" t="s">
        <v>663</v>
      </c>
      <c r="B342">
        <v>1</v>
      </c>
      <c r="C342">
        <v>0</v>
      </c>
      <c r="D342">
        <v>0</v>
      </c>
      <c r="E342">
        <v>0</v>
      </c>
      <c r="F342">
        <v>0</v>
      </c>
      <c r="G342">
        <v>1</v>
      </c>
      <c r="H342">
        <v>1</v>
      </c>
      <c r="I342">
        <v>0</v>
      </c>
    </row>
    <row r="343" spans="1:9">
      <c r="A343" t="s">
        <v>665</v>
      </c>
      <c r="B343">
        <v>1</v>
      </c>
      <c r="C343">
        <v>1</v>
      </c>
      <c r="D343">
        <v>0</v>
      </c>
      <c r="E343">
        <v>0</v>
      </c>
      <c r="F343">
        <v>0</v>
      </c>
      <c r="G343">
        <v>1</v>
      </c>
      <c r="H343">
        <v>1</v>
      </c>
      <c r="I343">
        <v>0</v>
      </c>
    </row>
    <row r="344" spans="1:9">
      <c r="A344" t="s">
        <v>667</v>
      </c>
      <c r="B344">
        <v>0</v>
      </c>
      <c r="C344">
        <v>1</v>
      </c>
      <c r="D344">
        <v>0</v>
      </c>
      <c r="E344">
        <v>1</v>
      </c>
      <c r="F344">
        <v>0</v>
      </c>
      <c r="G344">
        <v>0</v>
      </c>
      <c r="H344">
        <v>1</v>
      </c>
      <c r="I344">
        <v>0</v>
      </c>
    </row>
    <row r="345" spans="1:9">
      <c r="A345" t="s">
        <v>669</v>
      </c>
      <c r="B345">
        <v>0</v>
      </c>
      <c r="C345">
        <v>0</v>
      </c>
      <c r="D345">
        <v>0</v>
      </c>
      <c r="E345">
        <v>0</v>
      </c>
      <c r="F345">
        <v>0</v>
      </c>
      <c r="G345">
        <v>1</v>
      </c>
      <c r="H345">
        <v>0</v>
      </c>
      <c r="I345">
        <v>0</v>
      </c>
    </row>
    <row r="346" spans="1:9">
      <c r="A346" t="s">
        <v>671</v>
      </c>
      <c r="B346">
        <v>0</v>
      </c>
      <c r="C346">
        <v>0</v>
      </c>
      <c r="D346">
        <v>0</v>
      </c>
      <c r="E346">
        <v>0</v>
      </c>
      <c r="F346">
        <v>0</v>
      </c>
      <c r="G346">
        <v>1</v>
      </c>
      <c r="H346">
        <v>0</v>
      </c>
      <c r="I346">
        <v>0</v>
      </c>
    </row>
    <row r="347" spans="1:9">
      <c r="A347" t="s">
        <v>673</v>
      </c>
      <c r="B347">
        <v>0</v>
      </c>
      <c r="C347">
        <v>0</v>
      </c>
      <c r="D347">
        <v>0</v>
      </c>
      <c r="E347">
        <v>0</v>
      </c>
      <c r="F347">
        <v>0</v>
      </c>
      <c r="G347">
        <v>0</v>
      </c>
      <c r="H347">
        <v>0</v>
      </c>
      <c r="I347">
        <v>0</v>
      </c>
    </row>
    <row r="348" spans="1:9">
      <c r="A348" t="s">
        <v>675</v>
      </c>
      <c r="B348">
        <v>1</v>
      </c>
      <c r="C348">
        <v>0</v>
      </c>
      <c r="D348">
        <v>0</v>
      </c>
      <c r="E348">
        <v>0</v>
      </c>
      <c r="F348">
        <v>0</v>
      </c>
      <c r="G348">
        <v>1</v>
      </c>
      <c r="H348">
        <v>0</v>
      </c>
      <c r="I348">
        <v>0</v>
      </c>
    </row>
    <row r="349" spans="1:9">
      <c r="A349" t="s">
        <v>677</v>
      </c>
      <c r="B349">
        <v>1</v>
      </c>
      <c r="C349">
        <v>0</v>
      </c>
      <c r="D349">
        <v>0</v>
      </c>
      <c r="E349">
        <v>0</v>
      </c>
      <c r="F349">
        <v>0</v>
      </c>
      <c r="G349">
        <v>1</v>
      </c>
      <c r="H349">
        <v>0</v>
      </c>
      <c r="I349">
        <v>0</v>
      </c>
    </row>
    <row r="350" spans="1:9">
      <c r="A350" t="s">
        <v>679</v>
      </c>
      <c r="B350">
        <v>0</v>
      </c>
      <c r="C350">
        <v>0</v>
      </c>
      <c r="D350">
        <v>0</v>
      </c>
      <c r="E350">
        <v>0</v>
      </c>
      <c r="F350">
        <v>0</v>
      </c>
      <c r="G350">
        <v>0</v>
      </c>
      <c r="H350">
        <v>0</v>
      </c>
      <c r="I350">
        <v>0</v>
      </c>
    </row>
    <row r="351" spans="1:9">
      <c r="A351" t="s">
        <v>681</v>
      </c>
      <c r="B351">
        <v>0</v>
      </c>
      <c r="C351">
        <v>0</v>
      </c>
      <c r="D351">
        <v>0</v>
      </c>
      <c r="E351">
        <v>0</v>
      </c>
      <c r="F351">
        <v>0</v>
      </c>
      <c r="G351">
        <v>1</v>
      </c>
      <c r="H351">
        <v>0</v>
      </c>
      <c r="I351">
        <v>0</v>
      </c>
    </row>
    <row r="352" spans="1:9">
      <c r="A352" t="s">
        <v>683</v>
      </c>
      <c r="B352">
        <v>0</v>
      </c>
      <c r="C352">
        <v>0</v>
      </c>
      <c r="D352">
        <v>0</v>
      </c>
      <c r="E352">
        <v>0</v>
      </c>
      <c r="F352">
        <v>0</v>
      </c>
      <c r="G352">
        <v>0</v>
      </c>
      <c r="H352">
        <v>0</v>
      </c>
      <c r="I352">
        <v>0</v>
      </c>
    </row>
    <row r="353" spans="1:9">
      <c r="A353" t="s">
        <v>685</v>
      </c>
      <c r="B353">
        <v>0</v>
      </c>
      <c r="C353">
        <v>1</v>
      </c>
      <c r="D353">
        <v>0</v>
      </c>
      <c r="E353">
        <v>1</v>
      </c>
      <c r="F353">
        <v>1</v>
      </c>
      <c r="G353">
        <v>0</v>
      </c>
      <c r="H353">
        <v>0</v>
      </c>
      <c r="I353">
        <v>0</v>
      </c>
    </row>
    <row r="354" spans="1:9">
      <c r="A354" t="s">
        <v>687</v>
      </c>
      <c r="B354">
        <v>0</v>
      </c>
      <c r="C354">
        <v>0</v>
      </c>
      <c r="D354">
        <v>0</v>
      </c>
      <c r="E354">
        <v>0</v>
      </c>
      <c r="F354">
        <v>0</v>
      </c>
      <c r="G354">
        <v>0</v>
      </c>
      <c r="H354">
        <v>0</v>
      </c>
      <c r="I354">
        <v>0</v>
      </c>
    </row>
    <row r="355" spans="1:9">
      <c r="A355" t="s">
        <v>689</v>
      </c>
      <c r="B355">
        <v>0</v>
      </c>
      <c r="C355">
        <v>0</v>
      </c>
      <c r="D355">
        <v>0</v>
      </c>
      <c r="E355">
        <v>0</v>
      </c>
      <c r="F355">
        <v>0</v>
      </c>
      <c r="G355">
        <v>0</v>
      </c>
      <c r="H355">
        <v>0</v>
      </c>
      <c r="I355">
        <v>0</v>
      </c>
    </row>
    <row r="356" spans="1:9">
      <c r="A356" t="s">
        <v>691</v>
      </c>
      <c r="B356">
        <v>0</v>
      </c>
      <c r="C356">
        <v>0</v>
      </c>
      <c r="D356">
        <v>0</v>
      </c>
      <c r="E356">
        <v>0</v>
      </c>
      <c r="F356">
        <v>0</v>
      </c>
      <c r="G356">
        <v>0</v>
      </c>
      <c r="H356">
        <v>0</v>
      </c>
      <c r="I356">
        <v>0</v>
      </c>
    </row>
    <row r="357" spans="1:9">
      <c r="A357" t="s">
        <v>693</v>
      </c>
      <c r="B357">
        <v>0</v>
      </c>
      <c r="C357">
        <v>0</v>
      </c>
      <c r="D357">
        <v>0</v>
      </c>
      <c r="E357">
        <v>0</v>
      </c>
      <c r="F357">
        <v>0</v>
      </c>
      <c r="G357">
        <v>0</v>
      </c>
      <c r="H357">
        <v>0</v>
      </c>
      <c r="I357">
        <v>0</v>
      </c>
    </row>
    <row r="358" spans="1:9">
      <c r="A358" t="s">
        <v>694</v>
      </c>
      <c r="B358">
        <v>0</v>
      </c>
      <c r="C358">
        <v>1</v>
      </c>
      <c r="D358">
        <v>0</v>
      </c>
      <c r="E358">
        <v>0</v>
      </c>
      <c r="F358">
        <v>0</v>
      </c>
      <c r="G358">
        <v>0</v>
      </c>
      <c r="H358">
        <v>0</v>
      </c>
      <c r="I358">
        <v>0</v>
      </c>
    </row>
    <row r="359" spans="1:9">
      <c r="A359" t="s">
        <v>696</v>
      </c>
      <c r="B359">
        <v>0</v>
      </c>
      <c r="C359">
        <v>0</v>
      </c>
      <c r="D359">
        <v>0</v>
      </c>
      <c r="E359">
        <v>0</v>
      </c>
      <c r="F359">
        <v>0</v>
      </c>
      <c r="G359">
        <v>0</v>
      </c>
      <c r="H359">
        <v>0</v>
      </c>
      <c r="I359">
        <v>0</v>
      </c>
    </row>
    <row r="360" spans="1:9">
      <c r="A360" t="s">
        <v>698</v>
      </c>
      <c r="B360">
        <v>0</v>
      </c>
      <c r="C360">
        <v>0</v>
      </c>
      <c r="D360">
        <v>0</v>
      </c>
      <c r="E360">
        <v>0</v>
      </c>
      <c r="F360">
        <v>0</v>
      </c>
      <c r="G360">
        <v>0</v>
      </c>
      <c r="H360">
        <v>0</v>
      </c>
      <c r="I360">
        <v>0</v>
      </c>
    </row>
    <row r="361" spans="1:9">
      <c r="A361" t="s">
        <v>700</v>
      </c>
      <c r="B361">
        <v>0</v>
      </c>
      <c r="C361">
        <v>1</v>
      </c>
      <c r="D361">
        <v>0</v>
      </c>
      <c r="E361">
        <v>1</v>
      </c>
      <c r="F361">
        <v>1</v>
      </c>
      <c r="G361">
        <v>0</v>
      </c>
      <c r="H361">
        <v>0</v>
      </c>
      <c r="I361">
        <v>0</v>
      </c>
    </row>
    <row r="362" spans="1:9">
      <c r="A362" t="s">
        <v>702</v>
      </c>
      <c r="B362">
        <v>0</v>
      </c>
      <c r="C362">
        <v>0</v>
      </c>
      <c r="D362">
        <v>0</v>
      </c>
      <c r="E362">
        <v>1</v>
      </c>
      <c r="F362">
        <v>0</v>
      </c>
      <c r="G362">
        <v>0</v>
      </c>
      <c r="H362">
        <v>0</v>
      </c>
      <c r="I362">
        <v>0</v>
      </c>
    </row>
    <row r="363" spans="1:9">
      <c r="A363" t="s">
        <v>704</v>
      </c>
      <c r="B363">
        <v>0</v>
      </c>
      <c r="C363">
        <v>0</v>
      </c>
      <c r="D363">
        <v>0</v>
      </c>
      <c r="E363">
        <v>0</v>
      </c>
      <c r="F363">
        <v>0</v>
      </c>
      <c r="G363">
        <v>0</v>
      </c>
      <c r="H363">
        <v>0</v>
      </c>
      <c r="I363">
        <v>0</v>
      </c>
    </row>
    <row r="364" spans="1:9">
      <c r="A364" t="s">
        <v>706</v>
      </c>
      <c r="B364">
        <v>0</v>
      </c>
      <c r="C364">
        <v>0</v>
      </c>
      <c r="D364">
        <v>0</v>
      </c>
      <c r="E364">
        <v>0</v>
      </c>
      <c r="F364">
        <v>0</v>
      </c>
      <c r="G364">
        <v>0</v>
      </c>
      <c r="H364">
        <v>0</v>
      </c>
      <c r="I364">
        <v>0</v>
      </c>
    </row>
    <row r="365" spans="1:9">
      <c r="A365" t="s">
        <v>708</v>
      </c>
      <c r="B365">
        <v>0</v>
      </c>
      <c r="C365">
        <v>0</v>
      </c>
      <c r="D365">
        <v>0</v>
      </c>
      <c r="E365">
        <v>0</v>
      </c>
      <c r="F365">
        <v>0</v>
      </c>
      <c r="G365">
        <v>0</v>
      </c>
      <c r="H365">
        <v>0</v>
      </c>
      <c r="I365">
        <v>0</v>
      </c>
    </row>
    <row r="366" spans="1:9">
      <c r="A366" t="s">
        <v>710</v>
      </c>
      <c r="B366">
        <v>0</v>
      </c>
      <c r="C366">
        <v>0</v>
      </c>
      <c r="D366">
        <v>0</v>
      </c>
      <c r="E366">
        <v>0</v>
      </c>
      <c r="F366">
        <v>0</v>
      </c>
      <c r="G366">
        <v>0</v>
      </c>
      <c r="H366">
        <v>0</v>
      </c>
      <c r="I366">
        <v>0</v>
      </c>
    </row>
    <row r="367" spans="1:9">
      <c r="A367" t="s">
        <v>712</v>
      </c>
      <c r="B367">
        <v>0</v>
      </c>
      <c r="C367">
        <v>0</v>
      </c>
      <c r="D367">
        <v>0</v>
      </c>
      <c r="E367">
        <v>0</v>
      </c>
      <c r="F367">
        <v>0</v>
      </c>
      <c r="G367">
        <v>0</v>
      </c>
      <c r="H367">
        <v>1</v>
      </c>
      <c r="I367">
        <v>0</v>
      </c>
    </row>
    <row r="368" spans="1:9">
      <c r="A368" t="s">
        <v>714</v>
      </c>
      <c r="B368">
        <v>0</v>
      </c>
      <c r="C368">
        <v>0</v>
      </c>
      <c r="D368">
        <v>0</v>
      </c>
      <c r="E368">
        <v>0</v>
      </c>
      <c r="F368">
        <v>0</v>
      </c>
      <c r="G368">
        <v>0</v>
      </c>
      <c r="H368">
        <v>0</v>
      </c>
      <c r="I368">
        <v>0</v>
      </c>
    </row>
    <row r="369" spans="1:9">
      <c r="A369" t="s">
        <v>716</v>
      </c>
      <c r="B369">
        <v>0</v>
      </c>
      <c r="C369">
        <v>0</v>
      </c>
      <c r="D369">
        <v>0</v>
      </c>
      <c r="E369">
        <v>0</v>
      </c>
      <c r="F369">
        <v>0</v>
      </c>
      <c r="G369">
        <v>0</v>
      </c>
      <c r="H369">
        <v>0</v>
      </c>
      <c r="I369">
        <v>0</v>
      </c>
    </row>
    <row r="370" spans="1:9">
      <c r="A370" t="s">
        <v>718</v>
      </c>
      <c r="B370">
        <v>0</v>
      </c>
      <c r="C370">
        <v>0</v>
      </c>
      <c r="D370">
        <v>0</v>
      </c>
      <c r="E370">
        <v>0</v>
      </c>
      <c r="F370">
        <v>0</v>
      </c>
      <c r="G370">
        <v>0</v>
      </c>
      <c r="H370">
        <v>0</v>
      </c>
      <c r="I370">
        <v>0</v>
      </c>
    </row>
    <row r="371" spans="1:9">
      <c r="A371" t="s">
        <v>720</v>
      </c>
      <c r="B371">
        <v>0</v>
      </c>
      <c r="C371">
        <v>0</v>
      </c>
      <c r="D371">
        <v>0</v>
      </c>
      <c r="E371">
        <v>0</v>
      </c>
      <c r="F371">
        <v>0</v>
      </c>
      <c r="G371">
        <v>0</v>
      </c>
      <c r="H371">
        <v>0</v>
      </c>
      <c r="I371">
        <v>0</v>
      </c>
    </row>
    <row r="372" spans="1:9">
      <c r="A372" t="s">
        <v>722</v>
      </c>
      <c r="B372">
        <v>0</v>
      </c>
      <c r="C372">
        <v>0</v>
      </c>
      <c r="D372">
        <v>0</v>
      </c>
      <c r="E372">
        <v>1</v>
      </c>
      <c r="F372">
        <v>0</v>
      </c>
      <c r="G372">
        <v>0</v>
      </c>
      <c r="H372">
        <v>0</v>
      </c>
      <c r="I372">
        <v>0</v>
      </c>
    </row>
    <row r="373" spans="1:9">
      <c r="A373" t="s">
        <v>724</v>
      </c>
      <c r="B373">
        <v>0</v>
      </c>
      <c r="C373">
        <v>0</v>
      </c>
      <c r="D373">
        <v>0</v>
      </c>
      <c r="E373">
        <v>1</v>
      </c>
      <c r="F373">
        <v>0</v>
      </c>
      <c r="G373">
        <v>1</v>
      </c>
      <c r="H373">
        <v>1</v>
      </c>
      <c r="I373">
        <v>0</v>
      </c>
    </row>
    <row r="374" spans="1:9">
      <c r="A374" t="s">
        <v>726</v>
      </c>
      <c r="B374">
        <v>0</v>
      </c>
      <c r="C374">
        <v>0</v>
      </c>
      <c r="D374">
        <v>0</v>
      </c>
      <c r="E374">
        <v>0</v>
      </c>
      <c r="F374">
        <v>0</v>
      </c>
      <c r="G374">
        <v>0</v>
      </c>
      <c r="H374">
        <v>0</v>
      </c>
      <c r="I374">
        <v>0</v>
      </c>
    </row>
    <row r="375" spans="1:9">
      <c r="A375" t="s">
        <v>728</v>
      </c>
      <c r="B375">
        <v>0</v>
      </c>
      <c r="C375">
        <v>0</v>
      </c>
      <c r="D375">
        <v>0</v>
      </c>
      <c r="E375">
        <v>0</v>
      </c>
      <c r="F375">
        <v>0</v>
      </c>
      <c r="G375">
        <v>0</v>
      </c>
      <c r="H375">
        <v>0</v>
      </c>
      <c r="I375">
        <v>0</v>
      </c>
    </row>
    <row r="376" spans="1:9">
      <c r="A376" t="s">
        <v>730</v>
      </c>
      <c r="B376">
        <v>0</v>
      </c>
      <c r="C376">
        <v>0</v>
      </c>
      <c r="D376">
        <v>0</v>
      </c>
      <c r="E376">
        <v>0</v>
      </c>
      <c r="F376">
        <v>0</v>
      </c>
      <c r="G376">
        <v>1</v>
      </c>
      <c r="H376">
        <v>0</v>
      </c>
      <c r="I376">
        <v>0</v>
      </c>
    </row>
    <row r="377" spans="1:9">
      <c r="A377" t="s">
        <v>732</v>
      </c>
      <c r="B377">
        <v>0</v>
      </c>
      <c r="C377">
        <v>0</v>
      </c>
      <c r="D377">
        <v>0</v>
      </c>
      <c r="E377">
        <v>0</v>
      </c>
      <c r="F377">
        <v>0</v>
      </c>
      <c r="G377">
        <v>1</v>
      </c>
      <c r="H377">
        <v>0</v>
      </c>
      <c r="I377">
        <v>0</v>
      </c>
    </row>
    <row r="378" spans="1:9">
      <c r="A378" t="s">
        <v>734</v>
      </c>
      <c r="B378">
        <v>0</v>
      </c>
      <c r="C378">
        <v>0</v>
      </c>
      <c r="D378">
        <v>0</v>
      </c>
      <c r="E378">
        <v>1</v>
      </c>
      <c r="F378">
        <v>0</v>
      </c>
      <c r="G378">
        <v>0</v>
      </c>
      <c r="H378">
        <v>0</v>
      </c>
      <c r="I378">
        <v>0</v>
      </c>
    </row>
    <row r="379" spans="1:9">
      <c r="A379" t="s">
        <v>736</v>
      </c>
      <c r="B379">
        <v>0</v>
      </c>
      <c r="C379">
        <v>0</v>
      </c>
      <c r="D379">
        <v>0</v>
      </c>
      <c r="E379">
        <v>0</v>
      </c>
      <c r="F379">
        <v>0</v>
      </c>
      <c r="G379">
        <v>0</v>
      </c>
      <c r="H379">
        <v>0</v>
      </c>
      <c r="I379">
        <v>0</v>
      </c>
    </row>
    <row r="380" spans="1:9">
      <c r="A380" t="s">
        <v>738</v>
      </c>
      <c r="B380">
        <v>0</v>
      </c>
      <c r="C380">
        <v>0</v>
      </c>
      <c r="D380">
        <v>0</v>
      </c>
      <c r="E380">
        <v>0</v>
      </c>
      <c r="F380">
        <v>0</v>
      </c>
      <c r="G380">
        <v>0</v>
      </c>
      <c r="H380">
        <v>0</v>
      </c>
      <c r="I380">
        <v>0</v>
      </c>
    </row>
    <row r="381" spans="1:9">
      <c r="A381" t="s">
        <v>740</v>
      </c>
      <c r="B381">
        <v>0</v>
      </c>
      <c r="C381">
        <v>0</v>
      </c>
      <c r="D381">
        <v>0</v>
      </c>
      <c r="E381">
        <v>0</v>
      </c>
      <c r="F381">
        <v>1</v>
      </c>
      <c r="G381">
        <v>1</v>
      </c>
      <c r="H381">
        <v>0</v>
      </c>
      <c r="I381">
        <v>0</v>
      </c>
    </row>
    <row r="382" spans="1:9">
      <c r="A382" t="s">
        <v>742</v>
      </c>
      <c r="B382">
        <v>0</v>
      </c>
      <c r="C382">
        <v>0</v>
      </c>
      <c r="D382">
        <v>0</v>
      </c>
      <c r="E382">
        <v>0</v>
      </c>
      <c r="F382">
        <v>0</v>
      </c>
      <c r="G382">
        <v>0</v>
      </c>
      <c r="H382">
        <v>0</v>
      </c>
      <c r="I382">
        <v>0</v>
      </c>
    </row>
    <row r="383" spans="1:9">
      <c r="A383" t="s">
        <v>744</v>
      </c>
      <c r="B383">
        <v>0</v>
      </c>
      <c r="C383">
        <v>0</v>
      </c>
      <c r="D383">
        <v>0</v>
      </c>
      <c r="E383">
        <v>0</v>
      </c>
      <c r="F383">
        <v>0</v>
      </c>
      <c r="G383">
        <v>0</v>
      </c>
      <c r="H383">
        <v>0</v>
      </c>
      <c r="I383">
        <v>0</v>
      </c>
    </row>
    <row r="384" spans="1:9">
      <c r="A384" t="s">
        <v>746</v>
      </c>
      <c r="B384">
        <v>0</v>
      </c>
      <c r="C384">
        <v>0</v>
      </c>
      <c r="D384">
        <v>0</v>
      </c>
      <c r="E384">
        <v>0</v>
      </c>
      <c r="F384">
        <v>0</v>
      </c>
      <c r="G384">
        <v>0</v>
      </c>
      <c r="H384">
        <v>0</v>
      </c>
      <c r="I384">
        <v>0</v>
      </c>
    </row>
    <row r="385" spans="1:9">
      <c r="A385" t="s">
        <v>748</v>
      </c>
      <c r="B385">
        <v>0</v>
      </c>
      <c r="C385">
        <v>0</v>
      </c>
      <c r="D385">
        <v>0</v>
      </c>
      <c r="E385">
        <v>0</v>
      </c>
      <c r="F385">
        <v>0</v>
      </c>
      <c r="G385">
        <v>0</v>
      </c>
      <c r="H385">
        <v>0</v>
      </c>
      <c r="I385">
        <v>0</v>
      </c>
    </row>
    <row r="386" spans="1:9">
      <c r="A386" t="s">
        <v>750</v>
      </c>
      <c r="B386">
        <v>0</v>
      </c>
      <c r="C386">
        <v>0</v>
      </c>
      <c r="D386">
        <v>0</v>
      </c>
      <c r="E386">
        <v>0</v>
      </c>
      <c r="F386">
        <v>0</v>
      </c>
      <c r="G386">
        <v>0</v>
      </c>
      <c r="H386">
        <v>0</v>
      </c>
      <c r="I386">
        <v>0</v>
      </c>
    </row>
    <row r="387" spans="1:9">
      <c r="A387" t="s">
        <v>752</v>
      </c>
      <c r="B387">
        <v>0</v>
      </c>
      <c r="C387">
        <v>0</v>
      </c>
      <c r="D387">
        <v>0</v>
      </c>
      <c r="E387">
        <v>0</v>
      </c>
      <c r="F387">
        <v>0</v>
      </c>
      <c r="G387">
        <v>1</v>
      </c>
      <c r="H387">
        <v>0</v>
      </c>
      <c r="I387">
        <v>0</v>
      </c>
    </row>
    <row r="388" spans="1:9">
      <c r="A388" t="s">
        <v>754</v>
      </c>
      <c r="B388">
        <v>0</v>
      </c>
      <c r="C388">
        <v>0</v>
      </c>
      <c r="D388">
        <v>0</v>
      </c>
      <c r="E388">
        <v>0</v>
      </c>
      <c r="F388">
        <v>0</v>
      </c>
      <c r="G388">
        <v>0</v>
      </c>
      <c r="H388">
        <v>0</v>
      </c>
      <c r="I388">
        <v>0</v>
      </c>
    </row>
    <row r="389" spans="1:9">
      <c r="A389" t="s">
        <v>756</v>
      </c>
      <c r="B389">
        <v>0</v>
      </c>
      <c r="C389">
        <v>0</v>
      </c>
      <c r="D389">
        <v>0</v>
      </c>
      <c r="E389">
        <v>0</v>
      </c>
      <c r="F389">
        <v>0</v>
      </c>
      <c r="G389">
        <v>0</v>
      </c>
      <c r="H389">
        <v>0</v>
      </c>
      <c r="I389">
        <v>0</v>
      </c>
    </row>
    <row r="390" spans="1:9">
      <c r="A390" t="s">
        <v>758</v>
      </c>
      <c r="B390">
        <v>0</v>
      </c>
      <c r="C390">
        <v>0</v>
      </c>
      <c r="D390">
        <v>0</v>
      </c>
      <c r="E390">
        <v>0</v>
      </c>
      <c r="F390">
        <v>0</v>
      </c>
      <c r="G390">
        <v>0</v>
      </c>
      <c r="H390">
        <v>0</v>
      </c>
      <c r="I390">
        <v>0</v>
      </c>
    </row>
    <row r="391" spans="1:9">
      <c r="A391" t="s">
        <v>760</v>
      </c>
      <c r="B391">
        <v>0</v>
      </c>
      <c r="C391">
        <v>0</v>
      </c>
      <c r="D391">
        <v>0</v>
      </c>
      <c r="E391">
        <v>0</v>
      </c>
      <c r="F391">
        <v>0</v>
      </c>
      <c r="G391">
        <v>0</v>
      </c>
      <c r="H391">
        <v>0</v>
      </c>
      <c r="I391">
        <v>0</v>
      </c>
    </row>
    <row r="392" spans="1:9">
      <c r="A392" t="s">
        <v>762</v>
      </c>
      <c r="B392">
        <v>0</v>
      </c>
      <c r="C392">
        <v>0</v>
      </c>
      <c r="D392">
        <v>0</v>
      </c>
      <c r="E392">
        <v>0</v>
      </c>
      <c r="F392">
        <v>0</v>
      </c>
      <c r="G392">
        <v>0</v>
      </c>
      <c r="H392">
        <v>0</v>
      </c>
      <c r="I392">
        <v>0</v>
      </c>
    </row>
    <row r="393" spans="1:9">
      <c r="A393" t="s">
        <v>764</v>
      </c>
      <c r="B393">
        <v>0</v>
      </c>
      <c r="C393">
        <v>0</v>
      </c>
      <c r="D393">
        <v>0</v>
      </c>
      <c r="E393">
        <v>0</v>
      </c>
      <c r="F393">
        <v>0</v>
      </c>
      <c r="G393">
        <v>0</v>
      </c>
      <c r="H393">
        <v>0</v>
      </c>
      <c r="I393">
        <v>0</v>
      </c>
    </row>
    <row r="394" spans="1:9">
      <c r="A394" t="s">
        <v>766</v>
      </c>
      <c r="B394">
        <v>0</v>
      </c>
      <c r="C394">
        <v>0</v>
      </c>
      <c r="D394">
        <v>0</v>
      </c>
      <c r="E394">
        <v>0</v>
      </c>
      <c r="F394">
        <v>0</v>
      </c>
      <c r="G394">
        <v>0</v>
      </c>
      <c r="H394">
        <v>0</v>
      </c>
      <c r="I394">
        <v>0</v>
      </c>
    </row>
    <row r="395" spans="1:9">
      <c r="A395" t="s">
        <v>768</v>
      </c>
      <c r="B395">
        <v>0</v>
      </c>
      <c r="C395">
        <v>1</v>
      </c>
      <c r="D395">
        <v>1</v>
      </c>
      <c r="E395">
        <v>0</v>
      </c>
      <c r="F395">
        <v>1</v>
      </c>
      <c r="G395">
        <v>0</v>
      </c>
      <c r="H395">
        <v>0</v>
      </c>
      <c r="I395">
        <v>0</v>
      </c>
    </row>
    <row r="396" spans="1:9">
      <c r="A396" t="s">
        <v>770</v>
      </c>
      <c r="B396">
        <v>0</v>
      </c>
      <c r="C396">
        <v>0</v>
      </c>
      <c r="D396">
        <v>1</v>
      </c>
      <c r="E396">
        <v>0</v>
      </c>
      <c r="F396">
        <v>0</v>
      </c>
      <c r="G396">
        <v>1</v>
      </c>
      <c r="H396">
        <v>0</v>
      </c>
      <c r="I396">
        <v>0</v>
      </c>
    </row>
    <row r="397" spans="1:9">
      <c r="A397" t="s">
        <v>772</v>
      </c>
      <c r="B397">
        <v>0</v>
      </c>
      <c r="C397">
        <v>0</v>
      </c>
      <c r="D397">
        <v>0</v>
      </c>
      <c r="E397">
        <v>0</v>
      </c>
      <c r="F397">
        <v>0</v>
      </c>
      <c r="G397">
        <v>1</v>
      </c>
      <c r="H397">
        <v>0</v>
      </c>
      <c r="I397">
        <v>0</v>
      </c>
    </row>
    <row r="398" spans="1:9">
      <c r="A398" t="s">
        <v>774</v>
      </c>
      <c r="B398">
        <v>0</v>
      </c>
      <c r="C398">
        <v>0</v>
      </c>
      <c r="D398">
        <v>0</v>
      </c>
      <c r="E398">
        <v>0</v>
      </c>
      <c r="F398">
        <v>0</v>
      </c>
      <c r="G398">
        <v>1</v>
      </c>
      <c r="H398">
        <v>0</v>
      </c>
      <c r="I398">
        <v>0</v>
      </c>
    </row>
    <row r="399" spans="1:9">
      <c r="A399" t="s">
        <v>776</v>
      </c>
      <c r="B399">
        <v>0</v>
      </c>
      <c r="C399">
        <v>1</v>
      </c>
      <c r="D399">
        <v>1</v>
      </c>
      <c r="E399">
        <v>0</v>
      </c>
      <c r="F399">
        <v>0</v>
      </c>
      <c r="G399">
        <v>0</v>
      </c>
      <c r="H399">
        <v>0</v>
      </c>
      <c r="I399">
        <v>0</v>
      </c>
    </row>
    <row r="400" spans="1:9">
      <c r="A400" t="s">
        <v>778</v>
      </c>
      <c r="B400">
        <v>0</v>
      </c>
      <c r="C400">
        <v>1</v>
      </c>
      <c r="D400">
        <v>0</v>
      </c>
      <c r="E400">
        <v>0</v>
      </c>
      <c r="F400">
        <v>0</v>
      </c>
      <c r="G400">
        <v>1</v>
      </c>
      <c r="H400">
        <v>0</v>
      </c>
      <c r="I400">
        <v>0</v>
      </c>
    </row>
    <row r="401" spans="1:9">
      <c r="A401" t="s">
        <v>780</v>
      </c>
      <c r="B401">
        <v>0</v>
      </c>
      <c r="C401">
        <v>0</v>
      </c>
      <c r="D401">
        <v>0</v>
      </c>
      <c r="E401">
        <v>0</v>
      </c>
      <c r="F401">
        <v>0</v>
      </c>
      <c r="G401">
        <v>1</v>
      </c>
      <c r="H401">
        <v>0</v>
      </c>
      <c r="I401">
        <v>0</v>
      </c>
    </row>
    <row r="402" spans="1:9">
      <c r="A402" t="s">
        <v>782</v>
      </c>
      <c r="B402">
        <v>0</v>
      </c>
      <c r="C402">
        <v>0</v>
      </c>
      <c r="D402">
        <v>0</v>
      </c>
      <c r="E402">
        <v>0</v>
      </c>
      <c r="F402">
        <v>0</v>
      </c>
      <c r="G402">
        <v>0</v>
      </c>
      <c r="H402">
        <v>0</v>
      </c>
      <c r="I402">
        <v>0</v>
      </c>
    </row>
    <row r="403" spans="1:9">
      <c r="A403" t="s">
        <v>783</v>
      </c>
      <c r="B403">
        <v>0</v>
      </c>
      <c r="C403">
        <v>1</v>
      </c>
      <c r="D403">
        <v>0</v>
      </c>
      <c r="E403">
        <v>0</v>
      </c>
      <c r="F403">
        <v>0</v>
      </c>
      <c r="G403">
        <v>0</v>
      </c>
      <c r="H403">
        <v>0</v>
      </c>
      <c r="I403">
        <v>0</v>
      </c>
    </row>
    <row r="404" spans="1:9">
      <c r="A404" t="s">
        <v>785</v>
      </c>
      <c r="B404">
        <v>0</v>
      </c>
      <c r="C404">
        <v>0</v>
      </c>
      <c r="D404">
        <v>0</v>
      </c>
      <c r="E404">
        <v>0</v>
      </c>
      <c r="F404">
        <v>0</v>
      </c>
      <c r="G404">
        <v>0</v>
      </c>
      <c r="H404">
        <v>0</v>
      </c>
      <c r="I404">
        <v>0</v>
      </c>
    </row>
    <row r="405" spans="1:9">
      <c r="A405" t="s">
        <v>787</v>
      </c>
      <c r="B405">
        <v>0</v>
      </c>
      <c r="C405">
        <v>0</v>
      </c>
      <c r="D405">
        <v>0</v>
      </c>
      <c r="E405">
        <v>0</v>
      </c>
      <c r="F405">
        <v>0</v>
      </c>
      <c r="G405">
        <v>0</v>
      </c>
      <c r="H405">
        <v>0</v>
      </c>
      <c r="I405">
        <v>0</v>
      </c>
    </row>
    <row r="406" spans="1:9">
      <c r="A406" t="s">
        <v>789</v>
      </c>
      <c r="B406">
        <v>0</v>
      </c>
      <c r="C406">
        <v>0</v>
      </c>
      <c r="D406">
        <v>0</v>
      </c>
      <c r="E406">
        <v>0</v>
      </c>
      <c r="F406">
        <v>0</v>
      </c>
      <c r="G406">
        <v>0</v>
      </c>
      <c r="H406">
        <v>0</v>
      </c>
      <c r="I406">
        <v>0</v>
      </c>
    </row>
    <row r="407" spans="1:9">
      <c r="A407" t="s">
        <v>791</v>
      </c>
      <c r="B407">
        <v>0</v>
      </c>
      <c r="C407">
        <v>0</v>
      </c>
      <c r="D407">
        <v>0</v>
      </c>
      <c r="E407">
        <v>0</v>
      </c>
      <c r="F407">
        <v>0</v>
      </c>
      <c r="G407">
        <v>0</v>
      </c>
      <c r="H407">
        <v>0</v>
      </c>
      <c r="I407">
        <v>0</v>
      </c>
    </row>
    <row r="408" spans="1:9">
      <c r="A408" t="s">
        <v>793</v>
      </c>
      <c r="B408">
        <v>0</v>
      </c>
      <c r="C408">
        <v>0</v>
      </c>
      <c r="D408">
        <v>0</v>
      </c>
      <c r="E408">
        <v>0</v>
      </c>
      <c r="F408">
        <v>0</v>
      </c>
      <c r="G408">
        <v>0</v>
      </c>
      <c r="H408">
        <v>0</v>
      </c>
      <c r="I408">
        <v>0</v>
      </c>
    </row>
    <row r="409" spans="1:9">
      <c r="A409" t="s">
        <v>795</v>
      </c>
      <c r="B409">
        <v>0</v>
      </c>
      <c r="C409">
        <v>1</v>
      </c>
      <c r="D409">
        <v>0</v>
      </c>
      <c r="E409">
        <v>0</v>
      </c>
      <c r="F409">
        <v>0</v>
      </c>
      <c r="G409">
        <v>0</v>
      </c>
      <c r="H409">
        <v>0</v>
      </c>
      <c r="I409">
        <v>0</v>
      </c>
    </row>
    <row r="410" spans="1:9">
      <c r="A410" t="s">
        <v>797</v>
      </c>
      <c r="B410">
        <v>0</v>
      </c>
      <c r="C410">
        <v>0</v>
      </c>
      <c r="D410">
        <v>0</v>
      </c>
      <c r="E410">
        <v>0</v>
      </c>
      <c r="F410">
        <v>0</v>
      </c>
      <c r="G410">
        <v>0</v>
      </c>
      <c r="H410">
        <v>0</v>
      </c>
      <c r="I410">
        <v>0</v>
      </c>
    </row>
    <row r="411" spans="1:9">
      <c r="A411" t="s">
        <v>798</v>
      </c>
      <c r="B411">
        <v>0</v>
      </c>
      <c r="C411">
        <v>0</v>
      </c>
      <c r="D411">
        <v>0</v>
      </c>
      <c r="E411">
        <v>0</v>
      </c>
      <c r="F411">
        <v>0</v>
      </c>
      <c r="G411">
        <v>0</v>
      </c>
      <c r="H411">
        <v>0</v>
      </c>
      <c r="I411">
        <v>0</v>
      </c>
    </row>
    <row r="412" spans="1:9">
      <c r="A412" t="s">
        <v>800</v>
      </c>
      <c r="B412">
        <v>0</v>
      </c>
      <c r="C412">
        <v>0</v>
      </c>
      <c r="D412">
        <v>0</v>
      </c>
      <c r="E412">
        <v>0</v>
      </c>
      <c r="F412">
        <v>0</v>
      </c>
      <c r="G412">
        <v>0</v>
      </c>
      <c r="H412">
        <v>0</v>
      </c>
      <c r="I412">
        <v>0</v>
      </c>
    </row>
    <row r="413" spans="1:9">
      <c r="A413" t="s">
        <v>802</v>
      </c>
      <c r="B413">
        <v>0</v>
      </c>
      <c r="C413">
        <v>0</v>
      </c>
      <c r="D413">
        <v>0</v>
      </c>
      <c r="E413">
        <v>0</v>
      </c>
      <c r="F413">
        <v>0</v>
      </c>
      <c r="G413">
        <v>0</v>
      </c>
      <c r="H413">
        <v>0</v>
      </c>
      <c r="I413">
        <v>0</v>
      </c>
    </row>
    <row r="414" spans="1:9">
      <c r="A414" t="s">
        <v>804</v>
      </c>
      <c r="B414">
        <v>0</v>
      </c>
      <c r="C414">
        <v>0</v>
      </c>
      <c r="D414">
        <v>1</v>
      </c>
      <c r="E414">
        <v>0</v>
      </c>
      <c r="F414">
        <v>0</v>
      </c>
      <c r="G414">
        <v>0</v>
      </c>
      <c r="H414">
        <v>0</v>
      </c>
      <c r="I414">
        <v>0</v>
      </c>
    </row>
    <row r="415" spans="1:9">
      <c r="A415" t="s">
        <v>806</v>
      </c>
      <c r="B415">
        <v>0</v>
      </c>
      <c r="C415">
        <v>1</v>
      </c>
      <c r="D415">
        <v>1</v>
      </c>
      <c r="E415">
        <v>0</v>
      </c>
      <c r="F415">
        <v>0</v>
      </c>
      <c r="G415">
        <v>0</v>
      </c>
      <c r="H415">
        <v>0</v>
      </c>
      <c r="I415">
        <v>0</v>
      </c>
    </row>
    <row r="416" spans="1:9">
      <c r="A416" t="s">
        <v>808</v>
      </c>
      <c r="B416">
        <v>0</v>
      </c>
      <c r="C416">
        <v>0</v>
      </c>
      <c r="D416">
        <v>0</v>
      </c>
      <c r="E416">
        <v>0</v>
      </c>
      <c r="F416">
        <v>0</v>
      </c>
      <c r="G416">
        <v>0</v>
      </c>
      <c r="H416">
        <v>0</v>
      </c>
      <c r="I416">
        <v>0</v>
      </c>
    </row>
    <row r="417" spans="1:9">
      <c r="A417" t="s">
        <v>810</v>
      </c>
      <c r="B417">
        <v>0</v>
      </c>
      <c r="C417">
        <v>0</v>
      </c>
      <c r="D417">
        <v>0</v>
      </c>
      <c r="E417">
        <v>0</v>
      </c>
      <c r="F417">
        <v>0</v>
      </c>
      <c r="G417">
        <v>0</v>
      </c>
      <c r="H417">
        <v>0</v>
      </c>
      <c r="I417">
        <v>0</v>
      </c>
    </row>
    <row r="418" spans="1:9">
      <c r="A418" t="s">
        <v>812</v>
      </c>
      <c r="B418">
        <v>0</v>
      </c>
      <c r="C418">
        <v>0</v>
      </c>
      <c r="D418">
        <v>0</v>
      </c>
      <c r="E418">
        <v>0</v>
      </c>
      <c r="F418">
        <v>0</v>
      </c>
      <c r="G418">
        <v>0</v>
      </c>
      <c r="H418">
        <v>0</v>
      </c>
      <c r="I418">
        <v>0</v>
      </c>
    </row>
    <row r="419" spans="1:9">
      <c r="A419" t="s">
        <v>814</v>
      </c>
      <c r="B419">
        <v>0</v>
      </c>
      <c r="C419">
        <v>0</v>
      </c>
      <c r="D419">
        <v>0</v>
      </c>
      <c r="E419">
        <v>0</v>
      </c>
      <c r="F419">
        <v>0</v>
      </c>
      <c r="G419">
        <v>0</v>
      </c>
      <c r="H419">
        <v>0</v>
      </c>
      <c r="I419">
        <v>0</v>
      </c>
    </row>
    <row r="420" spans="1:9">
      <c r="A420" t="s">
        <v>816</v>
      </c>
      <c r="B420">
        <v>0</v>
      </c>
      <c r="C420">
        <v>1</v>
      </c>
      <c r="D420">
        <v>0</v>
      </c>
      <c r="E420">
        <v>0</v>
      </c>
      <c r="F420">
        <v>0</v>
      </c>
      <c r="G420">
        <v>1</v>
      </c>
      <c r="H420">
        <v>0</v>
      </c>
      <c r="I420">
        <v>0</v>
      </c>
    </row>
    <row r="421" spans="1:9">
      <c r="A421" t="s">
        <v>818</v>
      </c>
      <c r="B421">
        <v>0</v>
      </c>
      <c r="C421">
        <v>0</v>
      </c>
      <c r="D421">
        <v>0</v>
      </c>
      <c r="E421">
        <v>0</v>
      </c>
      <c r="F421">
        <v>0</v>
      </c>
      <c r="G421">
        <v>0</v>
      </c>
      <c r="H421">
        <v>0</v>
      </c>
      <c r="I421">
        <v>0</v>
      </c>
    </row>
    <row r="422" spans="1:9">
      <c r="A422" t="s">
        <v>820</v>
      </c>
      <c r="B422">
        <v>0</v>
      </c>
      <c r="C422">
        <v>0</v>
      </c>
      <c r="D422">
        <v>0</v>
      </c>
      <c r="E422">
        <v>0</v>
      </c>
      <c r="F422">
        <v>0</v>
      </c>
      <c r="G422">
        <v>0</v>
      </c>
      <c r="H422">
        <v>0</v>
      </c>
      <c r="I422">
        <v>0</v>
      </c>
    </row>
    <row r="423" spans="1:9">
      <c r="A423" t="s">
        <v>822</v>
      </c>
      <c r="B423">
        <v>0</v>
      </c>
      <c r="C423">
        <v>1</v>
      </c>
      <c r="D423">
        <v>0</v>
      </c>
      <c r="E423">
        <v>0</v>
      </c>
      <c r="F423">
        <v>1</v>
      </c>
      <c r="G423">
        <v>1</v>
      </c>
      <c r="H423">
        <v>1</v>
      </c>
      <c r="I423">
        <v>0</v>
      </c>
    </row>
    <row r="424" spans="1:9">
      <c r="A424" t="s">
        <v>823</v>
      </c>
      <c r="B424">
        <v>0</v>
      </c>
      <c r="C424">
        <v>0</v>
      </c>
      <c r="D424">
        <v>0</v>
      </c>
      <c r="E424">
        <v>0</v>
      </c>
      <c r="F424">
        <v>0</v>
      </c>
      <c r="G424">
        <v>0</v>
      </c>
      <c r="H424">
        <v>0</v>
      </c>
      <c r="I424">
        <v>0</v>
      </c>
    </row>
    <row r="425" spans="1:9">
      <c r="A425" t="s">
        <v>825</v>
      </c>
      <c r="B425">
        <v>0</v>
      </c>
      <c r="C425">
        <v>1</v>
      </c>
      <c r="D425">
        <v>0</v>
      </c>
      <c r="E425">
        <v>0</v>
      </c>
      <c r="F425">
        <v>0</v>
      </c>
      <c r="G425">
        <v>0</v>
      </c>
      <c r="H425">
        <v>0</v>
      </c>
      <c r="I425">
        <v>0</v>
      </c>
    </row>
    <row r="426" spans="1:9">
      <c r="A426" t="s">
        <v>826</v>
      </c>
      <c r="B426">
        <v>0</v>
      </c>
      <c r="C426">
        <v>0</v>
      </c>
      <c r="D426">
        <v>0</v>
      </c>
      <c r="E426">
        <v>0</v>
      </c>
      <c r="F426">
        <v>0</v>
      </c>
      <c r="G426">
        <v>0</v>
      </c>
      <c r="H426">
        <v>0</v>
      </c>
      <c r="I426">
        <v>0</v>
      </c>
    </row>
    <row r="427" spans="1:9">
      <c r="A427" t="s">
        <v>828</v>
      </c>
      <c r="B427">
        <v>0</v>
      </c>
      <c r="C427">
        <v>0</v>
      </c>
      <c r="D427">
        <v>0</v>
      </c>
      <c r="E427">
        <v>0</v>
      </c>
      <c r="F427">
        <v>0</v>
      </c>
      <c r="G427">
        <v>0</v>
      </c>
      <c r="H427">
        <v>0</v>
      </c>
      <c r="I427">
        <v>0</v>
      </c>
    </row>
    <row r="428" spans="1:9">
      <c r="A428" t="s">
        <v>830</v>
      </c>
      <c r="B428">
        <v>0</v>
      </c>
      <c r="C428">
        <v>0</v>
      </c>
      <c r="D428">
        <v>0</v>
      </c>
      <c r="E428">
        <v>0</v>
      </c>
      <c r="F428">
        <v>0</v>
      </c>
      <c r="G428">
        <v>0</v>
      </c>
      <c r="H428">
        <v>0</v>
      </c>
      <c r="I428">
        <v>0</v>
      </c>
    </row>
    <row r="429" spans="1:9">
      <c r="A429" t="s">
        <v>832</v>
      </c>
      <c r="B429">
        <v>0</v>
      </c>
      <c r="C429">
        <v>0</v>
      </c>
      <c r="D429">
        <v>0</v>
      </c>
      <c r="E429">
        <v>0</v>
      </c>
      <c r="F429">
        <v>0</v>
      </c>
      <c r="G429">
        <v>0</v>
      </c>
      <c r="H429">
        <v>0</v>
      </c>
      <c r="I429">
        <v>0</v>
      </c>
    </row>
    <row r="430" spans="1:9">
      <c r="A430" t="s">
        <v>834</v>
      </c>
      <c r="B430">
        <v>0</v>
      </c>
      <c r="C430">
        <v>0</v>
      </c>
      <c r="D430">
        <v>0</v>
      </c>
      <c r="E430">
        <v>0</v>
      </c>
      <c r="F430">
        <v>0</v>
      </c>
      <c r="G430">
        <v>0</v>
      </c>
      <c r="H430">
        <v>0</v>
      </c>
      <c r="I430">
        <v>0</v>
      </c>
    </row>
    <row r="431" spans="1:9">
      <c r="A431" t="s">
        <v>836</v>
      </c>
      <c r="B431">
        <v>0</v>
      </c>
      <c r="C431">
        <v>0</v>
      </c>
      <c r="D431">
        <v>0</v>
      </c>
      <c r="E431">
        <v>0</v>
      </c>
      <c r="F431">
        <v>0</v>
      </c>
      <c r="G431">
        <v>0</v>
      </c>
      <c r="H431">
        <v>0</v>
      </c>
      <c r="I431">
        <v>0</v>
      </c>
    </row>
    <row r="432" spans="1:9">
      <c r="A432" t="s">
        <v>838</v>
      </c>
      <c r="B432">
        <v>0</v>
      </c>
      <c r="C432">
        <v>0</v>
      </c>
      <c r="D432">
        <v>1</v>
      </c>
      <c r="E432">
        <v>0</v>
      </c>
      <c r="F432">
        <v>0</v>
      </c>
      <c r="G432">
        <v>0</v>
      </c>
      <c r="H432">
        <v>0</v>
      </c>
      <c r="I432">
        <v>0</v>
      </c>
    </row>
    <row r="433" spans="1:9">
      <c r="A433" t="s">
        <v>840</v>
      </c>
      <c r="B433">
        <v>0</v>
      </c>
      <c r="C433">
        <v>1</v>
      </c>
      <c r="D433">
        <v>0</v>
      </c>
      <c r="E433">
        <v>0</v>
      </c>
      <c r="F433">
        <v>1</v>
      </c>
      <c r="G433">
        <v>0</v>
      </c>
      <c r="H433">
        <v>0</v>
      </c>
      <c r="I433">
        <v>0</v>
      </c>
    </row>
    <row r="434" spans="1:9">
      <c r="A434" t="s">
        <v>842</v>
      </c>
      <c r="B434">
        <v>0</v>
      </c>
      <c r="C434">
        <v>0</v>
      </c>
      <c r="D434">
        <v>0</v>
      </c>
      <c r="E434">
        <v>0</v>
      </c>
      <c r="F434">
        <v>0</v>
      </c>
      <c r="G434">
        <v>0</v>
      </c>
      <c r="H434">
        <v>0</v>
      </c>
      <c r="I434">
        <v>0</v>
      </c>
    </row>
    <row r="435" spans="1:9">
      <c r="A435" t="s">
        <v>844</v>
      </c>
      <c r="B435">
        <v>0</v>
      </c>
      <c r="C435">
        <v>0</v>
      </c>
      <c r="D435">
        <v>1</v>
      </c>
      <c r="E435">
        <v>1</v>
      </c>
      <c r="F435">
        <v>0</v>
      </c>
      <c r="G435">
        <v>1</v>
      </c>
      <c r="H435">
        <v>0</v>
      </c>
      <c r="I435">
        <v>0</v>
      </c>
    </row>
    <row r="436" spans="1:9">
      <c r="A436" t="s">
        <v>846</v>
      </c>
      <c r="B436">
        <v>0</v>
      </c>
      <c r="C436">
        <v>1</v>
      </c>
      <c r="D436">
        <v>0</v>
      </c>
      <c r="E436">
        <v>1</v>
      </c>
      <c r="F436">
        <v>0</v>
      </c>
      <c r="G436">
        <v>0</v>
      </c>
      <c r="H436">
        <v>0</v>
      </c>
      <c r="I436">
        <v>0</v>
      </c>
    </row>
    <row r="437" spans="1:9">
      <c r="A437" t="s">
        <v>848</v>
      </c>
      <c r="B437">
        <v>0</v>
      </c>
      <c r="C437">
        <v>0</v>
      </c>
      <c r="D437">
        <v>0</v>
      </c>
      <c r="E437">
        <v>0</v>
      </c>
      <c r="F437">
        <v>0</v>
      </c>
      <c r="G437">
        <v>0</v>
      </c>
      <c r="H437">
        <v>0</v>
      </c>
      <c r="I437">
        <v>0</v>
      </c>
    </row>
    <row r="438" spans="1:9">
      <c r="A438" t="s">
        <v>850</v>
      </c>
      <c r="B438">
        <v>0</v>
      </c>
      <c r="C438">
        <v>0</v>
      </c>
      <c r="D438">
        <v>0</v>
      </c>
      <c r="E438">
        <v>1</v>
      </c>
      <c r="F438">
        <v>0</v>
      </c>
      <c r="G438">
        <v>1</v>
      </c>
      <c r="H438">
        <v>1</v>
      </c>
      <c r="I438">
        <v>0</v>
      </c>
    </row>
    <row r="439" spans="1:9">
      <c r="A439" t="s">
        <v>852</v>
      </c>
      <c r="B439">
        <v>0</v>
      </c>
      <c r="C439">
        <v>0</v>
      </c>
      <c r="D439">
        <v>0</v>
      </c>
      <c r="E439">
        <v>0</v>
      </c>
      <c r="F439">
        <v>0</v>
      </c>
      <c r="G439">
        <v>0</v>
      </c>
      <c r="H439">
        <v>0</v>
      </c>
      <c r="I439">
        <v>0</v>
      </c>
    </row>
    <row r="440" spans="1:9">
      <c r="A440" t="s">
        <v>854</v>
      </c>
      <c r="B440">
        <v>0</v>
      </c>
      <c r="C440">
        <v>0</v>
      </c>
      <c r="D440">
        <v>0</v>
      </c>
      <c r="E440">
        <v>0</v>
      </c>
      <c r="F440">
        <v>0</v>
      </c>
      <c r="G440">
        <v>0</v>
      </c>
      <c r="H440">
        <v>0</v>
      </c>
      <c r="I440">
        <v>0</v>
      </c>
    </row>
    <row r="441" spans="1:9">
      <c r="A441" t="s">
        <v>855</v>
      </c>
      <c r="B441">
        <v>0</v>
      </c>
      <c r="C441">
        <v>0</v>
      </c>
      <c r="D441">
        <v>0</v>
      </c>
      <c r="E441">
        <v>0</v>
      </c>
      <c r="F441">
        <v>0</v>
      </c>
      <c r="G441">
        <v>0</v>
      </c>
      <c r="H441">
        <v>0</v>
      </c>
      <c r="I441">
        <v>0</v>
      </c>
    </row>
    <row r="442" spans="1:9">
      <c r="A442" t="s">
        <v>857</v>
      </c>
      <c r="B442">
        <v>0</v>
      </c>
      <c r="C442">
        <v>0</v>
      </c>
      <c r="D442">
        <v>0</v>
      </c>
      <c r="E442">
        <v>0</v>
      </c>
      <c r="F442">
        <v>0</v>
      </c>
      <c r="G442">
        <v>0</v>
      </c>
      <c r="H442">
        <v>0</v>
      </c>
      <c r="I442">
        <v>0</v>
      </c>
    </row>
    <row r="443" spans="1:9">
      <c r="A443" t="s">
        <v>859</v>
      </c>
      <c r="B443">
        <v>0</v>
      </c>
      <c r="C443">
        <v>0</v>
      </c>
      <c r="D443">
        <v>0</v>
      </c>
      <c r="E443">
        <v>0</v>
      </c>
      <c r="F443">
        <v>0</v>
      </c>
      <c r="G443">
        <v>1</v>
      </c>
      <c r="H443">
        <v>0</v>
      </c>
      <c r="I443">
        <v>0</v>
      </c>
    </row>
    <row r="444" spans="1:9">
      <c r="A444" t="s">
        <v>861</v>
      </c>
      <c r="B444">
        <v>0</v>
      </c>
      <c r="C444">
        <v>0</v>
      </c>
      <c r="D444">
        <v>0</v>
      </c>
      <c r="E444">
        <v>0</v>
      </c>
      <c r="F444">
        <v>0</v>
      </c>
      <c r="G444">
        <v>0</v>
      </c>
      <c r="H444">
        <v>0</v>
      </c>
      <c r="I444">
        <v>0</v>
      </c>
    </row>
    <row r="445" spans="1:9">
      <c r="A445" t="s">
        <v>863</v>
      </c>
      <c r="B445">
        <v>0</v>
      </c>
      <c r="C445">
        <v>0</v>
      </c>
      <c r="D445">
        <v>0</v>
      </c>
      <c r="E445">
        <v>0</v>
      </c>
      <c r="F445">
        <v>0</v>
      </c>
      <c r="G445">
        <v>0</v>
      </c>
      <c r="H445">
        <v>0</v>
      </c>
      <c r="I445">
        <v>0</v>
      </c>
    </row>
    <row r="446" spans="1:9">
      <c r="A446" t="s">
        <v>865</v>
      </c>
      <c r="B446">
        <v>0</v>
      </c>
      <c r="C446">
        <v>0</v>
      </c>
      <c r="D446">
        <v>0</v>
      </c>
      <c r="E446">
        <v>0</v>
      </c>
      <c r="F446">
        <v>0</v>
      </c>
      <c r="G446">
        <v>0</v>
      </c>
      <c r="H446">
        <v>0</v>
      </c>
      <c r="I446">
        <v>0</v>
      </c>
    </row>
    <row r="447" spans="1:9">
      <c r="A447" t="s">
        <v>867</v>
      </c>
      <c r="B447">
        <v>0</v>
      </c>
      <c r="C447">
        <v>0</v>
      </c>
      <c r="D447">
        <v>0</v>
      </c>
      <c r="E447">
        <v>0</v>
      </c>
      <c r="F447">
        <v>0</v>
      </c>
      <c r="G447">
        <v>1</v>
      </c>
      <c r="H447">
        <v>0</v>
      </c>
      <c r="I447">
        <v>0</v>
      </c>
    </row>
    <row r="448" spans="1:9">
      <c r="A448" t="s">
        <v>869</v>
      </c>
      <c r="B448">
        <v>0</v>
      </c>
      <c r="C448">
        <v>1</v>
      </c>
      <c r="D448">
        <v>0</v>
      </c>
      <c r="E448">
        <v>0</v>
      </c>
      <c r="F448">
        <v>0</v>
      </c>
      <c r="G448">
        <v>1</v>
      </c>
      <c r="H448">
        <v>1</v>
      </c>
      <c r="I448">
        <v>0</v>
      </c>
    </row>
    <row r="449" spans="1:9">
      <c r="A449" t="s">
        <v>871</v>
      </c>
      <c r="B449">
        <v>0</v>
      </c>
      <c r="C449">
        <v>1</v>
      </c>
      <c r="D449">
        <v>0</v>
      </c>
      <c r="E449">
        <v>1</v>
      </c>
      <c r="F449">
        <v>0</v>
      </c>
      <c r="G449">
        <v>1</v>
      </c>
      <c r="H449">
        <v>1</v>
      </c>
      <c r="I449">
        <v>0</v>
      </c>
    </row>
    <row r="450" spans="1:9">
      <c r="A450" t="s">
        <v>873</v>
      </c>
      <c r="B450">
        <v>0</v>
      </c>
      <c r="C450">
        <v>0</v>
      </c>
      <c r="D450">
        <v>0</v>
      </c>
      <c r="E450">
        <v>0</v>
      </c>
      <c r="F450">
        <v>0</v>
      </c>
      <c r="G450">
        <v>0</v>
      </c>
      <c r="H450">
        <v>0</v>
      </c>
      <c r="I450">
        <v>0</v>
      </c>
    </row>
    <row r="451" spans="1:9">
      <c r="A451" t="s">
        <v>875</v>
      </c>
      <c r="B451">
        <v>0</v>
      </c>
      <c r="C451">
        <v>0</v>
      </c>
      <c r="D451">
        <v>0</v>
      </c>
      <c r="E451">
        <v>0</v>
      </c>
      <c r="F451">
        <v>0</v>
      </c>
      <c r="G451">
        <v>0</v>
      </c>
      <c r="H451">
        <v>0</v>
      </c>
      <c r="I451">
        <v>0</v>
      </c>
    </row>
    <row r="452" spans="1:9">
      <c r="A452" t="s">
        <v>877</v>
      </c>
      <c r="B452">
        <v>0</v>
      </c>
      <c r="C452">
        <v>0</v>
      </c>
      <c r="D452">
        <v>0</v>
      </c>
      <c r="E452">
        <v>0</v>
      </c>
      <c r="F452">
        <v>0</v>
      </c>
      <c r="G452">
        <v>0</v>
      </c>
      <c r="H452">
        <v>0</v>
      </c>
      <c r="I452">
        <v>0</v>
      </c>
    </row>
    <row r="453" spans="1:9">
      <c r="A453" t="s">
        <v>879</v>
      </c>
      <c r="B453">
        <v>0</v>
      </c>
      <c r="C453">
        <v>0</v>
      </c>
      <c r="D453">
        <v>0</v>
      </c>
      <c r="E453">
        <v>0</v>
      </c>
      <c r="F453">
        <v>0</v>
      </c>
      <c r="G453">
        <v>0</v>
      </c>
      <c r="H453">
        <v>0</v>
      </c>
      <c r="I453">
        <v>0</v>
      </c>
    </row>
    <row r="454" spans="1:9">
      <c r="A454" t="s">
        <v>881</v>
      </c>
      <c r="B454">
        <v>0</v>
      </c>
      <c r="C454">
        <v>1</v>
      </c>
      <c r="D454">
        <v>0</v>
      </c>
      <c r="E454">
        <v>0</v>
      </c>
      <c r="F454">
        <v>0</v>
      </c>
      <c r="G454">
        <v>0</v>
      </c>
      <c r="H454">
        <v>0</v>
      </c>
      <c r="I454">
        <v>0</v>
      </c>
    </row>
    <row r="455" spans="1:9">
      <c r="A455" t="s">
        <v>883</v>
      </c>
      <c r="B455">
        <v>0</v>
      </c>
      <c r="C455">
        <v>1</v>
      </c>
      <c r="D455">
        <v>0</v>
      </c>
      <c r="E455">
        <v>1</v>
      </c>
      <c r="F455">
        <v>0</v>
      </c>
      <c r="G455">
        <v>0</v>
      </c>
      <c r="H455">
        <v>0</v>
      </c>
      <c r="I455">
        <v>0</v>
      </c>
    </row>
    <row r="456" spans="1:9">
      <c r="A456" t="s">
        <v>885</v>
      </c>
      <c r="B456">
        <v>0</v>
      </c>
      <c r="C456">
        <v>1</v>
      </c>
      <c r="D456">
        <v>0</v>
      </c>
      <c r="E456">
        <v>1</v>
      </c>
      <c r="F456">
        <v>1</v>
      </c>
      <c r="G456">
        <v>1</v>
      </c>
      <c r="H456">
        <v>1</v>
      </c>
      <c r="I456">
        <v>0</v>
      </c>
    </row>
    <row r="457" spans="1:9">
      <c r="A457" t="s">
        <v>887</v>
      </c>
      <c r="B457">
        <v>0</v>
      </c>
      <c r="C457">
        <v>0</v>
      </c>
      <c r="D457">
        <v>0</v>
      </c>
      <c r="E457">
        <v>0</v>
      </c>
      <c r="F457">
        <v>0</v>
      </c>
      <c r="G457">
        <v>0</v>
      </c>
      <c r="H457">
        <v>0</v>
      </c>
      <c r="I457">
        <v>0</v>
      </c>
    </row>
    <row r="458" spans="1:9">
      <c r="A458" t="s">
        <v>889</v>
      </c>
      <c r="B458">
        <v>0</v>
      </c>
      <c r="C458">
        <v>0</v>
      </c>
      <c r="D458">
        <v>0</v>
      </c>
      <c r="E458">
        <v>0</v>
      </c>
      <c r="F458">
        <v>0</v>
      </c>
      <c r="G458">
        <v>0</v>
      </c>
      <c r="H458">
        <v>0</v>
      </c>
      <c r="I458">
        <v>0</v>
      </c>
    </row>
    <row r="459" spans="1:9">
      <c r="A459" t="s">
        <v>891</v>
      </c>
      <c r="B459">
        <v>0</v>
      </c>
      <c r="C459">
        <v>0</v>
      </c>
      <c r="D459">
        <v>0</v>
      </c>
      <c r="E459">
        <v>0</v>
      </c>
      <c r="F459">
        <v>0</v>
      </c>
      <c r="G459">
        <v>0</v>
      </c>
      <c r="H459">
        <v>0</v>
      </c>
      <c r="I459">
        <v>0</v>
      </c>
    </row>
    <row r="460" spans="1:9">
      <c r="A460" t="s">
        <v>893</v>
      </c>
      <c r="B460">
        <v>0</v>
      </c>
      <c r="C460">
        <v>0</v>
      </c>
      <c r="D460">
        <v>0</v>
      </c>
      <c r="E460">
        <v>1</v>
      </c>
      <c r="F460">
        <v>0</v>
      </c>
      <c r="G460">
        <v>0</v>
      </c>
      <c r="H460">
        <v>0</v>
      </c>
      <c r="I460">
        <v>0</v>
      </c>
    </row>
    <row r="461" spans="1:9">
      <c r="A461" t="s">
        <v>895</v>
      </c>
      <c r="B461">
        <v>0</v>
      </c>
      <c r="C461">
        <v>0</v>
      </c>
      <c r="D461">
        <v>0</v>
      </c>
      <c r="E461">
        <v>0</v>
      </c>
      <c r="F461">
        <v>0</v>
      </c>
      <c r="G461">
        <v>0</v>
      </c>
      <c r="H461">
        <v>1</v>
      </c>
      <c r="I461">
        <v>0</v>
      </c>
    </row>
    <row r="462" spans="1:9">
      <c r="A462" t="s">
        <v>897</v>
      </c>
      <c r="B462">
        <v>0</v>
      </c>
      <c r="C462">
        <v>0</v>
      </c>
      <c r="D462">
        <v>0</v>
      </c>
      <c r="E462">
        <v>1</v>
      </c>
      <c r="F462">
        <v>0</v>
      </c>
      <c r="G462">
        <v>0</v>
      </c>
      <c r="H462">
        <v>0</v>
      </c>
      <c r="I462">
        <v>0</v>
      </c>
    </row>
    <row r="463" spans="1:9">
      <c r="A463" t="s">
        <v>899</v>
      </c>
      <c r="B463">
        <v>0</v>
      </c>
      <c r="C463">
        <v>0</v>
      </c>
      <c r="D463">
        <v>0</v>
      </c>
      <c r="E463">
        <v>0</v>
      </c>
      <c r="F463">
        <v>0</v>
      </c>
      <c r="G463">
        <v>0</v>
      </c>
      <c r="H463">
        <v>0</v>
      </c>
      <c r="I463">
        <v>0</v>
      </c>
    </row>
    <row r="464" spans="1:9">
      <c r="A464" t="s">
        <v>901</v>
      </c>
      <c r="B464">
        <v>0</v>
      </c>
      <c r="C464">
        <v>0</v>
      </c>
      <c r="D464">
        <v>0</v>
      </c>
      <c r="E464">
        <v>0</v>
      </c>
      <c r="F464">
        <v>0</v>
      </c>
      <c r="G464">
        <v>0</v>
      </c>
      <c r="H464">
        <v>1</v>
      </c>
      <c r="I464">
        <v>0</v>
      </c>
    </row>
    <row r="465" spans="1:9">
      <c r="A465" t="s">
        <v>903</v>
      </c>
      <c r="B465">
        <v>0</v>
      </c>
      <c r="C465">
        <v>0</v>
      </c>
      <c r="D465">
        <v>0</v>
      </c>
      <c r="E465">
        <v>1</v>
      </c>
      <c r="F465">
        <v>1</v>
      </c>
      <c r="G465">
        <v>0</v>
      </c>
      <c r="H465">
        <v>1</v>
      </c>
      <c r="I465">
        <v>0</v>
      </c>
    </row>
    <row r="466" spans="1:9">
      <c r="A466" t="s">
        <v>905</v>
      </c>
      <c r="B466">
        <v>0</v>
      </c>
      <c r="C466">
        <v>1</v>
      </c>
      <c r="D466">
        <v>0</v>
      </c>
      <c r="E466">
        <v>0</v>
      </c>
      <c r="F466">
        <v>0</v>
      </c>
      <c r="G466">
        <v>0</v>
      </c>
      <c r="H466">
        <v>0</v>
      </c>
      <c r="I466">
        <v>0</v>
      </c>
    </row>
    <row r="467" spans="1:9">
      <c r="A467" t="s">
        <v>907</v>
      </c>
      <c r="B467">
        <v>0</v>
      </c>
      <c r="C467">
        <v>0</v>
      </c>
      <c r="D467">
        <v>0</v>
      </c>
      <c r="E467">
        <v>0</v>
      </c>
      <c r="F467">
        <v>0</v>
      </c>
      <c r="G467">
        <v>0</v>
      </c>
      <c r="H467">
        <v>0</v>
      </c>
      <c r="I467">
        <v>0</v>
      </c>
    </row>
    <row r="468" spans="1:9">
      <c r="A468" t="s">
        <v>909</v>
      </c>
      <c r="B468">
        <v>0</v>
      </c>
      <c r="C468">
        <v>0</v>
      </c>
      <c r="D468">
        <v>0</v>
      </c>
      <c r="E468">
        <v>0</v>
      </c>
      <c r="F468">
        <v>0</v>
      </c>
      <c r="G468">
        <v>0</v>
      </c>
      <c r="H468">
        <v>0</v>
      </c>
      <c r="I468">
        <v>0</v>
      </c>
    </row>
    <row r="469" spans="1:9">
      <c r="A469" t="s">
        <v>911</v>
      </c>
      <c r="B469">
        <v>0</v>
      </c>
      <c r="C469">
        <v>0</v>
      </c>
      <c r="D469">
        <v>0</v>
      </c>
      <c r="E469">
        <v>0</v>
      </c>
      <c r="F469">
        <v>0</v>
      </c>
      <c r="G469">
        <v>1</v>
      </c>
      <c r="H469">
        <v>0</v>
      </c>
      <c r="I469">
        <v>0</v>
      </c>
    </row>
    <row r="470" spans="1:9">
      <c r="A470" t="s">
        <v>913</v>
      </c>
      <c r="B470">
        <v>0</v>
      </c>
      <c r="C470">
        <v>0</v>
      </c>
      <c r="D470">
        <v>0</v>
      </c>
      <c r="E470">
        <v>0</v>
      </c>
      <c r="F470">
        <v>0</v>
      </c>
      <c r="G470">
        <v>0</v>
      </c>
      <c r="H470">
        <v>0</v>
      </c>
      <c r="I470">
        <v>0</v>
      </c>
    </row>
    <row r="471" spans="1:9">
      <c r="A471" t="s">
        <v>915</v>
      </c>
      <c r="B471">
        <v>0</v>
      </c>
      <c r="C471">
        <v>0</v>
      </c>
      <c r="D471">
        <v>0</v>
      </c>
      <c r="E471">
        <v>0</v>
      </c>
      <c r="F471">
        <v>0</v>
      </c>
      <c r="G471">
        <v>0</v>
      </c>
      <c r="H471">
        <v>0</v>
      </c>
      <c r="I471">
        <v>0</v>
      </c>
    </row>
    <row r="472" spans="1:9">
      <c r="A472" t="s">
        <v>917</v>
      </c>
      <c r="B472">
        <v>0</v>
      </c>
      <c r="C472">
        <v>0</v>
      </c>
      <c r="D472">
        <v>0</v>
      </c>
      <c r="E472">
        <v>0</v>
      </c>
      <c r="F472">
        <v>0</v>
      </c>
      <c r="G472">
        <v>0</v>
      </c>
      <c r="H472">
        <v>0</v>
      </c>
      <c r="I472">
        <v>0</v>
      </c>
    </row>
    <row r="473" spans="1:9">
      <c r="A473" t="s">
        <v>919</v>
      </c>
      <c r="B473">
        <v>0</v>
      </c>
      <c r="C473">
        <v>0</v>
      </c>
      <c r="D473">
        <v>0</v>
      </c>
      <c r="E473">
        <v>0</v>
      </c>
      <c r="F473">
        <v>0</v>
      </c>
      <c r="G473">
        <v>0</v>
      </c>
      <c r="H473">
        <v>0</v>
      </c>
      <c r="I473">
        <v>0</v>
      </c>
    </row>
    <row r="474" spans="1:9">
      <c r="A474" t="s">
        <v>921</v>
      </c>
      <c r="B474">
        <v>0</v>
      </c>
      <c r="C474">
        <v>0</v>
      </c>
      <c r="D474">
        <v>0</v>
      </c>
      <c r="E474">
        <v>0</v>
      </c>
      <c r="F474">
        <v>0</v>
      </c>
      <c r="G474">
        <v>0</v>
      </c>
      <c r="H474">
        <v>0</v>
      </c>
      <c r="I474">
        <v>0</v>
      </c>
    </row>
    <row r="475" spans="1:9">
      <c r="A475" t="s">
        <v>923</v>
      </c>
      <c r="B475">
        <v>0</v>
      </c>
      <c r="C475">
        <v>0</v>
      </c>
      <c r="D475">
        <v>0</v>
      </c>
      <c r="E475">
        <v>0</v>
      </c>
      <c r="F475">
        <v>0</v>
      </c>
      <c r="G475">
        <v>0</v>
      </c>
      <c r="H475">
        <v>0</v>
      </c>
      <c r="I475">
        <v>0</v>
      </c>
    </row>
    <row r="476" spans="1:9">
      <c r="A476" t="s">
        <v>925</v>
      </c>
      <c r="B476">
        <v>0</v>
      </c>
      <c r="C476">
        <v>0</v>
      </c>
      <c r="D476">
        <v>0</v>
      </c>
      <c r="E476">
        <v>0</v>
      </c>
      <c r="F476">
        <v>0</v>
      </c>
      <c r="G476">
        <v>0</v>
      </c>
      <c r="H476">
        <v>0</v>
      </c>
      <c r="I476">
        <v>0</v>
      </c>
    </row>
    <row r="477" spans="1:9">
      <c r="A477" t="s">
        <v>927</v>
      </c>
      <c r="B477">
        <v>0</v>
      </c>
      <c r="C477">
        <v>0</v>
      </c>
      <c r="D477">
        <v>0</v>
      </c>
      <c r="E477">
        <v>0</v>
      </c>
      <c r="F477">
        <v>0</v>
      </c>
      <c r="G477">
        <v>0</v>
      </c>
      <c r="H477">
        <v>0</v>
      </c>
      <c r="I477">
        <v>0</v>
      </c>
    </row>
    <row r="478" spans="1:9">
      <c r="A478" t="s">
        <v>929</v>
      </c>
      <c r="B478">
        <v>0</v>
      </c>
      <c r="C478">
        <v>0</v>
      </c>
      <c r="D478">
        <v>0</v>
      </c>
      <c r="E478">
        <v>0</v>
      </c>
      <c r="F478">
        <v>0</v>
      </c>
      <c r="G478">
        <v>0</v>
      </c>
      <c r="H478">
        <v>0</v>
      </c>
      <c r="I478">
        <v>0</v>
      </c>
    </row>
    <row r="479" spans="1:9">
      <c r="A479" t="s">
        <v>931</v>
      </c>
      <c r="B479">
        <v>0</v>
      </c>
      <c r="C479">
        <v>0</v>
      </c>
      <c r="D479">
        <v>0</v>
      </c>
      <c r="E479">
        <v>0</v>
      </c>
      <c r="F479">
        <v>0</v>
      </c>
      <c r="G479">
        <v>1</v>
      </c>
      <c r="H479">
        <v>0</v>
      </c>
      <c r="I479">
        <v>0</v>
      </c>
    </row>
    <row r="480" spans="1:9">
      <c r="A480" t="s">
        <v>933</v>
      </c>
      <c r="B480">
        <v>0</v>
      </c>
      <c r="C480">
        <v>0</v>
      </c>
      <c r="D480">
        <v>0</v>
      </c>
      <c r="E480">
        <v>0</v>
      </c>
      <c r="F480">
        <v>0</v>
      </c>
      <c r="G480">
        <v>1</v>
      </c>
      <c r="H480">
        <v>0</v>
      </c>
      <c r="I480">
        <v>0</v>
      </c>
    </row>
    <row r="481" spans="1:9">
      <c r="A481" t="s">
        <v>935</v>
      </c>
      <c r="B481">
        <v>0</v>
      </c>
      <c r="C481">
        <v>0</v>
      </c>
      <c r="D481">
        <v>0</v>
      </c>
      <c r="E481">
        <v>0</v>
      </c>
      <c r="F481">
        <v>0</v>
      </c>
      <c r="G481">
        <v>0</v>
      </c>
      <c r="H481">
        <v>0</v>
      </c>
      <c r="I481">
        <v>0</v>
      </c>
    </row>
    <row r="482" spans="1:9">
      <c r="A482" t="s">
        <v>937</v>
      </c>
      <c r="B482">
        <v>0</v>
      </c>
      <c r="C482">
        <v>0</v>
      </c>
      <c r="D482">
        <v>0</v>
      </c>
      <c r="E482">
        <v>0</v>
      </c>
      <c r="F482">
        <v>0</v>
      </c>
      <c r="G482">
        <v>0</v>
      </c>
      <c r="H482">
        <v>0</v>
      </c>
      <c r="I482">
        <v>0</v>
      </c>
    </row>
    <row r="483" spans="1:9">
      <c r="A483" t="s">
        <v>939</v>
      </c>
      <c r="B483">
        <v>0</v>
      </c>
      <c r="C483">
        <v>0</v>
      </c>
      <c r="D483">
        <v>0</v>
      </c>
      <c r="E483">
        <v>0</v>
      </c>
      <c r="F483">
        <v>0</v>
      </c>
      <c r="G483">
        <v>0</v>
      </c>
      <c r="H483">
        <v>0</v>
      </c>
      <c r="I483">
        <v>0</v>
      </c>
    </row>
    <row r="484" spans="1:9">
      <c r="A484" t="s">
        <v>941</v>
      </c>
      <c r="B484">
        <v>0</v>
      </c>
      <c r="C484">
        <v>0</v>
      </c>
      <c r="D484">
        <v>0</v>
      </c>
      <c r="E484">
        <v>0</v>
      </c>
      <c r="F484">
        <v>0</v>
      </c>
      <c r="G484">
        <v>0</v>
      </c>
      <c r="H484">
        <v>0</v>
      </c>
      <c r="I484">
        <v>0</v>
      </c>
    </row>
    <row r="485" spans="1:9">
      <c r="A485" t="s">
        <v>942</v>
      </c>
      <c r="B485">
        <v>0</v>
      </c>
      <c r="C485">
        <v>1</v>
      </c>
      <c r="D485">
        <v>0</v>
      </c>
      <c r="E485">
        <v>0</v>
      </c>
      <c r="F485">
        <v>1</v>
      </c>
      <c r="G485">
        <v>1</v>
      </c>
      <c r="H485">
        <v>1</v>
      </c>
      <c r="I485">
        <v>0</v>
      </c>
    </row>
    <row r="486" spans="1:9">
      <c r="A486" t="s">
        <v>943</v>
      </c>
      <c r="B486">
        <v>0</v>
      </c>
      <c r="C486">
        <v>1</v>
      </c>
      <c r="D486">
        <v>0</v>
      </c>
      <c r="E486">
        <v>1</v>
      </c>
      <c r="F486">
        <v>1</v>
      </c>
      <c r="G486">
        <v>1</v>
      </c>
      <c r="H486">
        <v>1</v>
      </c>
      <c r="I486">
        <v>0</v>
      </c>
    </row>
    <row r="487" spans="1:9">
      <c r="A487" t="s">
        <v>944</v>
      </c>
      <c r="B487">
        <v>0</v>
      </c>
      <c r="C487">
        <v>1</v>
      </c>
      <c r="D487">
        <v>0</v>
      </c>
      <c r="E487">
        <v>1</v>
      </c>
      <c r="F487">
        <v>1</v>
      </c>
      <c r="G487">
        <v>1</v>
      </c>
      <c r="H487">
        <v>1</v>
      </c>
      <c r="I487">
        <v>0</v>
      </c>
    </row>
    <row r="488" spans="1:9">
      <c r="A488" t="s">
        <v>945</v>
      </c>
      <c r="B488">
        <v>0</v>
      </c>
      <c r="C488">
        <v>1</v>
      </c>
      <c r="D488">
        <v>0</v>
      </c>
      <c r="E488">
        <v>1</v>
      </c>
      <c r="F488">
        <v>1</v>
      </c>
      <c r="G488">
        <v>0</v>
      </c>
      <c r="H488">
        <v>0</v>
      </c>
      <c r="I488">
        <v>0</v>
      </c>
    </row>
    <row r="489" spans="1:9">
      <c r="A489" t="s">
        <v>946</v>
      </c>
      <c r="B489">
        <v>1</v>
      </c>
      <c r="C489">
        <v>1</v>
      </c>
      <c r="D489">
        <v>0</v>
      </c>
      <c r="E489">
        <v>1</v>
      </c>
      <c r="F489">
        <v>1</v>
      </c>
      <c r="G489">
        <v>1</v>
      </c>
      <c r="H489">
        <v>1</v>
      </c>
      <c r="I489">
        <v>0</v>
      </c>
    </row>
    <row r="490" spans="1:9">
      <c r="A490" t="s">
        <v>947</v>
      </c>
      <c r="B490">
        <v>0</v>
      </c>
      <c r="C490">
        <v>1</v>
      </c>
      <c r="D490">
        <v>0</v>
      </c>
      <c r="E490">
        <v>1</v>
      </c>
      <c r="F490">
        <v>1</v>
      </c>
      <c r="G490">
        <v>0</v>
      </c>
      <c r="H490">
        <v>1</v>
      </c>
      <c r="I490">
        <v>0</v>
      </c>
    </row>
    <row r="491" spans="1:9">
      <c r="A491" t="s">
        <v>948</v>
      </c>
      <c r="B491">
        <v>0</v>
      </c>
      <c r="C491">
        <v>0</v>
      </c>
      <c r="D491">
        <v>0</v>
      </c>
      <c r="E491">
        <v>0</v>
      </c>
      <c r="F491">
        <v>0</v>
      </c>
      <c r="G491">
        <v>0</v>
      </c>
      <c r="H491">
        <v>0</v>
      </c>
      <c r="I491">
        <v>0</v>
      </c>
    </row>
    <row r="492" spans="1:9">
      <c r="A492" t="s">
        <v>949</v>
      </c>
      <c r="B492">
        <v>0</v>
      </c>
      <c r="C492">
        <v>1</v>
      </c>
      <c r="D492">
        <v>0</v>
      </c>
      <c r="E492">
        <v>0</v>
      </c>
      <c r="F492">
        <v>1</v>
      </c>
      <c r="G492">
        <v>1</v>
      </c>
      <c r="H492">
        <v>1</v>
      </c>
      <c r="I492">
        <v>0</v>
      </c>
    </row>
    <row r="493" spans="1:9">
      <c r="A493" t="s">
        <v>950</v>
      </c>
      <c r="B493">
        <v>0</v>
      </c>
      <c r="C493">
        <v>1</v>
      </c>
      <c r="D493">
        <v>0</v>
      </c>
      <c r="E493">
        <v>1</v>
      </c>
      <c r="F493">
        <v>1</v>
      </c>
      <c r="G493">
        <v>0</v>
      </c>
      <c r="H493">
        <v>1</v>
      </c>
      <c r="I493">
        <v>0</v>
      </c>
    </row>
    <row r="494" spans="1:9">
      <c r="A494" t="s">
        <v>951</v>
      </c>
      <c r="B494">
        <v>0</v>
      </c>
      <c r="C494">
        <v>1</v>
      </c>
      <c r="D494">
        <v>0</v>
      </c>
      <c r="E494">
        <v>1</v>
      </c>
      <c r="F494">
        <v>1</v>
      </c>
      <c r="G494">
        <v>1</v>
      </c>
      <c r="H494">
        <v>1</v>
      </c>
      <c r="I494">
        <v>0</v>
      </c>
    </row>
    <row r="495" spans="1:9">
      <c r="A495" t="s">
        <v>952</v>
      </c>
      <c r="B495">
        <v>0</v>
      </c>
      <c r="C495">
        <v>1</v>
      </c>
      <c r="D495">
        <v>0</v>
      </c>
      <c r="E495">
        <v>1</v>
      </c>
      <c r="F495">
        <v>1</v>
      </c>
      <c r="G495">
        <v>0</v>
      </c>
      <c r="H495">
        <v>1</v>
      </c>
      <c r="I495">
        <v>0</v>
      </c>
    </row>
    <row r="496" spans="1:9">
      <c r="A496" t="s">
        <v>953</v>
      </c>
      <c r="B496">
        <v>0</v>
      </c>
      <c r="C496">
        <v>1</v>
      </c>
      <c r="D496">
        <v>0</v>
      </c>
      <c r="E496">
        <v>1</v>
      </c>
      <c r="F496">
        <v>1</v>
      </c>
      <c r="G496">
        <v>0</v>
      </c>
      <c r="H496">
        <v>1</v>
      </c>
      <c r="I496">
        <v>0</v>
      </c>
    </row>
    <row r="497" spans="1:9">
      <c r="A497" t="s">
        <v>954</v>
      </c>
      <c r="B497">
        <v>0</v>
      </c>
      <c r="C497">
        <v>1</v>
      </c>
      <c r="D497">
        <v>0</v>
      </c>
      <c r="E497">
        <v>1</v>
      </c>
      <c r="F497">
        <v>1</v>
      </c>
      <c r="G497">
        <v>0</v>
      </c>
      <c r="H497">
        <v>1</v>
      </c>
      <c r="I497">
        <v>0</v>
      </c>
    </row>
    <row r="498" spans="1:9">
      <c r="B498">
        <f>SUM(B2:B497)</f>
        <v>14</v>
      </c>
      <c r="C498">
        <f>SUM(C2:C497)</f>
        <v>215</v>
      </c>
      <c r="D498">
        <f>SUM(D2:D497)</f>
        <v>29</v>
      </c>
      <c r="E498">
        <f>SUM(E2:E497)</f>
        <v>86</v>
      </c>
      <c r="F498">
        <f>SUM(F2:F497)</f>
        <v>208</v>
      </c>
      <c r="G498">
        <f>SUM(G2:G497)</f>
        <v>78</v>
      </c>
      <c r="H498">
        <f>SUM(H2:H497)</f>
        <v>85</v>
      </c>
      <c r="I498">
        <f>SUM(I2:I497)</f>
        <v>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EF8D6D-07FA-48DB-B39A-0338F0AC8975}"/>
</file>

<file path=customXml/itemProps2.xml><?xml version="1.0" encoding="utf-8"?>
<ds:datastoreItem xmlns:ds="http://schemas.openxmlformats.org/officeDocument/2006/customXml" ds:itemID="{4BE8EEDA-B941-4DD4-831E-C1D018142924}"/>
</file>

<file path=customXml/itemProps3.xml><?xml version="1.0" encoding="utf-8"?>
<ds:datastoreItem xmlns:ds="http://schemas.openxmlformats.org/officeDocument/2006/customXml" ds:itemID="{14C89A51-3563-4798-A548-27B26B1C26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Quinn Schutz</dc:creator>
  <cp:keywords/>
  <dc:description/>
  <cp:lastModifiedBy>Zed Wilson</cp:lastModifiedBy>
  <cp:revision/>
  <dcterms:created xsi:type="dcterms:W3CDTF">2026-05-06T23:03:40Z</dcterms:created>
  <dcterms:modified xsi:type="dcterms:W3CDTF">2026-05-31T00:23:03Z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